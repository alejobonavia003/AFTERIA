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showInkAnnotation="0" autoCompressPictures="0"/>
  <mc:AlternateContent xmlns:mc="http://schemas.openxmlformats.org/markup-compatibility/2006">
    <mc:Choice Requires="x15">
      <x15ac:absPath xmlns:x15ac="http://schemas.microsoft.com/office/spreadsheetml/2010/11/ac" url="C:\Users\USUARIO\Dropbox\Bongiovanni - GEO\"/>
    </mc:Choice>
  </mc:AlternateContent>
  <bookViews>
    <workbookView xWindow="165" yWindow="495" windowWidth="25065" windowHeight="15060" tabRatio="622"/>
  </bookViews>
  <sheets>
    <sheet name="Carga Presup." sheetId="1" r:id="rId1"/>
    <sheet name="Presupuesto" sheetId="2" r:id="rId2"/>
    <sheet name="% recargo" sheetId="3" r:id="rId3"/>
    <sheet name="Base rep." sheetId="5" r:id="rId4"/>
  </sheets>
  <definedNames>
    <definedName name="_xlnm._FilterDatabase" localSheetId="0" hidden="1">'Carga Presup.'!$A$3:$V$1085</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I520" i="1" l="1"/>
  <c r="I521" i="1" s="1"/>
  <c r="I522" i="1"/>
  <c r="U521" i="1"/>
  <c r="R521" i="1"/>
  <c r="D521" i="1"/>
  <c r="C521" i="1"/>
  <c r="U520" i="1"/>
  <c r="R520" i="1"/>
  <c r="U1105" i="1"/>
  <c r="U1104" i="1"/>
  <c r="U1103" i="1"/>
  <c r="U1102" i="1"/>
  <c r="U1101" i="1"/>
  <c r="U1100" i="1"/>
  <c r="U1099" i="1"/>
  <c r="U1098" i="1"/>
  <c r="U1097" i="1"/>
  <c r="U1096" i="1"/>
  <c r="U1095" i="1"/>
  <c r="U1094" i="1"/>
  <c r="U1093" i="1"/>
  <c r="U1092" i="1"/>
  <c r="U1091" i="1"/>
  <c r="U1090" i="1"/>
  <c r="U1089" i="1"/>
  <c r="U1088" i="1"/>
  <c r="U1087" i="1"/>
  <c r="U1086" i="1"/>
  <c r="D416" i="1" l="1"/>
  <c r="D417" i="1" s="1"/>
  <c r="D419" i="1" s="1"/>
  <c r="D421" i="1" s="1"/>
  <c r="C416" i="1"/>
  <c r="C417" i="1" s="1"/>
  <c r="C419" i="1" s="1"/>
  <c r="C421" i="1" s="1"/>
  <c r="R416" i="1"/>
  <c r="R417" i="1"/>
  <c r="R415" i="1"/>
  <c r="R414" i="1"/>
  <c r="R330" i="1" l="1"/>
  <c r="D179" i="1" l="1"/>
  <c r="D180" i="1" s="1"/>
  <c r="D181" i="1" s="1"/>
  <c r="C179" i="1"/>
  <c r="C180" i="1" s="1"/>
  <c r="C181" i="1" s="1"/>
  <c r="R177" i="1"/>
  <c r="U171" i="1"/>
  <c r="V171" i="1" s="1"/>
  <c r="R76" i="1"/>
  <c r="B16" i="1"/>
  <c r="B17" i="1" s="1"/>
  <c r="B19" i="1"/>
  <c r="B24" i="1"/>
  <c r="E24" i="1" s="1"/>
  <c r="B25" i="1"/>
  <c r="B26" i="1" s="1"/>
  <c r="B30" i="1"/>
  <c r="B31" i="1" s="1"/>
  <c r="B32" i="1"/>
  <c r="B33" i="1" s="1"/>
  <c r="B34" i="1" s="1"/>
  <c r="D20" i="1"/>
  <c r="C20" i="1"/>
  <c r="C21" i="1" s="1"/>
  <c r="C22" i="1" s="1"/>
  <c r="C23" i="1" s="1"/>
  <c r="C5" i="1"/>
  <c r="C6" i="1" s="1"/>
  <c r="C7" i="1" s="1"/>
  <c r="D5" i="1"/>
  <c r="D6" i="1" s="1"/>
  <c r="D7" i="1" s="1"/>
  <c r="C9" i="1"/>
  <c r="C10" i="1" s="1"/>
  <c r="D9" i="1"/>
  <c r="D10" i="1" s="1"/>
  <c r="C12" i="1"/>
  <c r="C13" i="1" s="1"/>
  <c r="C14" i="1" s="1"/>
  <c r="C15" i="1" s="1"/>
  <c r="D12" i="1"/>
  <c r="D13" i="1" s="1"/>
  <c r="D14" i="1" s="1"/>
  <c r="D15" i="1" s="1"/>
  <c r="C26" i="1"/>
  <c r="C27" i="1" s="1"/>
  <c r="C28" i="1" s="1"/>
  <c r="C29" i="1" s="1"/>
  <c r="D26" i="1"/>
  <c r="D27" i="1" s="1"/>
  <c r="D28" i="1" s="1"/>
  <c r="D29" i="1" s="1"/>
  <c r="C31" i="1"/>
  <c r="D31" i="1"/>
  <c r="C33" i="1"/>
  <c r="C34" i="1" s="1"/>
  <c r="C35" i="1" s="1"/>
  <c r="C36" i="1" s="1"/>
  <c r="C37" i="1" s="1"/>
  <c r="D33" i="1"/>
  <c r="D34" i="1" s="1"/>
  <c r="D35" i="1" s="1"/>
  <c r="D36" i="1" s="1"/>
  <c r="D37" i="1" s="1"/>
  <c r="C39" i="1"/>
  <c r="C40" i="1" s="1"/>
  <c r="D39" i="1"/>
  <c r="D40" i="1" s="1"/>
  <c r="C42" i="1"/>
  <c r="C43" i="1" s="1"/>
  <c r="C44" i="1" s="1"/>
  <c r="C45" i="1" s="1"/>
  <c r="D42" i="1"/>
  <c r="D43" i="1" s="1"/>
  <c r="D44" i="1" s="1"/>
  <c r="D45" i="1" s="1"/>
  <c r="C47" i="1"/>
  <c r="D47" i="1"/>
  <c r="C49" i="1"/>
  <c r="C50" i="1" s="1"/>
  <c r="C51" i="1" s="1"/>
  <c r="C52" i="1" s="1"/>
  <c r="D49" i="1"/>
  <c r="D50" i="1" s="1"/>
  <c r="D51" i="1" s="1"/>
  <c r="D52" i="1" s="1"/>
  <c r="C54" i="1"/>
  <c r="D54" i="1"/>
  <c r="D55" i="1" s="1"/>
  <c r="D56" i="1" s="1"/>
  <c r="D57" i="1" s="1"/>
  <c r="C55" i="1"/>
  <c r="C56" i="1" s="1"/>
  <c r="C57" i="1" s="1"/>
  <c r="C59" i="1"/>
  <c r="C60" i="1" s="1"/>
  <c r="C61" i="1" s="1"/>
  <c r="D59" i="1"/>
  <c r="D60" i="1" s="1"/>
  <c r="D61" i="1" s="1"/>
  <c r="C63" i="1"/>
  <c r="C64" i="1" s="1"/>
  <c r="C65" i="1" s="1"/>
  <c r="D63" i="1"/>
  <c r="D64" i="1" s="1"/>
  <c r="D65" i="1" s="1"/>
  <c r="D67" i="1"/>
  <c r="D68" i="1" s="1"/>
  <c r="D69" i="1" s="1"/>
  <c r="D71" i="1"/>
  <c r="D72" i="1" s="1"/>
  <c r="D73" i="1" s="1"/>
  <c r="D74" i="1" s="1"/>
  <c r="C76" i="1"/>
  <c r="C77" i="1" s="1"/>
  <c r="C78" i="1" s="1"/>
  <c r="C79" i="1" s="1"/>
  <c r="D76" i="1"/>
  <c r="D77" i="1" s="1"/>
  <c r="D78" i="1" s="1"/>
  <c r="D79" i="1" s="1"/>
  <c r="C81" i="1"/>
  <c r="C82" i="1" s="1"/>
  <c r="C83" i="1" s="1"/>
  <c r="C84" i="1" s="1"/>
  <c r="D81" i="1"/>
  <c r="D82" i="1" s="1"/>
  <c r="D83" i="1" s="1"/>
  <c r="D84" i="1" s="1"/>
  <c r="C86" i="1"/>
  <c r="C87" i="1" s="1"/>
  <c r="C88" i="1" s="1"/>
  <c r="D86" i="1"/>
  <c r="D87" i="1" s="1"/>
  <c r="D88" i="1" s="1"/>
  <c r="C90" i="1"/>
  <c r="C91" i="1" s="1"/>
  <c r="C92" i="1" s="1"/>
  <c r="C93" i="1" s="1"/>
  <c r="C94" i="1" s="1"/>
  <c r="C95" i="1" s="1"/>
  <c r="C96" i="1" s="1"/>
  <c r="C97" i="1" s="1"/>
  <c r="C98" i="1" s="1"/>
  <c r="C99" i="1" s="1"/>
  <c r="D90" i="1"/>
  <c r="D91" i="1" s="1"/>
  <c r="D92" i="1" s="1"/>
  <c r="D93" i="1" s="1"/>
  <c r="D94" i="1" s="1"/>
  <c r="D95" i="1" s="1"/>
  <c r="D96" i="1" s="1"/>
  <c r="D97" i="1" s="1"/>
  <c r="D98" i="1" s="1"/>
  <c r="D99" i="1" s="1"/>
  <c r="C101" i="1"/>
  <c r="D101" i="1"/>
  <c r="D102" i="1" s="1"/>
  <c r="C102" i="1"/>
  <c r="B7" i="2"/>
  <c r="E4" i="1"/>
  <c r="B5" i="1"/>
  <c r="E5" i="1" s="1"/>
  <c r="B8" i="1"/>
  <c r="I4" i="1"/>
  <c r="I5" i="1"/>
  <c r="I6" i="1" s="1"/>
  <c r="I7" i="1" s="1"/>
  <c r="U4" i="1"/>
  <c r="V4" i="1" s="1"/>
  <c r="U5" i="1"/>
  <c r="V5" i="1" s="1"/>
  <c r="U6" i="1"/>
  <c r="U7" i="1"/>
  <c r="I8" i="1"/>
  <c r="I9" i="1" s="1"/>
  <c r="I10" i="1" s="1"/>
  <c r="U8" i="1"/>
  <c r="V8" i="1" s="1"/>
  <c r="U9" i="1"/>
  <c r="U10" i="1"/>
  <c r="B11" i="1"/>
  <c r="E11" i="1" s="1"/>
  <c r="I11" i="1"/>
  <c r="I12" i="1" s="1"/>
  <c r="I13" i="1" s="1"/>
  <c r="I14" i="1" s="1"/>
  <c r="I15" i="1" s="1"/>
  <c r="U11" i="1"/>
  <c r="V11" i="1" s="1"/>
  <c r="U12" i="1"/>
  <c r="U13" i="1"/>
  <c r="U14" i="1"/>
  <c r="U15" i="1"/>
  <c r="I16" i="1"/>
  <c r="I17" i="1" s="1"/>
  <c r="U16" i="1"/>
  <c r="V16" i="1" s="1"/>
  <c r="U17" i="1"/>
  <c r="I18" i="1"/>
  <c r="U18" i="1"/>
  <c r="V18" i="1"/>
  <c r="I19" i="1"/>
  <c r="I20" i="1" s="1"/>
  <c r="I21" i="1" s="1"/>
  <c r="I22" i="1" s="1"/>
  <c r="I23" i="1" s="1"/>
  <c r="U19" i="1"/>
  <c r="V19" i="1"/>
  <c r="U20" i="1"/>
  <c r="U21" i="1"/>
  <c r="U22" i="1"/>
  <c r="U23" i="1"/>
  <c r="I24" i="1"/>
  <c r="U24" i="1"/>
  <c r="V24" i="1" s="1"/>
  <c r="E25" i="1"/>
  <c r="I25" i="1"/>
  <c r="I26" i="1" s="1"/>
  <c r="I27" i="1" s="1"/>
  <c r="I28" i="1" s="1"/>
  <c r="I29" i="1" s="1"/>
  <c r="U25" i="1"/>
  <c r="V25" i="1" s="1"/>
  <c r="U26" i="1"/>
  <c r="U27" i="1"/>
  <c r="U28" i="1"/>
  <c r="U29" i="1"/>
  <c r="I30" i="1"/>
  <c r="I31" i="1" s="1"/>
  <c r="U30" i="1"/>
  <c r="V30" i="1" s="1"/>
  <c r="U31" i="1"/>
  <c r="I32" i="1"/>
  <c r="I33" i="1" s="1"/>
  <c r="I34" i="1" s="1"/>
  <c r="I35" i="1" s="1"/>
  <c r="I36" i="1" s="1"/>
  <c r="I37" i="1" s="1"/>
  <c r="U32" i="1"/>
  <c r="V32" i="1" s="1"/>
  <c r="U33" i="1"/>
  <c r="U34" i="1"/>
  <c r="U35" i="1"/>
  <c r="U36" i="1"/>
  <c r="U37" i="1"/>
  <c r="B38" i="1"/>
  <c r="I38" i="1"/>
  <c r="I39" i="1" s="1"/>
  <c r="I40" i="1" s="1"/>
  <c r="U38" i="1"/>
  <c r="V38" i="1" s="1"/>
  <c r="U39" i="1"/>
  <c r="U40" i="1"/>
  <c r="B41" i="1"/>
  <c r="E41" i="1" s="1"/>
  <c r="I41" i="1"/>
  <c r="I42" i="1" s="1"/>
  <c r="I43" i="1" s="1"/>
  <c r="I44" i="1" s="1"/>
  <c r="I45" i="1" s="1"/>
  <c r="U41" i="1"/>
  <c r="V41" i="1" s="1"/>
  <c r="U42" i="1"/>
  <c r="U43" i="1"/>
  <c r="U44" i="1"/>
  <c r="U45" i="1"/>
  <c r="B46" i="1"/>
  <c r="I46" i="1"/>
  <c r="I47" i="1" s="1"/>
  <c r="U46" i="1"/>
  <c r="V46" i="1" s="1"/>
  <c r="U47" i="1"/>
  <c r="B48" i="1"/>
  <c r="I48" i="1"/>
  <c r="I49" i="1" s="1"/>
  <c r="I50" i="1" s="1"/>
  <c r="I51" i="1" s="1"/>
  <c r="I52" i="1" s="1"/>
  <c r="U48" i="1"/>
  <c r="V48" i="1" s="1"/>
  <c r="U49" i="1"/>
  <c r="U50" i="1"/>
  <c r="U51" i="1"/>
  <c r="U52" i="1"/>
  <c r="B53" i="1"/>
  <c r="E53" i="1" s="1"/>
  <c r="I53" i="1"/>
  <c r="I54" i="1" s="1"/>
  <c r="I55" i="1" s="1"/>
  <c r="I56" i="1" s="1"/>
  <c r="I57" i="1" s="1"/>
  <c r="U53" i="1"/>
  <c r="V53" i="1" s="1"/>
  <c r="U54" i="1"/>
  <c r="U55" i="1"/>
  <c r="U56" i="1"/>
  <c r="U57" i="1"/>
  <c r="B58" i="1"/>
  <c r="I58" i="1"/>
  <c r="I59" i="1" s="1"/>
  <c r="I60" i="1" s="1"/>
  <c r="I61" i="1" s="1"/>
  <c r="U58" i="1"/>
  <c r="V58" i="1" s="1"/>
  <c r="U59" i="1"/>
  <c r="U60" i="1"/>
  <c r="U61" i="1"/>
  <c r="B62" i="1"/>
  <c r="I62" i="1"/>
  <c r="I63" i="1" s="1"/>
  <c r="I64" i="1" s="1"/>
  <c r="I65" i="1" s="1"/>
  <c r="U62" i="1"/>
  <c r="V62" i="1" s="1"/>
  <c r="U63" i="1"/>
  <c r="U64" i="1"/>
  <c r="U65" i="1"/>
  <c r="B66" i="1"/>
  <c r="I66" i="1"/>
  <c r="I67" i="1" s="1"/>
  <c r="I68" i="1" s="1"/>
  <c r="I69" i="1" s="1"/>
  <c r="U66" i="1"/>
  <c r="V66" i="1" s="1"/>
  <c r="U67" i="1"/>
  <c r="U68" i="1"/>
  <c r="U69" i="1"/>
  <c r="B70" i="1"/>
  <c r="I70" i="1"/>
  <c r="I71" i="1" s="1"/>
  <c r="I72" i="1" s="1"/>
  <c r="I73" i="1" s="1"/>
  <c r="I74" i="1" s="1"/>
  <c r="U70" i="1"/>
  <c r="V70" i="1" s="1"/>
  <c r="U71" i="1"/>
  <c r="U72" i="1"/>
  <c r="U73" i="1"/>
  <c r="U74" i="1"/>
  <c r="B75" i="1"/>
  <c r="E75" i="1" s="1"/>
  <c r="I75" i="1"/>
  <c r="I76" i="1" s="1"/>
  <c r="I77" i="1" s="1"/>
  <c r="I78" i="1" s="1"/>
  <c r="I79" i="1" s="1"/>
  <c r="U75" i="1"/>
  <c r="V75" i="1" s="1"/>
  <c r="U76" i="1"/>
  <c r="U77" i="1"/>
  <c r="U78" i="1"/>
  <c r="U79" i="1"/>
  <c r="B80" i="1"/>
  <c r="I80" i="1"/>
  <c r="I81" i="1" s="1"/>
  <c r="I82" i="1" s="1"/>
  <c r="I83" i="1" s="1"/>
  <c r="I84" i="1" s="1"/>
  <c r="U80" i="1"/>
  <c r="V80" i="1" s="1"/>
  <c r="U81" i="1"/>
  <c r="U82" i="1"/>
  <c r="U83" i="1"/>
  <c r="U84" i="1"/>
  <c r="B85" i="1"/>
  <c r="E85" i="1" s="1"/>
  <c r="I85" i="1"/>
  <c r="I86" i="1" s="1"/>
  <c r="I87" i="1" s="1"/>
  <c r="I88" i="1" s="1"/>
  <c r="U85" i="1"/>
  <c r="V85" i="1" s="1"/>
  <c r="U86" i="1"/>
  <c r="U87" i="1"/>
  <c r="U88" i="1"/>
  <c r="B89" i="1"/>
  <c r="E89" i="1" s="1"/>
  <c r="I89" i="1"/>
  <c r="I90" i="1" s="1"/>
  <c r="I91" i="1" s="1"/>
  <c r="I92" i="1" s="1"/>
  <c r="I93" i="1" s="1"/>
  <c r="I94" i="1" s="1"/>
  <c r="I95" i="1" s="1"/>
  <c r="I96" i="1" s="1"/>
  <c r="I97" i="1" s="1"/>
  <c r="I98" i="1" s="1"/>
  <c r="I99" i="1" s="1"/>
  <c r="U89" i="1"/>
  <c r="V89" i="1" s="1"/>
  <c r="U90" i="1"/>
  <c r="U91" i="1"/>
  <c r="U92" i="1"/>
  <c r="U93" i="1"/>
  <c r="U94" i="1"/>
  <c r="U95" i="1"/>
  <c r="U96" i="1"/>
  <c r="U97" i="1"/>
  <c r="U98" i="1"/>
  <c r="U99" i="1"/>
  <c r="B100" i="1"/>
  <c r="I100" i="1"/>
  <c r="I101" i="1" s="1"/>
  <c r="I102" i="1" s="1"/>
  <c r="U100" i="1"/>
  <c r="V100" i="1" s="1"/>
  <c r="U101" i="1"/>
  <c r="U102" i="1"/>
  <c r="B103" i="1"/>
  <c r="E103" i="1" s="1"/>
  <c r="I103" i="1"/>
  <c r="I104" i="1" s="1"/>
  <c r="I105" i="1" s="1"/>
  <c r="U103" i="1"/>
  <c r="V103" i="1" s="1"/>
  <c r="U104" i="1"/>
  <c r="U105" i="1"/>
  <c r="B106" i="1"/>
  <c r="E106" i="1" s="1"/>
  <c r="I106" i="1"/>
  <c r="I107" i="1" s="1"/>
  <c r="U106" i="1"/>
  <c r="V106" i="1" s="1"/>
  <c r="D107" i="1"/>
  <c r="U107" i="1"/>
  <c r="B108" i="1"/>
  <c r="I108" i="1"/>
  <c r="I109" i="1" s="1"/>
  <c r="U108" i="1"/>
  <c r="V108" i="1" s="1"/>
  <c r="D109" i="1"/>
  <c r="D110" i="1" s="1"/>
  <c r="U109" i="1"/>
  <c r="I110" i="1"/>
  <c r="I111" i="1" s="1"/>
  <c r="U110" i="1"/>
  <c r="U111" i="1"/>
  <c r="B112" i="1"/>
  <c r="E112" i="1" s="1"/>
  <c r="I112" i="1"/>
  <c r="I113" i="1" s="1"/>
  <c r="I114" i="1" s="1"/>
  <c r="I115" i="1" s="1"/>
  <c r="U112" i="1"/>
  <c r="V112" i="1" s="1"/>
  <c r="D113" i="1"/>
  <c r="D114" i="1" s="1"/>
  <c r="D115" i="1" s="1"/>
  <c r="U113" i="1"/>
  <c r="U114" i="1"/>
  <c r="U115" i="1"/>
  <c r="B116" i="1"/>
  <c r="E116" i="1" s="1"/>
  <c r="I116" i="1"/>
  <c r="I117" i="1" s="1"/>
  <c r="I118" i="1" s="1"/>
  <c r="I119" i="1" s="1"/>
  <c r="I120" i="1" s="1"/>
  <c r="U116" i="1"/>
  <c r="V116" i="1" s="1"/>
  <c r="D117" i="1"/>
  <c r="D118" i="1" s="1"/>
  <c r="D119" i="1" s="1"/>
  <c r="U117" i="1"/>
  <c r="U118" i="1"/>
  <c r="U119" i="1"/>
  <c r="U120" i="1"/>
  <c r="B121" i="1"/>
  <c r="E121" i="1" s="1"/>
  <c r="I121" i="1"/>
  <c r="U121" i="1"/>
  <c r="V121" i="1" s="1"/>
  <c r="B122" i="1"/>
  <c r="E122" i="1" s="1"/>
  <c r="I122" i="1"/>
  <c r="I123" i="1" s="1"/>
  <c r="I124" i="1" s="1"/>
  <c r="I125" i="1" s="1"/>
  <c r="I126" i="1" s="1"/>
  <c r="I127" i="1" s="1"/>
  <c r="I128" i="1" s="1"/>
  <c r="I129" i="1" s="1"/>
  <c r="I130" i="1" s="1"/>
  <c r="U122" i="1"/>
  <c r="V122" i="1" s="1"/>
  <c r="D123" i="1"/>
  <c r="D124" i="1" s="1"/>
  <c r="D125" i="1" s="1"/>
  <c r="U123" i="1"/>
  <c r="U124" i="1"/>
  <c r="U125" i="1"/>
  <c r="U126" i="1"/>
  <c r="U127" i="1"/>
  <c r="U128" i="1"/>
  <c r="U129" i="1"/>
  <c r="U130" i="1"/>
  <c r="B131" i="1"/>
  <c r="E131" i="1" s="1"/>
  <c r="I131" i="1"/>
  <c r="I132" i="1" s="1"/>
  <c r="I133" i="1" s="1"/>
  <c r="I134" i="1" s="1"/>
  <c r="U131" i="1"/>
  <c r="V131" i="1" s="1"/>
  <c r="D132" i="1"/>
  <c r="D133" i="1" s="1"/>
  <c r="D134" i="1" s="1"/>
  <c r="U132" i="1"/>
  <c r="U133" i="1"/>
  <c r="U134" i="1"/>
  <c r="B135" i="1"/>
  <c r="E135" i="1" s="1"/>
  <c r="I135" i="1"/>
  <c r="U135" i="1"/>
  <c r="V135" i="1" s="1"/>
  <c r="B136" i="1"/>
  <c r="E136" i="1" s="1"/>
  <c r="I136" i="1"/>
  <c r="I137" i="1" s="1"/>
  <c r="I138" i="1" s="1"/>
  <c r="I139" i="1" s="1"/>
  <c r="U136" i="1"/>
  <c r="V136" i="1" s="1"/>
  <c r="D137" i="1"/>
  <c r="D138" i="1" s="1"/>
  <c r="D139" i="1" s="1"/>
  <c r="U137" i="1"/>
  <c r="U138" i="1"/>
  <c r="U139" i="1"/>
  <c r="B140" i="1"/>
  <c r="I140" i="1"/>
  <c r="I141" i="1" s="1"/>
  <c r="U140" i="1"/>
  <c r="V140" i="1" s="1"/>
  <c r="D141" i="1"/>
  <c r="U141" i="1"/>
  <c r="B142" i="1"/>
  <c r="E142" i="1" s="1"/>
  <c r="I142" i="1"/>
  <c r="I143" i="1" s="1"/>
  <c r="I144" i="1" s="1"/>
  <c r="I145" i="1" s="1"/>
  <c r="I146" i="1" s="1"/>
  <c r="U142" i="1"/>
  <c r="V142" i="1" s="1"/>
  <c r="D143" i="1"/>
  <c r="D144" i="1" s="1"/>
  <c r="D145" i="1" s="1"/>
  <c r="D146" i="1" s="1"/>
  <c r="U143" i="1"/>
  <c r="U144" i="1"/>
  <c r="U145" i="1"/>
  <c r="U146" i="1"/>
  <c r="B147" i="1"/>
  <c r="E147" i="1" s="1"/>
  <c r="I147" i="1"/>
  <c r="I148" i="1" s="1"/>
  <c r="I149" i="1" s="1"/>
  <c r="I150" i="1" s="1"/>
  <c r="U147" i="1"/>
  <c r="V147" i="1" s="1"/>
  <c r="D148" i="1"/>
  <c r="D149" i="1" s="1"/>
  <c r="U148" i="1"/>
  <c r="U149" i="1"/>
  <c r="U150" i="1"/>
  <c r="B151" i="1"/>
  <c r="E151" i="1" s="1"/>
  <c r="I151" i="1"/>
  <c r="I152" i="1" s="1"/>
  <c r="I153" i="1" s="1"/>
  <c r="I154" i="1" s="1"/>
  <c r="U151" i="1"/>
  <c r="V151" i="1" s="1"/>
  <c r="U152" i="1"/>
  <c r="U153" i="1"/>
  <c r="U154" i="1"/>
  <c r="B155" i="1"/>
  <c r="E155" i="1" s="1"/>
  <c r="I155" i="1"/>
  <c r="I156" i="1" s="1"/>
  <c r="I157" i="1" s="1"/>
  <c r="I158" i="1" s="1"/>
  <c r="U155" i="1"/>
  <c r="V155" i="1" s="1"/>
  <c r="D156" i="1"/>
  <c r="D157" i="1" s="1"/>
  <c r="D158" i="1" s="1"/>
  <c r="U156" i="1"/>
  <c r="U157" i="1"/>
  <c r="U158" i="1"/>
  <c r="B159" i="1"/>
  <c r="E159" i="1" s="1"/>
  <c r="I159" i="1"/>
  <c r="I160" i="1" s="1"/>
  <c r="I161" i="1" s="1"/>
  <c r="I162" i="1" s="1"/>
  <c r="I163" i="1" s="1"/>
  <c r="U159" i="1"/>
  <c r="V159" i="1" s="1"/>
  <c r="D160" i="1"/>
  <c r="D161" i="1" s="1"/>
  <c r="D162" i="1" s="1"/>
  <c r="U160" i="1"/>
  <c r="U161" i="1"/>
  <c r="U162" i="1"/>
  <c r="U163" i="1"/>
  <c r="B164" i="1"/>
  <c r="E164" i="1" s="1"/>
  <c r="I164" i="1"/>
  <c r="I165" i="1" s="1"/>
  <c r="I166" i="1" s="1"/>
  <c r="U164" i="1"/>
  <c r="V164" i="1" s="1"/>
  <c r="D165" i="1"/>
  <c r="D166" i="1" s="1"/>
  <c r="U165" i="1"/>
  <c r="U166" i="1"/>
  <c r="B167" i="1"/>
  <c r="I167" i="1"/>
  <c r="I168" i="1" s="1"/>
  <c r="I169" i="1" s="1"/>
  <c r="I170" i="1" s="1"/>
  <c r="U167" i="1"/>
  <c r="V167" i="1" s="1"/>
  <c r="D168" i="1"/>
  <c r="D169" i="1" s="1"/>
  <c r="D170" i="1" s="1"/>
  <c r="U168" i="1"/>
  <c r="U169" i="1"/>
  <c r="U170" i="1"/>
  <c r="B171" i="1"/>
  <c r="I171" i="1"/>
  <c r="I172" i="1" s="1"/>
  <c r="I173" i="1" s="1"/>
  <c r="D172" i="1"/>
  <c r="D173" i="1" s="1"/>
  <c r="U172" i="1"/>
  <c r="U173" i="1"/>
  <c r="B174" i="1"/>
  <c r="E174" i="1" s="1"/>
  <c r="I174" i="1"/>
  <c r="I175" i="1" s="1"/>
  <c r="I176" i="1" s="1"/>
  <c r="I177" i="1" s="1"/>
  <c r="U174" i="1"/>
  <c r="V174" i="1" s="1"/>
  <c r="D175" i="1"/>
  <c r="D176" i="1" s="1"/>
  <c r="D177" i="1" s="1"/>
  <c r="U175" i="1"/>
  <c r="U176" i="1"/>
  <c r="U177" i="1"/>
  <c r="B178" i="1"/>
  <c r="E178" i="1" s="1"/>
  <c r="I178" i="1"/>
  <c r="I179" i="1" s="1"/>
  <c r="I180" i="1" s="1"/>
  <c r="I181" i="1" s="1"/>
  <c r="U178" i="1"/>
  <c r="V178" i="1" s="1"/>
  <c r="U179" i="1"/>
  <c r="U180" i="1"/>
  <c r="U181" i="1"/>
  <c r="B182" i="1"/>
  <c r="E182" i="1" s="1"/>
  <c r="I182" i="1"/>
  <c r="I183" i="1" s="1"/>
  <c r="I184" i="1" s="1"/>
  <c r="I185" i="1" s="1"/>
  <c r="I186" i="1" s="1"/>
  <c r="I187" i="1" s="1"/>
  <c r="I188" i="1" s="1"/>
  <c r="U182" i="1"/>
  <c r="V182" i="1" s="1"/>
  <c r="D183" i="1"/>
  <c r="D184" i="1" s="1"/>
  <c r="D185" i="1" s="1"/>
  <c r="D186" i="1" s="1"/>
  <c r="D187" i="1" s="1"/>
  <c r="D188" i="1" s="1"/>
  <c r="U183" i="1"/>
  <c r="U184" i="1"/>
  <c r="U185" i="1"/>
  <c r="U186" i="1"/>
  <c r="U187" i="1"/>
  <c r="U188" i="1"/>
  <c r="B189" i="1"/>
  <c r="E189" i="1" s="1"/>
  <c r="I189" i="1"/>
  <c r="I190" i="1" s="1"/>
  <c r="I191" i="1" s="1"/>
  <c r="I192" i="1" s="1"/>
  <c r="U189" i="1"/>
  <c r="V189" i="1" s="1"/>
  <c r="D190" i="1"/>
  <c r="D191" i="1" s="1"/>
  <c r="U190" i="1"/>
  <c r="U191" i="1"/>
  <c r="U192" i="1"/>
  <c r="B193" i="1"/>
  <c r="E193" i="1" s="1"/>
  <c r="I193" i="1"/>
  <c r="I194" i="1" s="1"/>
  <c r="I195" i="1" s="1"/>
  <c r="I196" i="1" s="1"/>
  <c r="I197" i="1" s="1"/>
  <c r="U193" i="1"/>
  <c r="V193" i="1" s="1"/>
  <c r="D194" i="1"/>
  <c r="D195" i="1" s="1"/>
  <c r="D196" i="1" s="1"/>
  <c r="D197" i="1" s="1"/>
  <c r="U194" i="1"/>
  <c r="U195" i="1"/>
  <c r="U196" i="1"/>
  <c r="U197" i="1"/>
  <c r="B198" i="1"/>
  <c r="E198" i="1" s="1"/>
  <c r="I198" i="1"/>
  <c r="I199" i="1" s="1"/>
  <c r="I200" i="1" s="1"/>
  <c r="I201" i="1" s="1"/>
  <c r="I202" i="1" s="1"/>
  <c r="I203" i="1" s="1"/>
  <c r="I204" i="1" s="1"/>
  <c r="I205" i="1" s="1"/>
  <c r="I206" i="1" s="1"/>
  <c r="I207" i="1" s="1"/>
  <c r="I208" i="1" s="1"/>
  <c r="I209" i="1" s="1"/>
  <c r="I210" i="1" s="1"/>
  <c r="I211" i="1" s="1"/>
  <c r="I212" i="1" s="1"/>
  <c r="I213" i="1" s="1"/>
  <c r="I214" i="1" s="1"/>
  <c r="I215" i="1" s="1"/>
  <c r="I216" i="1" s="1"/>
  <c r="I217" i="1" s="1"/>
  <c r="I218" i="1" s="1"/>
  <c r="I219" i="1" s="1"/>
  <c r="I220" i="1" s="1"/>
  <c r="I221" i="1" s="1"/>
  <c r="I222" i="1" s="1"/>
  <c r="I223" i="1" s="1"/>
  <c r="I224" i="1" s="1"/>
  <c r="I225" i="1" s="1"/>
  <c r="I226" i="1" s="1"/>
  <c r="I227" i="1" s="1"/>
  <c r="I228" i="1" s="1"/>
  <c r="I229" i="1" s="1"/>
  <c r="I230" i="1" s="1"/>
  <c r="I231" i="1" s="1"/>
  <c r="I232" i="1" s="1"/>
  <c r="I233" i="1" s="1"/>
  <c r="I234" i="1" s="1"/>
  <c r="I235" i="1" s="1"/>
  <c r="I236" i="1" s="1"/>
  <c r="I237" i="1" s="1"/>
  <c r="I238" i="1" s="1"/>
  <c r="I239" i="1" s="1"/>
  <c r="I240" i="1" s="1"/>
  <c r="I241" i="1" s="1"/>
  <c r="I242" i="1" s="1"/>
  <c r="I243" i="1" s="1"/>
  <c r="I244" i="1" s="1"/>
  <c r="I245" i="1" s="1"/>
  <c r="I246" i="1" s="1"/>
  <c r="I247" i="1" s="1"/>
  <c r="I248" i="1" s="1"/>
  <c r="I249" i="1" s="1"/>
  <c r="I250" i="1" s="1"/>
  <c r="I251" i="1" s="1"/>
  <c r="I252" i="1" s="1"/>
  <c r="I253" i="1" s="1"/>
  <c r="I254" i="1" s="1"/>
  <c r="I255" i="1" s="1"/>
  <c r="I256" i="1" s="1"/>
  <c r="I257" i="1" s="1"/>
  <c r="I258" i="1" s="1"/>
  <c r="I259" i="1" s="1"/>
  <c r="I260" i="1" s="1"/>
  <c r="I261" i="1" s="1"/>
  <c r="I262" i="1" s="1"/>
  <c r="I263" i="1" s="1"/>
  <c r="I264" i="1" s="1"/>
  <c r="I265" i="1" s="1"/>
  <c r="I266" i="1" s="1"/>
  <c r="I267" i="1" s="1"/>
  <c r="I268" i="1" s="1"/>
  <c r="I269" i="1" s="1"/>
  <c r="I270" i="1" s="1"/>
  <c r="I271" i="1" s="1"/>
  <c r="I272" i="1" s="1"/>
  <c r="I273" i="1" s="1"/>
  <c r="I274" i="1" s="1"/>
  <c r="I275" i="1" s="1"/>
  <c r="I276" i="1" s="1"/>
  <c r="I277" i="1" s="1"/>
  <c r="I278" i="1" s="1"/>
  <c r="I279" i="1" s="1"/>
  <c r="I280" i="1" s="1"/>
  <c r="I281" i="1" s="1"/>
  <c r="I282" i="1" s="1"/>
  <c r="I283" i="1" s="1"/>
  <c r="I284" i="1" s="1"/>
  <c r="I285" i="1" s="1"/>
  <c r="I286" i="1" s="1"/>
  <c r="I287" i="1" s="1"/>
  <c r="I288" i="1" s="1"/>
  <c r="I289" i="1" s="1"/>
  <c r="I290" i="1" s="1"/>
  <c r="I291" i="1" s="1"/>
  <c r="I292" i="1" s="1"/>
  <c r="I293" i="1" s="1"/>
  <c r="I294" i="1" s="1"/>
  <c r="I295" i="1" s="1"/>
  <c r="I296" i="1" s="1"/>
  <c r="I297" i="1" s="1"/>
  <c r="I298" i="1" s="1"/>
  <c r="I299" i="1" s="1"/>
  <c r="I300" i="1" s="1"/>
  <c r="I301" i="1" s="1"/>
  <c r="I302" i="1" s="1"/>
  <c r="I303" i="1" s="1"/>
  <c r="I304" i="1" s="1"/>
  <c r="I305" i="1" s="1"/>
  <c r="I306" i="1" s="1"/>
  <c r="I307" i="1" s="1"/>
  <c r="I308" i="1" s="1"/>
  <c r="I309" i="1" s="1"/>
  <c r="I310" i="1" s="1"/>
  <c r="I311" i="1" s="1"/>
  <c r="I312" i="1" s="1"/>
  <c r="I313" i="1" s="1"/>
  <c r="I314" i="1" s="1"/>
  <c r="I315" i="1" s="1"/>
  <c r="I316" i="1" s="1"/>
  <c r="I317" i="1" s="1"/>
  <c r="I318" i="1" s="1"/>
  <c r="I319" i="1" s="1"/>
  <c r="I320" i="1" s="1"/>
  <c r="I321" i="1" s="1"/>
  <c r="I322" i="1" s="1"/>
  <c r="I323" i="1" s="1"/>
  <c r="I324" i="1" s="1"/>
  <c r="I325" i="1" s="1"/>
  <c r="I326" i="1" s="1"/>
  <c r="I327" i="1" s="1"/>
  <c r="I328" i="1" s="1"/>
  <c r="I329" i="1" s="1"/>
  <c r="I330" i="1" s="1"/>
  <c r="I331" i="1" s="1"/>
  <c r="I332" i="1" s="1"/>
  <c r="I333" i="1" s="1"/>
  <c r="I334" i="1" s="1"/>
  <c r="I335" i="1" s="1"/>
  <c r="I336" i="1" s="1"/>
  <c r="I337" i="1" s="1"/>
  <c r="I338" i="1" s="1"/>
  <c r="I339" i="1" s="1"/>
  <c r="I340" i="1" s="1"/>
  <c r="I341" i="1" s="1"/>
  <c r="I342" i="1" s="1"/>
  <c r="I343" i="1" s="1"/>
  <c r="I344" i="1" s="1"/>
  <c r="I345" i="1" s="1"/>
  <c r="I346" i="1" s="1"/>
  <c r="I347" i="1" s="1"/>
  <c r="I348" i="1" s="1"/>
  <c r="I349" i="1" s="1"/>
  <c r="I350" i="1" s="1"/>
  <c r="I351" i="1" s="1"/>
  <c r="I352" i="1" s="1"/>
  <c r="I353" i="1" s="1"/>
  <c r="I354" i="1" s="1"/>
  <c r="I355" i="1" s="1"/>
  <c r="I356" i="1" s="1"/>
  <c r="I357" i="1" s="1"/>
  <c r="I358" i="1" s="1"/>
  <c r="I359" i="1" s="1"/>
  <c r="I360" i="1" s="1"/>
  <c r="I361" i="1" s="1"/>
  <c r="I362" i="1" s="1"/>
  <c r="I363" i="1" s="1"/>
  <c r="I364" i="1" s="1"/>
  <c r="I365" i="1" s="1"/>
  <c r="I366" i="1" s="1"/>
  <c r="I367" i="1" s="1"/>
  <c r="I368" i="1" s="1"/>
  <c r="I369" i="1" s="1"/>
  <c r="I370" i="1" s="1"/>
  <c r="I371" i="1" s="1"/>
  <c r="I372" i="1" s="1"/>
  <c r="I373" i="1" s="1"/>
  <c r="I374" i="1" s="1"/>
  <c r="I375" i="1" s="1"/>
  <c r="I376" i="1" s="1"/>
  <c r="I377" i="1" s="1"/>
  <c r="I378" i="1" s="1"/>
  <c r="I379" i="1" s="1"/>
  <c r="I380" i="1" s="1"/>
  <c r="I381" i="1" s="1"/>
  <c r="I382" i="1" s="1"/>
  <c r="I383" i="1" s="1"/>
  <c r="I384" i="1" s="1"/>
  <c r="I385" i="1" s="1"/>
  <c r="I386" i="1" s="1"/>
  <c r="I387" i="1" s="1"/>
  <c r="I388" i="1" s="1"/>
  <c r="I389" i="1" s="1"/>
  <c r="I390" i="1" s="1"/>
  <c r="I391" i="1" s="1"/>
  <c r="I392" i="1" s="1"/>
  <c r="I393" i="1" s="1"/>
  <c r="I394" i="1" s="1"/>
  <c r="I395" i="1" s="1"/>
  <c r="I396" i="1" s="1"/>
  <c r="I397" i="1" s="1"/>
  <c r="I398" i="1" s="1"/>
  <c r="I399" i="1" s="1"/>
  <c r="I400" i="1" s="1"/>
  <c r="I401" i="1" s="1"/>
  <c r="I402" i="1" s="1"/>
  <c r="I403" i="1" s="1"/>
  <c r="I404" i="1" s="1"/>
  <c r="I407" i="1" s="1"/>
  <c r="I408" i="1" s="1"/>
  <c r="I409" i="1" s="1"/>
  <c r="I410" i="1" s="1"/>
  <c r="I411" i="1" s="1"/>
  <c r="I412" i="1" s="1"/>
  <c r="I413" i="1" s="1"/>
  <c r="I405" i="1" s="1"/>
  <c r="I406" i="1" s="1"/>
  <c r="I414" i="1" s="1"/>
  <c r="I415" i="1" s="1"/>
  <c r="U198" i="1"/>
  <c r="V198" i="1" s="1"/>
  <c r="D199" i="1"/>
  <c r="D201" i="1" s="1"/>
  <c r="D203" i="1" s="1"/>
  <c r="D204" i="1" s="1"/>
  <c r="D206" i="1" s="1"/>
  <c r="D207" i="1" s="1"/>
  <c r="D209" i="1" s="1"/>
  <c r="D211" i="1" s="1"/>
  <c r="D213" i="1" s="1"/>
  <c r="D215" i="1" s="1"/>
  <c r="D217" i="1" s="1"/>
  <c r="D219" i="1" s="1"/>
  <c r="D220" i="1" s="1"/>
  <c r="D221" i="1" s="1"/>
  <c r="D223" i="1" s="1"/>
  <c r="D224" i="1" s="1"/>
  <c r="D225" i="1" s="1"/>
  <c r="D226" i="1" s="1"/>
  <c r="D227" i="1" s="1"/>
  <c r="D229" i="1" s="1"/>
  <c r="D230" i="1" s="1"/>
  <c r="D231" i="1" s="1"/>
  <c r="D233" i="1" s="1"/>
  <c r="D235" i="1" s="1"/>
  <c r="D237" i="1" s="1"/>
  <c r="D239" i="1" s="1"/>
  <c r="D241" i="1" s="1"/>
  <c r="D242" i="1" s="1"/>
  <c r="D243" i="1" s="1"/>
  <c r="D245" i="1" s="1"/>
  <c r="D246" i="1" s="1"/>
  <c r="D247" i="1" s="1"/>
  <c r="D249" i="1" s="1"/>
  <c r="D250" i="1" s="1"/>
  <c r="D251" i="1" s="1"/>
  <c r="D253" i="1" s="1"/>
  <c r="D254" i="1" s="1"/>
  <c r="D255" i="1" s="1"/>
  <c r="D256" i="1" s="1"/>
  <c r="D257" i="1" s="1"/>
  <c r="D259" i="1" s="1"/>
  <c r="D261" i="1" s="1"/>
  <c r="D263" i="1" s="1"/>
  <c r="D265" i="1" s="1"/>
  <c r="D267" i="1" s="1"/>
  <c r="D268" i="1" s="1"/>
  <c r="D270" i="1" s="1"/>
  <c r="D272" i="1" s="1"/>
  <c r="D273" i="1" s="1"/>
  <c r="D274" i="1" s="1"/>
  <c r="D276" i="1" s="1"/>
  <c r="D277" i="1" s="1"/>
  <c r="D278" i="1" s="1"/>
  <c r="D279" i="1" s="1"/>
  <c r="D280" i="1" s="1"/>
  <c r="D282" i="1" s="1"/>
  <c r="U199" i="1"/>
  <c r="B200" i="1"/>
  <c r="U200" i="1"/>
  <c r="U201" i="1"/>
  <c r="U202" i="1"/>
  <c r="U203" i="1"/>
  <c r="U204" i="1"/>
  <c r="U205" i="1"/>
  <c r="U206" i="1"/>
  <c r="U207" i="1"/>
  <c r="U208" i="1"/>
  <c r="U209" i="1"/>
  <c r="U210" i="1"/>
  <c r="U211" i="1"/>
  <c r="U212" i="1"/>
  <c r="U213" i="1"/>
  <c r="U214" i="1"/>
  <c r="U215" i="1"/>
  <c r="U216" i="1"/>
  <c r="U217" i="1"/>
  <c r="U218" i="1"/>
  <c r="U219" i="1"/>
  <c r="U220" i="1"/>
  <c r="U221" i="1"/>
  <c r="U222" i="1"/>
  <c r="U223" i="1"/>
  <c r="U224" i="1"/>
  <c r="U225" i="1"/>
  <c r="U226" i="1"/>
  <c r="U227" i="1"/>
  <c r="U228" i="1"/>
  <c r="U229" i="1"/>
  <c r="U230" i="1"/>
  <c r="U231" i="1"/>
  <c r="U232" i="1"/>
  <c r="U233" i="1"/>
  <c r="U234" i="1"/>
  <c r="U235" i="1"/>
  <c r="U236" i="1"/>
  <c r="U237" i="1"/>
  <c r="U238" i="1"/>
  <c r="U239" i="1"/>
  <c r="U240" i="1"/>
  <c r="U241" i="1"/>
  <c r="U242" i="1"/>
  <c r="U243" i="1"/>
  <c r="U244" i="1"/>
  <c r="U245" i="1"/>
  <c r="U246" i="1"/>
  <c r="U247" i="1"/>
  <c r="U248" i="1"/>
  <c r="U249" i="1"/>
  <c r="U250" i="1"/>
  <c r="U251" i="1"/>
  <c r="U252" i="1"/>
  <c r="U253" i="1"/>
  <c r="U254" i="1"/>
  <c r="U255" i="1"/>
  <c r="U256" i="1"/>
  <c r="U257" i="1"/>
  <c r="U258" i="1"/>
  <c r="U259" i="1"/>
  <c r="U260" i="1"/>
  <c r="U261" i="1"/>
  <c r="U262" i="1"/>
  <c r="U263" i="1"/>
  <c r="U264" i="1"/>
  <c r="U265" i="1"/>
  <c r="U266" i="1"/>
  <c r="U267" i="1"/>
  <c r="U268" i="1"/>
  <c r="U269" i="1"/>
  <c r="U270" i="1"/>
  <c r="U271" i="1"/>
  <c r="U272" i="1"/>
  <c r="U273" i="1"/>
  <c r="U274" i="1"/>
  <c r="U275" i="1"/>
  <c r="U276" i="1"/>
  <c r="U277" i="1"/>
  <c r="U278" i="1"/>
  <c r="U279" i="1"/>
  <c r="U280" i="1"/>
  <c r="U281" i="1"/>
  <c r="U282" i="1"/>
  <c r="U283" i="1"/>
  <c r="U284" i="1"/>
  <c r="U285" i="1"/>
  <c r="U286" i="1"/>
  <c r="U287" i="1"/>
  <c r="U288" i="1"/>
  <c r="U289" i="1"/>
  <c r="U290" i="1"/>
  <c r="U291" i="1"/>
  <c r="U292" i="1"/>
  <c r="U293" i="1"/>
  <c r="U294" i="1"/>
  <c r="U295" i="1"/>
  <c r="U296" i="1"/>
  <c r="U297" i="1"/>
  <c r="U298" i="1"/>
  <c r="U299" i="1"/>
  <c r="U300" i="1"/>
  <c r="U301" i="1"/>
  <c r="U302" i="1"/>
  <c r="U303" i="1"/>
  <c r="U304" i="1"/>
  <c r="U305" i="1"/>
  <c r="U306" i="1"/>
  <c r="U307" i="1"/>
  <c r="U308" i="1"/>
  <c r="U309" i="1"/>
  <c r="U310" i="1"/>
  <c r="U311" i="1"/>
  <c r="U312" i="1"/>
  <c r="U313" i="1"/>
  <c r="U314" i="1"/>
  <c r="U315" i="1"/>
  <c r="U316" i="1"/>
  <c r="U317" i="1"/>
  <c r="U318" i="1"/>
  <c r="U319" i="1"/>
  <c r="U320" i="1"/>
  <c r="U321" i="1"/>
  <c r="U322" i="1"/>
  <c r="U323" i="1"/>
  <c r="U324" i="1"/>
  <c r="U325" i="1"/>
  <c r="U326" i="1"/>
  <c r="U327" i="1"/>
  <c r="U328" i="1"/>
  <c r="U329" i="1"/>
  <c r="U330" i="1"/>
  <c r="U331" i="1"/>
  <c r="U332" i="1"/>
  <c r="U333" i="1"/>
  <c r="U334" i="1"/>
  <c r="U335" i="1"/>
  <c r="U336" i="1"/>
  <c r="U337" i="1"/>
  <c r="U338" i="1"/>
  <c r="U339" i="1"/>
  <c r="U340" i="1"/>
  <c r="U341" i="1"/>
  <c r="U342" i="1"/>
  <c r="U343" i="1"/>
  <c r="U344" i="1"/>
  <c r="U345" i="1"/>
  <c r="U346" i="1"/>
  <c r="U347" i="1"/>
  <c r="U348" i="1"/>
  <c r="U349" i="1"/>
  <c r="U350" i="1"/>
  <c r="U351" i="1"/>
  <c r="U352" i="1"/>
  <c r="U353" i="1"/>
  <c r="U354" i="1"/>
  <c r="U355" i="1"/>
  <c r="U356" i="1"/>
  <c r="U357" i="1"/>
  <c r="U358" i="1"/>
  <c r="U359" i="1"/>
  <c r="U360" i="1"/>
  <c r="U361" i="1"/>
  <c r="U362" i="1"/>
  <c r="U363" i="1"/>
  <c r="U364" i="1"/>
  <c r="U365" i="1"/>
  <c r="U366" i="1"/>
  <c r="U367" i="1"/>
  <c r="U368" i="1"/>
  <c r="U369" i="1"/>
  <c r="U370" i="1"/>
  <c r="U371" i="1"/>
  <c r="U372" i="1"/>
  <c r="U373" i="1"/>
  <c r="U374" i="1"/>
  <c r="U375" i="1"/>
  <c r="U376" i="1"/>
  <c r="U377" i="1"/>
  <c r="U378" i="1"/>
  <c r="U379" i="1"/>
  <c r="U380" i="1"/>
  <c r="U381" i="1"/>
  <c r="U382" i="1"/>
  <c r="U383" i="1"/>
  <c r="U384" i="1"/>
  <c r="U385" i="1"/>
  <c r="U386" i="1"/>
  <c r="U387" i="1"/>
  <c r="U388" i="1"/>
  <c r="U389" i="1"/>
  <c r="U390" i="1"/>
  <c r="U391" i="1"/>
  <c r="U392" i="1"/>
  <c r="U393" i="1"/>
  <c r="U394" i="1"/>
  <c r="U395" i="1"/>
  <c r="U396" i="1"/>
  <c r="U397" i="1"/>
  <c r="U398" i="1"/>
  <c r="U399" i="1"/>
  <c r="U400" i="1"/>
  <c r="U401" i="1"/>
  <c r="U402" i="1"/>
  <c r="U403" i="1"/>
  <c r="U404" i="1"/>
  <c r="U407" i="1"/>
  <c r="U408" i="1"/>
  <c r="U409" i="1"/>
  <c r="U410" i="1"/>
  <c r="U411" i="1"/>
  <c r="U412" i="1"/>
  <c r="U413" i="1"/>
  <c r="U405" i="1"/>
  <c r="U406" i="1"/>
  <c r="U414" i="1"/>
  <c r="U415" i="1"/>
  <c r="U416" i="1"/>
  <c r="U417" i="1"/>
  <c r="U418" i="1"/>
  <c r="U419" i="1"/>
  <c r="U420" i="1"/>
  <c r="U421" i="1"/>
  <c r="U422" i="1"/>
  <c r="U423" i="1"/>
  <c r="U424" i="1"/>
  <c r="U425" i="1"/>
  <c r="U426" i="1"/>
  <c r="U427" i="1"/>
  <c r="U428" i="1"/>
  <c r="U429" i="1"/>
  <c r="U430" i="1"/>
  <c r="U431" i="1"/>
  <c r="U432" i="1"/>
  <c r="U433" i="1"/>
  <c r="U434" i="1"/>
  <c r="U435" i="1"/>
  <c r="U436" i="1"/>
  <c r="U437" i="1"/>
  <c r="U438" i="1"/>
  <c r="U439" i="1"/>
  <c r="U440" i="1"/>
  <c r="U441" i="1"/>
  <c r="U442" i="1"/>
  <c r="U443" i="1"/>
  <c r="U444" i="1"/>
  <c r="U445" i="1"/>
  <c r="U446" i="1"/>
  <c r="U447" i="1"/>
  <c r="U448" i="1"/>
  <c r="U449" i="1"/>
  <c r="U450" i="1"/>
  <c r="U451" i="1"/>
  <c r="U452" i="1"/>
  <c r="U453" i="1"/>
  <c r="U454" i="1"/>
  <c r="U455" i="1"/>
  <c r="U456" i="1"/>
  <c r="U457" i="1"/>
  <c r="U458" i="1"/>
  <c r="U459" i="1"/>
  <c r="U460" i="1"/>
  <c r="U461" i="1"/>
  <c r="U462" i="1"/>
  <c r="U463" i="1"/>
  <c r="U464" i="1"/>
  <c r="U465" i="1"/>
  <c r="U466" i="1"/>
  <c r="U467" i="1"/>
  <c r="U468" i="1"/>
  <c r="U469" i="1"/>
  <c r="U470" i="1"/>
  <c r="U471" i="1"/>
  <c r="U472" i="1"/>
  <c r="U473" i="1"/>
  <c r="U474" i="1"/>
  <c r="U475" i="1"/>
  <c r="U476" i="1"/>
  <c r="U477" i="1"/>
  <c r="U478" i="1"/>
  <c r="U479" i="1"/>
  <c r="U480" i="1"/>
  <c r="U481" i="1"/>
  <c r="U482" i="1"/>
  <c r="U483" i="1"/>
  <c r="U484" i="1"/>
  <c r="U485" i="1"/>
  <c r="U486" i="1"/>
  <c r="U487" i="1"/>
  <c r="U488" i="1"/>
  <c r="U489" i="1"/>
  <c r="U490" i="1"/>
  <c r="U491" i="1"/>
  <c r="U492" i="1"/>
  <c r="U493" i="1"/>
  <c r="U494" i="1"/>
  <c r="U495" i="1"/>
  <c r="U496" i="1"/>
  <c r="U497" i="1"/>
  <c r="U498" i="1"/>
  <c r="U499" i="1"/>
  <c r="U500" i="1"/>
  <c r="U501" i="1"/>
  <c r="U502" i="1"/>
  <c r="U503" i="1"/>
  <c r="U504" i="1"/>
  <c r="U505" i="1"/>
  <c r="U506" i="1"/>
  <c r="U507" i="1"/>
  <c r="U508" i="1"/>
  <c r="U509" i="1"/>
  <c r="U510" i="1"/>
  <c r="U511" i="1"/>
  <c r="U512" i="1"/>
  <c r="U513" i="1"/>
  <c r="U514" i="1"/>
  <c r="U515" i="1"/>
  <c r="U516" i="1"/>
  <c r="U517" i="1"/>
  <c r="U518" i="1"/>
  <c r="U519" i="1"/>
  <c r="U522" i="1"/>
  <c r="U523" i="1"/>
  <c r="U524" i="1"/>
  <c r="U525" i="1"/>
  <c r="U526" i="1"/>
  <c r="U527" i="1"/>
  <c r="U528" i="1"/>
  <c r="U529" i="1"/>
  <c r="U530" i="1"/>
  <c r="U531" i="1"/>
  <c r="U532" i="1"/>
  <c r="U533" i="1"/>
  <c r="U534" i="1"/>
  <c r="U535" i="1"/>
  <c r="U536" i="1"/>
  <c r="U537" i="1"/>
  <c r="U538" i="1"/>
  <c r="U539" i="1"/>
  <c r="U540" i="1"/>
  <c r="U541" i="1"/>
  <c r="U542" i="1"/>
  <c r="U543" i="1"/>
  <c r="U544" i="1"/>
  <c r="U545" i="1"/>
  <c r="U546" i="1"/>
  <c r="U547" i="1"/>
  <c r="U548" i="1"/>
  <c r="U549" i="1"/>
  <c r="U550" i="1"/>
  <c r="U551" i="1"/>
  <c r="U552" i="1"/>
  <c r="U553" i="1"/>
  <c r="U554" i="1"/>
  <c r="U555" i="1"/>
  <c r="U556" i="1"/>
  <c r="U557" i="1"/>
  <c r="U558" i="1"/>
  <c r="U559" i="1"/>
  <c r="U560" i="1"/>
  <c r="U561" i="1"/>
  <c r="U562" i="1"/>
  <c r="U563" i="1"/>
  <c r="U564" i="1"/>
  <c r="U565" i="1"/>
  <c r="U566" i="1"/>
  <c r="U567" i="1"/>
  <c r="U568" i="1"/>
  <c r="U569" i="1"/>
  <c r="U570" i="1"/>
  <c r="U571" i="1"/>
  <c r="U572" i="1"/>
  <c r="U573" i="1"/>
  <c r="U574" i="1"/>
  <c r="U575" i="1"/>
  <c r="U576" i="1"/>
  <c r="U577" i="1"/>
  <c r="U578" i="1"/>
  <c r="U583" i="1"/>
  <c r="U584" i="1"/>
  <c r="U585" i="1"/>
  <c r="U586" i="1"/>
  <c r="U579" i="1"/>
  <c r="U580" i="1"/>
  <c r="U581" i="1"/>
  <c r="U582" i="1"/>
  <c r="U587" i="1"/>
  <c r="U588" i="1"/>
  <c r="U589" i="1"/>
  <c r="U590" i="1"/>
  <c r="U591" i="1"/>
  <c r="U592" i="1"/>
  <c r="U593" i="1"/>
  <c r="U594" i="1"/>
  <c r="U595" i="1"/>
  <c r="U596" i="1"/>
  <c r="U597" i="1"/>
  <c r="U598" i="1"/>
  <c r="U599" i="1"/>
  <c r="U600" i="1"/>
  <c r="U601" i="1"/>
  <c r="U602" i="1"/>
  <c r="U603" i="1"/>
  <c r="U604" i="1"/>
  <c r="U605" i="1"/>
  <c r="U606" i="1"/>
  <c r="U607" i="1"/>
  <c r="U608" i="1"/>
  <c r="U609" i="1"/>
  <c r="U610" i="1"/>
  <c r="U611" i="1"/>
  <c r="U612" i="1"/>
  <c r="U613" i="1"/>
  <c r="U614" i="1"/>
  <c r="U615" i="1"/>
  <c r="U616" i="1"/>
  <c r="U617" i="1"/>
  <c r="U618" i="1"/>
  <c r="U619" i="1"/>
  <c r="U620" i="1"/>
  <c r="U621" i="1"/>
  <c r="U622" i="1"/>
  <c r="U623" i="1"/>
  <c r="U624" i="1"/>
  <c r="U625" i="1"/>
  <c r="U626" i="1"/>
  <c r="U627" i="1"/>
  <c r="U628" i="1"/>
  <c r="U629" i="1"/>
  <c r="U630" i="1"/>
  <c r="U631" i="1"/>
  <c r="U632" i="1"/>
  <c r="U633" i="1"/>
  <c r="U634" i="1"/>
  <c r="U635" i="1"/>
  <c r="U636" i="1"/>
  <c r="U637" i="1"/>
  <c r="U638" i="1"/>
  <c r="U639" i="1"/>
  <c r="U640" i="1"/>
  <c r="U641" i="1"/>
  <c r="U642" i="1"/>
  <c r="U643" i="1"/>
  <c r="U644" i="1"/>
  <c r="U645" i="1"/>
  <c r="U646" i="1"/>
  <c r="U647" i="1"/>
  <c r="U648" i="1"/>
  <c r="U649" i="1"/>
  <c r="U650" i="1"/>
  <c r="U651" i="1"/>
  <c r="U652" i="1"/>
  <c r="U653" i="1"/>
  <c r="U654" i="1"/>
  <c r="U655" i="1"/>
  <c r="U656" i="1"/>
  <c r="U657" i="1"/>
  <c r="U658" i="1"/>
  <c r="U659" i="1"/>
  <c r="U660" i="1"/>
  <c r="U661" i="1"/>
  <c r="U662" i="1"/>
  <c r="U663" i="1"/>
  <c r="U664" i="1"/>
  <c r="U665" i="1"/>
  <c r="U666" i="1"/>
  <c r="U667" i="1"/>
  <c r="U668" i="1"/>
  <c r="U669" i="1"/>
  <c r="U670" i="1"/>
  <c r="U671" i="1"/>
  <c r="U672" i="1"/>
  <c r="U674" i="1"/>
  <c r="U675" i="1"/>
  <c r="U676" i="1"/>
  <c r="U677" i="1"/>
  <c r="U678" i="1"/>
  <c r="U673" i="1"/>
  <c r="U679" i="1"/>
  <c r="U680" i="1"/>
  <c r="U681" i="1"/>
  <c r="U682" i="1"/>
  <c r="U683" i="1"/>
  <c r="U684" i="1"/>
  <c r="U685" i="1"/>
  <c r="U686" i="1"/>
  <c r="U687" i="1"/>
  <c r="U688" i="1"/>
  <c r="U689" i="1"/>
  <c r="U690" i="1"/>
  <c r="U691" i="1"/>
  <c r="U692" i="1"/>
  <c r="U693" i="1"/>
  <c r="U694" i="1"/>
  <c r="U695" i="1"/>
  <c r="U696" i="1"/>
  <c r="U697" i="1"/>
  <c r="U698" i="1"/>
  <c r="U699" i="1"/>
  <c r="U700" i="1"/>
  <c r="U701" i="1"/>
  <c r="U702" i="1"/>
  <c r="U703" i="1"/>
  <c r="U704" i="1"/>
  <c r="U705" i="1"/>
  <c r="U706" i="1"/>
  <c r="U707" i="1"/>
  <c r="U708" i="1"/>
  <c r="U709" i="1"/>
  <c r="U710" i="1"/>
  <c r="U711" i="1"/>
  <c r="U712" i="1"/>
  <c r="U713" i="1"/>
  <c r="U714" i="1"/>
  <c r="U715" i="1"/>
  <c r="U716" i="1"/>
  <c r="U717" i="1"/>
  <c r="U718" i="1"/>
  <c r="U719" i="1"/>
  <c r="U720" i="1"/>
  <c r="U721" i="1"/>
  <c r="U722" i="1"/>
  <c r="U723" i="1"/>
  <c r="U724" i="1"/>
  <c r="U725" i="1"/>
  <c r="U726" i="1"/>
  <c r="U727" i="1"/>
  <c r="U728" i="1"/>
  <c r="U729" i="1"/>
  <c r="U730" i="1"/>
  <c r="U731" i="1"/>
  <c r="U732" i="1"/>
  <c r="U733" i="1"/>
  <c r="U734" i="1"/>
  <c r="U735" i="1"/>
  <c r="U736" i="1"/>
  <c r="U737" i="1"/>
  <c r="U738" i="1"/>
  <c r="U739" i="1"/>
  <c r="U740" i="1"/>
  <c r="U741" i="1"/>
  <c r="U742" i="1"/>
  <c r="U743" i="1"/>
  <c r="U744" i="1"/>
  <c r="U745" i="1"/>
  <c r="U746" i="1"/>
  <c r="U747" i="1"/>
  <c r="U748" i="1"/>
  <c r="U749" i="1"/>
  <c r="U750" i="1"/>
  <c r="U751" i="1"/>
  <c r="U752" i="1"/>
  <c r="U753" i="1"/>
  <c r="U754" i="1"/>
  <c r="U755" i="1"/>
  <c r="U756" i="1"/>
  <c r="U757" i="1"/>
  <c r="U758" i="1"/>
  <c r="U759" i="1"/>
  <c r="U760" i="1"/>
  <c r="U761" i="1"/>
  <c r="U762" i="1"/>
  <c r="U763" i="1"/>
  <c r="U764" i="1"/>
  <c r="U765" i="1"/>
  <c r="U766" i="1"/>
  <c r="U767" i="1"/>
  <c r="U768" i="1"/>
  <c r="U769" i="1"/>
  <c r="U770" i="1"/>
  <c r="U771" i="1"/>
  <c r="U772" i="1"/>
  <c r="U773" i="1"/>
  <c r="U774" i="1"/>
  <c r="U775" i="1"/>
  <c r="U776" i="1"/>
  <c r="U777" i="1"/>
  <c r="U778" i="1"/>
  <c r="U779" i="1"/>
  <c r="U780" i="1"/>
  <c r="U781" i="1"/>
  <c r="U782" i="1"/>
  <c r="U783" i="1"/>
  <c r="U784" i="1"/>
  <c r="U785" i="1"/>
  <c r="U786" i="1"/>
  <c r="U787" i="1"/>
  <c r="U788" i="1"/>
  <c r="U789" i="1"/>
  <c r="U790" i="1"/>
  <c r="U791" i="1"/>
  <c r="U792" i="1"/>
  <c r="U793" i="1"/>
  <c r="U794" i="1"/>
  <c r="U795" i="1"/>
  <c r="U796" i="1"/>
  <c r="U797" i="1"/>
  <c r="U798" i="1"/>
  <c r="U799" i="1"/>
  <c r="U800" i="1"/>
  <c r="U801" i="1"/>
  <c r="U802" i="1"/>
  <c r="U803" i="1"/>
  <c r="U804" i="1"/>
  <c r="U805" i="1"/>
  <c r="U806" i="1"/>
  <c r="U807" i="1"/>
  <c r="U808" i="1"/>
  <c r="U809" i="1"/>
  <c r="U810" i="1"/>
  <c r="U811" i="1"/>
  <c r="U812" i="1"/>
  <c r="U813" i="1"/>
  <c r="U814" i="1"/>
  <c r="U815" i="1"/>
  <c r="U816" i="1"/>
  <c r="U817" i="1"/>
  <c r="U818" i="1"/>
  <c r="U819" i="1"/>
  <c r="U820" i="1"/>
  <c r="U821" i="1"/>
  <c r="U822" i="1"/>
  <c r="U823" i="1"/>
  <c r="U824" i="1"/>
  <c r="U825" i="1"/>
  <c r="U826" i="1"/>
  <c r="U827" i="1"/>
  <c r="U828" i="1"/>
  <c r="U829" i="1"/>
  <c r="U830" i="1"/>
  <c r="U831" i="1"/>
  <c r="U832" i="1"/>
  <c r="U833" i="1"/>
  <c r="U834" i="1"/>
  <c r="U835" i="1"/>
  <c r="U836" i="1"/>
  <c r="U837" i="1"/>
  <c r="U838" i="1"/>
  <c r="U839" i="1"/>
  <c r="U840" i="1"/>
  <c r="U841" i="1"/>
  <c r="U842" i="1"/>
  <c r="U843" i="1"/>
  <c r="U844" i="1"/>
  <c r="U845" i="1"/>
  <c r="U846" i="1"/>
  <c r="U847" i="1"/>
  <c r="U848" i="1"/>
  <c r="U849" i="1"/>
  <c r="U850" i="1"/>
  <c r="U851" i="1"/>
  <c r="U852" i="1"/>
  <c r="U853" i="1"/>
  <c r="U854" i="1"/>
  <c r="U855" i="1"/>
  <c r="U856" i="1"/>
  <c r="U857" i="1"/>
  <c r="U858" i="1"/>
  <c r="U859" i="1"/>
  <c r="U860" i="1"/>
  <c r="U861" i="1"/>
  <c r="U862" i="1"/>
  <c r="U863" i="1"/>
  <c r="U864" i="1"/>
  <c r="U865" i="1"/>
  <c r="U866" i="1"/>
  <c r="U867" i="1"/>
  <c r="U868" i="1"/>
  <c r="U869" i="1"/>
  <c r="U870" i="1"/>
  <c r="U871" i="1"/>
  <c r="U872" i="1"/>
  <c r="U873" i="1"/>
  <c r="U874" i="1"/>
  <c r="U875" i="1"/>
  <c r="U876" i="1"/>
  <c r="U877" i="1"/>
  <c r="U878" i="1"/>
  <c r="U879" i="1"/>
  <c r="U880" i="1"/>
  <c r="U881" i="1"/>
  <c r="U882" i="1"/>
  <c r="U883" i="1"/>
  <c r="U884" i="1"/>
  <c r="U885" i="1"/>
  <c r="U886" i="1"/>
  <c r="U887" i="1"/>
  <c r="U888" i="1"/>
  <c r="U889" i="1"/>
  <c r="U890" i="1"/>
  <c r="U891" i="1"/>
  <c r="U892" i="1"/>
  <c r="U893" i="1"/>
  <c r="U894" i="1"/>
  <c r="U895" i="1"/>
  <c r="U896" i="1"/>
  <c r="U897" i="1"/>
  <c r="U898" i="1"/>
  <c r="U899" i="1"/>
  <c r="U900" i="1"/>
  <c r="U901" i="1"/>
  <c r="U902" i="1"/>
  <c r="U903" i="1"/>
  <c r="U904" i="1"/>
  <c r="U905" i="1"/>
  <c r="U906" i="1"/>
  <c r="U907" i="1"/>
  <c r="U908" i="1"/>
  <c r="U909" i="1"/>
  <c r="U910" i="1"/>
  <c r="U911" i="1"/>
  <c r="U912" i="1"/>
  <c r="U913" i="1"/>
  <c r="U914" i="1"/>
  <c r="U915" i="1"/>
  <c r="U916" i="1"/>
  <c r="U917" i="1"/>
  <c r="U918" i="1"/>
  <c r="U919" i="1"/>
  <c r="U920" i="1"/>
  <c r="U921" i="1"/>
  <c r="U922" i="1"/>
  <c r="U923" i="1"/>
  <c r="U924" i="1"/>
  <c r="U925" i="1"/>
  <c r="U926" i="1"/>
  <c r="U927" i="1"/>
  <c r="U928" i="1"/>
  <c r="U929" i="1"/>
  <c r="U930" i="1"/>
  <c r="U931" i="1"/>
  <c r="U932" i="1"/>
  <c r="U933" i="1"/>
  <c r="U934" i="1"/>
  <c r="U935" i="1"/>
  <c r="U936" i="1"/>
  <c r="U937" i="1"/>
  <c r="U938" i="1"/>
  <c r="U939" i="1"/>
  <c r="U940" i="1"/>
  <c r="U941" i="1"/>
  <c r="U942" i="1"/>
  <c r="U943" i="1"/>
  <c r="U944" i="1"/>
  <c r="U945" i="1"/>
  <c r="U946" i="1"/>
  <c r="U947" i="1"/>
  <c r="U948" i="1"/>
  <c r="U949" i="1"/>
  <c r="U950" i="1"/>
  <c r="U951" i="1"/>
  <c r="U952" i="1"/>
  <c r="U953" i="1"/>
  <c r="U954" i="1"/>
  <c r="U955" i="1"/>
  <c r="U956" i="1"/>
  <c r="U957" i="1"/>
  <c r="U958" i="1"/>
  <c r="U959" i="1"/>
  <c r="U960" i="1"/>
  <c r="U961" i="1"/>
  <c r="U962" i="1"/>
  <c r="U963" i="1"/>
  <c r="U964" i="1"/>
  <c r="U965" i="1"/>
  <c r="U966" i="1"/>
  <c r="U967" i="1"/>
  <c r="U968" i="1"/>
  <c r="U969" i="1"/>
  <c r="U970" i="1"/>
  <c r="U971" i="1"/>
  <c r="U972" i="1"/>
  <c r="U973" i="1"/>
  <c r="U974" i="1"/>
  <c r="U975" i="1"/>
  <c r="U976" i="1"/>
  <c r="U977" i="1"/>
  <c r="U978" i="1"/>
  <c r="U979" i="1"/>
  <c r="U980" i="1"/>
  <c r="U981" i="1"/>
  <c r="U982" i="1"/>
  <c r="U983" i="1"/>
  <c r="U984" i="1"/>
  <c r="U985" i="1"/>
  <c r="U986" i="1"/>
  <c r="U987" i="1"/>
  <c r="U988" i="1"/>
  <c r="U989" i="1"/>
  <c r="U990" i="1"/>
  <c r="U991" i="1"/>
  <c r="U992" i="1"/>
  <c r="U993" i="1"/>
  <c r="U994" i="1"/>
  <c r="U995" i="1"/>
  <c r="U996" i="1"/>
  <c r="U997" i="1"/>
  <c r="U998" i="1"/>
  <c r="U999" i="1"/>
  <c r="U1000" i="1"/>
  <c r="U1001" i="1"/>
  <c r="U1002" i="1"/>
  <c r="U1003" i="1"/>
  <c r="U1004" i="1"/>
  <c r="U1005" i="1"/>
  <c r="U1006" i="1"/>
  <c r="U1007" i="1"/>
  <c r="U1008" i="1"/>
  <c r="U1009" i="1"/>
  <c r="U1010" i="1"/>
  <c r="U1011" i="1"/>
  <c r="U1012" i="1"/>
  <c r="U1013" i="1"/>
  <c r="U1014" i="1"/>
  <c r="U1015" i="1"/>
  <c r="U1016" i="1"/>
  <c r="U1017" i="1"/>
  <c r="U1018" i="1"/>
  <c r="U1019" i="1"/>
  <c r="U1020" i="1"/>
  <c r="U1021" i="1"/>
  <c r="U1022" i="1"/>
  <c r="U1023" i="1"/>
  <c r="U1024" i="1"/>
  <c r="U1025" i="1"/>
  <c r="U1026" i="1"/>
  <c r="U1027" i="1"/>
  <c r="U1028" i="1"/>
  <c r="U1029" i="1"/>
  <c r="U1030" i="1"/>
  <c r="U1031" i="1"/>
  <c r="U1032" i="1"/>
  <c r="U1033" i="1"/>
  <c r="U1034" i="1"/>
  <c r="U1035" i="1"/>
  <c r="U1036" i="1"/>
  <c r="U1037" i="1"/>
  <c r="U1038" i="1"/>
  <c r="U1039" i="1"/>
  <c r="U1040" i="1"/>
  <c r="U1041" i="1"/>
  <c r="U1042" i="1"/>
  <c r="U1043" i="1"/>
  <c r="U1044" i="1"/>
  <c r="U1045" i="1"/>
  <c r="U1046" i="1"/>
  <c r="U1047" i="1"/>
  <c r="U1048" i="1"/>
  <c r="U1049" i="1"/>
  <c r="U1050" i="1"/>
  <c r="U1051" i="1"/>
  <c r="U1052" i="1"/>
  <c r="U1053" i="1"/>
  <c r="U1054" i="1"/>
  <c r="U1055" i="1"/>
  <c r="U1056" i="1"/>
  <c r="U1057" i="1"/>
  <c r="U1058" i="1"/>
  <c r="U1059" i="1"/>
  <c r="U1060" i="1"/>
  <c r="U1061" i="1"/>
  <c r="U1062" i="1"/>
  <c r="U1063" i="1"/>
  <c r="U1064" i="1"/>
  <c r="U1065" i="1"/>
  <c r="U1066" i="1"/>
  <c r="U1067" i="1"/>
  <c r="U1068" i="1"/>
  <c r="U1069" i="1"/>
  <c r="V1070" i="1"/>
  <c r="V1071" i="1"/>
  <c r="U1072" i="1"/>
  <c r="U1073" i="1"/>
  <c r="U1074" i="1"/>
  <c r="U1075" i="1"/>
  <c r="U1076" i="1"/>
  <c r="U1077" i="1"/>
  <c r="U1078" i="1"/>
  <c r="U1079" i="1"/>
  <c r="U1080" i="1"/>
  <c r="U1081" i="1"/>
  <c r="U1082" i="1"/>
  <c r="U1083" i="1"/>
  <c r="U1084" i="1"/>
  <c r="U1085" i="1"/>
  <c r="U1070" i="1"/>
  <c r="U1071" i="1"/>
  <c r="R4" i="1"/>
  <c r="R5" i="1"/>
  <c r="R6" i="1"/>
  <c r="R7" i="1"/>
  <c r="R8" i="1"/>
  <c r="R9" i="1"/>
  <c r="R10" i="1"/>
  <c r="R11" i="1"/>
  <c r="R12" i="1"/>
  <c r="R13" i="1"/>
  <c r="R14" i="1"/>
  <c r="R15" i="1"/>
  <c r="R16" i="1"/>
  <c r="R17" i="1"/>
  <c r="R18" i="1"/>
  <c r="R19" i="1"/>
  <c r="R20" i="1"/>
  <c r="R21" i="1"/>
  <c r="R22" i="1"/>
  <c r="R23" i="1"/>
  <c r="R24" i="1"/>
  <c r="R25" i="1"/>
  <c r="R26" i="1"/>
  <c r="R27" i="1"/>
  <c r="R30" i="1"/>
  <c r="R31" i="1"/>
  <c r="R32" i="1"/>
  <c r="R33" i="1"/>
  <c r="R34" i="1"/>
  <c r="R35" i="1"/>
  <c r="R36" i="1"/>
  <c r="R37" i="1"/>
  <c r="R38" i="1"/>
  <c r="R39" i="1"/>
  <c r="R40" i="1"/>
  <c r="R41" i="1"/>
  <c r="R42" i="1"/>
  <c r="R43" i="1"/>
  <c r="R44" i="1"/>
  <c r="R45" i="1"/>
  <c r="R46" i="1"/>
  <c r="R47" i="1"/>
  <c r="R48" i="1"/>
  <c r="R49" i="1"/>
  <c r="R50" i="1"/>
  <c r="R51" i="1"/>
  <c r="R52" i="1"/>
  <c r="R53" i="1"/>
  <c r="R54" i="1"/>
  <c r="R55" i="1"/>
  <c r="R56" i="1"/>
  <c r="R57" i="1"/>
  <c r="R58" i="1"/>
  <c r="R59" i="1"/>
  <c r="R60" i="1"/>
  <c r="R61" i="1"/>
  <c r="R62" i="1"/>
  <c r="R63" i="1"/>
  <c r="R64" i="1"/>
  <c r="R65" i="1"/>
  <c r="R66" i="1"/>
  <c r="R67" i="1"/>
  <c r="R68" i="1"/>
  <c r="R69" i="1"/>
  <c r="R70" i="1"/>
  <c r="R71" i="1"/>
  <c r="R72" i="1"/>
  <c r="R73" i="1"/>
  <c r="R74" i="1"/>
  <c r="R75" i="1"/>
  <c r="R77" i="1"/>
  <c r="R79" i="1"/>
  <c r="R80" i="1"/>
  <c r="R81" i="1"/>
  <c r="R82" i="1"/>
  <c r="R83" i="1"/>
  <c r="R84" i="1"/>
  <c r="R85" i="1"/>
  <c r="R86" i="1"/>
  <c r="R87" i="1"/>
  <c r="R88" i="1"/>
  <c r="R89" i="1"/>
  <c r="R90" i="1"/>
  <c r="R91" i="1"/>
  <c r="R92" i="1"/>
  <c r="R93" i="1"/>
  <c r="R94" i="1"/>
  <c r="R95" i="1"/>
  <c r="R96" i="1"/>
  <c r="R97" i="1"/>
  <c r="R98" i="1"/>
  <c r="R99" i="1"/>
  <c r="R100" i="1"/>
  <c r="R101" i="1"/>
  <c r="R102" i="1"/>
  <c r="R103" i="1"/>
  <c r="R104" i="1"/>
  <c r="R105" i="1"/>
  <c r="R106" i="1"/>
  <c r="R107" i="1"/>
  <c r="R108" i="1"/>
  <c r="R109" i="1"/>
  <c r="R110" i="1"/>
  <c r="R111" i="1"/>
  <c r="R112" i="1"/>
  <c r="R113" i="1"/>
  <c r="R114" i="1"/>
  <c r="R115" i="1"/>
  <c r="R116" i="1"/>
  <c r="R117" i="1"/>
  <c r="R118" i="1"/>
  <c r="R119" i="1"/>
  <c r="R120" i="1"/>
  <c r="R121" i="1"/>
  <c r="R122" i="1"/>
  <c r="R123" i="1"/>
  <c r="R124" i="1"/>
  <c r="R125" i="1"/>
  <c r="R126" i="1"/>
  <c r="R127" i="1"/>
  <c r="R128" i="1"/>
  <c r="R129" i="1"/>
  <c r="R130" i="1"/>
  <c r="R131" i="1"/>
  <c r="R132" i="1"/>
  <c r="R133" i="1"/>
  <c r="R134" i="1"/>
  <c r="R135" i="1"/>
  <c r="R136" i="1"/>
  <c r="R137" i="1"/>
  <c r="R138" i="1"/>
  <c r="R139" i="1"/>
  <c r="R140" i="1"/>
  <c r="R141" i="1"/>
  <c r="R142" i="1"/>
  <c r="R143" i="1"/>
  <c r="R144" i="1"/>
  <c r="R145" i="1"/>
  <c r="R146" i="1"/>
  <c r="R147" i="1"/>
  <c r="R148" i="1"/>
  <c r="R149" i="1"/>
  <c r="R150" i="1"/>
  <c r="R151" i="1"/>
  <c r="R152" i="1"/>
  <c r="R153" i="1"/>
  <c r="R154" i="1"/>
  <c r="R155" i="1"/>
  <c r="R156" i="1"/>
  <c r="R157" i="1"/>
  <c r="R158" i="1"/>
  <c r="R159" i="1"/>
  <c r="R160" i="1"/>
  <c r="R161" i="1"/>
  <c r="R162" i="1"/>
  <c r="R163" i="1"/>
  <c r="R164" i="1"/>
  <c r="R165" i="1"/>
  <c r="R166" i="1"/>
  <c r="R167" i="1"/>
  <c r="R168" i="1"/>
  <c r="R169" i="1"/>
  <c r="R170" i="1"/>
  <c r="R171" i="1"/>
  <c r="R172" i="1"/>
  <c r="R173" i="1"/>
  <c r="R174" i="1"/>
  <c r="R175" i="1"/>
  <c r="R176" i="1"/>
  <c r="R178" i="1"/>
  <c r="R179" i="1"/>
  <c r="R180" i="1"/>
  <c r="R181" i="1"/>
  <c r="R182" i="1"/>
  <c r="R183" i="1"/>
  <c r="R184" i="1"/>
  <c r="R185" i="1"/>
  <c r="R186" i="1"/>
  <c r="R187" i="1"/>
  <c r="R188" i="1"/>
  <c r="R189" i="1"/>
  <c r="R190" i="1"/>
  <c r="R191" i="1"/>
  <c r="R192" i="1"/>
  <c r="R193" i="1"/>
  <c r="R194" i="1"/>
  <c r="R195" i="1"/>
  <c r="R196" i="1"/>
  <c r="R197" i="1"/>
  <c r="R198" i="1"/>
  <c r="R199" i="1"/>
  <c r="R200" i="1"/>
  <c r="R201" i="1"/>
  <c r="R202" i="1"/>
  <c r="R203" i="1"/>
  <c r="R204" i="1"/>
  <c r="R205" i="1"/>
  <c r="R206" i="1"/>
  <c r="R207" i="1"/>
  <c r="R208" i="1"/>
  <c r="R209" i="1"/>
  <c r="R210" i="1"/>
  <c r="R211" i="1"/>
  <c r="R212" i="1"/>
  <c r="R213" i="1"/>
  <c r="R214" i="1"/>
  <c r="R215" i="1"/>
  <c r="R216" i="1"/>
  <c r="R217" i="1"/>
  <c r="R218" i="1"/>
  <c r="R219" i="1"/>
  <c r="R220" i="1"/>
  <c r="R221" i="1"/>
  <c r="R222" i="1"/>
  <c r="R223" i="1"/>
  <c r="R224" i="1"/>
  <c r="R225" i="1"/>
  <c r="R226" i="1"/>
  <c r="R227" i="1"/>
  <c r="R228" i="1"/>
  <c r="R229" i="1"/>
  <c r="R230" i="1"/>
  <c r="R231" i="1"/>
  <c r="R232" i="1"/>
  <c r="R233" i="1"/>
  <c r="R234" i="1"/>
  <c r="R235" i="1"/>
  <c r="R236" i="1"/>
  <c r="R237" i="1"/>
  <c r="R238" i="1"/>
  <c r="R239" i="1"/>
  <c r="R240" i="1"/>
  <c r="R241" i="1"/>
  <c r="R242" i="1"/>
  <c r="R243" i="1"/>
  <c r="R244" i="1"/>
  <c r="R245" i="1"/>
  <c r="R246" i="1"/>
  <c r="R247" i="1"/>
  <c r="R248" i="1"/>
  <c r="R249" i="1"/>
  <c r="R250" i="1"/>
  <c r="R251" i="1"/>
  <c r="R252" i="1"/>
  <c r="R253" i="1"/>
  <c r="R254" i="1"/>
  <c r="R255" i="1"/>
  <c r="R256" i="1"/>
  <c r="R257" i="1"/>
  <c r="R258" i="1"/>
  <c r="R259" i="1"/>
  <c r="R260" i="1"/>
  <c r="R261" i="1"/>
  <c r="R262" i="1"/>
  <c r="R263" i="1"/>
  <c r="R264" i="1"/>
  <c r="R265" i="1"/>
  <c r="R266" i="1"/>
  <c r="R267" i="1"/>
  <c r="R268" i="1"/>
  <c r="R269" i="1"/>
  <c r="R270" i="1"/>
  <c r="R271" i="1"/>
  <c r="R272" i="1"/>
  <c r="R273" i="1"/>
  <c r="R274" i="1"/>
  <c r="R275" i="1"/>
  <c r="R276" i="1"/>
  <c r="R277" i="1"/>
  <c r="R278" i="1"/>
  <c r="R279" i="1"/>
  <c r="R280" i="1"/>
  <c r="R281" i="1"/>
  <c r="R282" i="1"/>
  <c r="R283" i="1"/>
  <c r="R284" i="1"/>
  <c r="R285" i="1"/>
  <c r="R286" i="1"/>
  <c r="R287" i="1"/>
  <c r="R288" i="1"/>
  <c r="R289" i="1"/>
  <c r="R290" i="1"/>
  <c r="R291" i="1"/>
  <c r="R292" i="1"/>
  <c r="R293" i="1"/>
  <c r="R294" i="1"/>
  <c r="R295" i="1"/>
  <c r="R296" i="1"/>
  <c r="R297" i="1"/>
  <c r="R298" i="1"/>
  <c r="R299" i="1"/>
  <c r="R300" i="1"/>
  <c r="R301" i="1"/>
  <c r="R302" i="1"/>
  <c r="R303" i="1"/>
  <c r="R304" i="1"/>
  <c r="R305" i="1"/>
  <c r="R306" i="1"/>
  <c r="R307" i="1"/>
  <c r="R308" i="1"/>
  <c r="R309" i="1"/>
  <c r="R310" i="1"/>
  <c r="R311" i="1"/>
  <c r="R312" i="1"/>
  <c r="R313" i="1"/>
  <c r="R314" i="1"/>
  <c r="R315" i="1"/>
  <c r="R316" i="1"/>
  <c r="R317" i="1"/>
  <c r="R318" i="1"/>
  <c r="R319" i="1"/>
  <c r="R320" i="1"/>
  <c r="R321" i="1"/>
  <c r="R322" i="1"/>
  <c r="R323" i="1"/>
  <c r="R324" i="1"/>
  <c r="R325" i="1"/>
  <c r="R326" i="1"/>
  <c r="R327" i="1"/>
  <c r="R328" i="1"/>
  <c r="R329" i="1"/>
  <c r="R331" i="1"/>
  <c r="R332" i="1"/>
  <c r="R333" i="1"/>
  <c r="R334" i="1"/>
  <c r="R335" i="1"/>
  <c r="R336" i="1"/>
  <c r="R337" i="1"/>
  <c r="R338" i="1"/>
  <c r="R339" i="1"/>
  <c r="R340" i="1"/>
  <c r="R341" i="1"/>
  <c r="R342" i="1"/>
  <c r="R343" i="1"/>
  <c r="R344" i="1"/>
  <c r="R345" i="1"/>
  <c r="R346" i="1"/>
  <c r="R347" i="1"/>
  <c r="R348" i="1"/>
  <c r="R349" i="1"/>
  <c r="R350" i="1"/>
  <c r="R351" i="1"/>
  <c r="R352" i="1"/>
  <c r="R353" i="1"/>
  <c r="R354" i="1"/>
  <c r="R355" i="1"/>
  <c r="R356" i="1"/>
  <c r="R357" i="1"/>
  <c r="R358" i="1"/>
  <c r="R359" i="1"/>
  <c r="R360" i="1"/>
  <c r="R361" i="1"/>
  <c r="R362" i="1"/>
  <c r="R363" i="1"/>
  <c r="R364" i="1"/>
  <c r="R365" i="1"/>
  <c r="R366" i="1"/>
  <c r="R367" i="1"/>
  <c r="R368" i="1"/>
  <c r="R369" i="1"/>
  <c r="R370" i="1"/>
  <c r="R371" i="1"/>
  <c r="R372" i="1"/>
  <c r="R373" i="1"/>
  <c r="R374" i="1"/>
  <c r="R375" i="1"/>
  <c r="R376" i="1"/>
  <c r="R377" i="1"/>
  <c r="R378" i="1"/>
  <c r="R379" i="1"/>
  <c r="R380" i="1"/>
  <c r="R381" i="1"/>
  <c r="R382" i="1"/>
  <c r="R383" i="1"/>
  <c r="R384" i="1"/>
  <c r="R385" i="1"/>
  <c r="R386" i="1"/>
  <c r="R387" i="1"/>
  <c r="R388" i="1"/>
  <c r="R389" i="1"/>
  <c r="R390" i="1"/>
  <c r="R391" i="1"/>
  <c r="R392" i="1"/>
  <c r="R393" i="1"/>
  <c r="R394" i="1"/>
  <c r="R395" i="1"/>
  <c r="R396" i="1"/>
  <c r="R397" i="1"/>
  <c r="R398" i="1"/>
  <c r="R399" i="1"/>
  <c r="R400" i="1"/>
  <c r="R401" i="1"/>
  <c r="R402" i="1"/>
  <c r="R403" i="1"/>
  <c r="R404" i="1"/>
  <c r="R407" i="1"/>
  <c r="R408" i="1"/>
  <c r="R409" i="1"/>
  <c r="R410" i="1"/>
  <c r="R411" i="1"/>
  <c r="R412" i="1"/>
  <c r="R413" i="1"/>
  <c r="R405" i="1"/>
  <c r="R406" i="1"/>
  <c r="R418" i="1"/>
  <c r="R419" i="1"/>
  <c r="R420" i="1"/>
  <c r="R421" i="1"/>
  <c r="R422" i="1"/>
  <c r="R423" i="1"/>
  <c r="R424" i="1"/>
  <c r="R425" i="1"/>
  <c r="R426" i="1"/>
  <c r="R427" i="1"/>
  <c r="R428" i="1"/>
  <c r="R429" i="1"/>
  <c r="R430" i="1"/>
  <c r="R431" i="1"/>
  <c r="R432" i="1"/>
  <c r="R433" i="1"/>
  <c r="R434" i="1"/>
  <c r="R435" i="1"/>
  <c r="R436" i="1"/>
  <c r="R437" i="1"/>
  <c r="R438" i="1"/>
  <c r="R439" i="1"/>
  <c r="R440" i="1"/>
  <c r="R441" i="1"/>
  <c r="R442" i="1"/>
  <c r="R443" i="1"/>
  <c r="R444" i="1"/>
  <c r="R445" i="1"/>
  <c r="R446" i="1"/>
  <c r="R447" i="1"/>
  <c r="R448" i="1"/>
  <c r="R449" i="1"/>
  <c r="R450" i="1"/>
  <c r="R451" i="1"/>
  <c r="R452" i="1"/>
  <c r="R453" i="1"/>
  <c r="R454" i="1"/>
  <c r="R455" i="1"/>
  <c r="R456" i="1"/>
  <c r="R457" i="1"/>
  <c r="R458" i="1"/>
  <c r="R459" i="1"/>
  <c r="R460" i="1"/>
  <c r="R461" i="1"/>
  <c r="R462" i="1"/>
  <c r="R463" i="1"/>
  <c r="R464" i="1"/>
  <c r="R465" i="1"/>
  <c r="R466" i="1"/>
  <c r="R467" i="1"/>
  <c r="R468" i="1"/>
  <c r="R469" i="1"/>
  <c r="R470" i="1"/>
  <c r="R471" i="1"/>
  <c r="R472" i="1"/>
  <c r="R473" i="1"/>
  <c r="R474" i="1"/>
  <c r="R475" i="1"/>
  <c r="R476" i="1"/>
  <c r="R477" i="1"/>
  <c r="R478" i="1"/>
  <c r="R479" i="1"/>
  <c r="R480" i="1"/>
  <c r="R481" i="1"/>
  <c r="R482" i="1"/>
  <c r="R483" i="1"/>
  <c r="R484" i="1"/>
  <c r="R485" i="1"/>
  <c r="R486" i="1"/>
  <c r="R487" i="1"/>
  <c r="R488" i="1"/>
  <c r="R489" i="1"/>
  <c r="R490" i="1"/>
  <c r="R491" i="1"/>
  <c r="R492" i="1"/>
  <c r="R493" i="1"/>
  <c r="R494" i="1"/>
  <c r="R495" i="1"/>
  <c r="R496" i="1"/>
  <c r="R497" i="1"/>
  <c r="R498" i="1"/>
  <c r="R499" i="1"/>
  <c r="R500" i="1"/>
  <c r="R501" i="1"/>
  <c r="R502" i="1"/>
  <c r="R503" i="1"/>
  <c r="R504" i="1"/>
  <c r="R505" i="1"/>
  <c r="R506" i="1"/>
  <c r="R507" i="1"/>
  <c r="R508" i="1"/>
  <c r="R509" i="1"/>
  <c r="R510" i="1"/>
  <c r="R511" i="1"/>
  <c r="R512" i="1"/>
  <c r="R513" i="1"/>
  <c r="R514" i="1"/>
  <c r="R515" i="1"/>
  <c r="R516" i="1"/>
  <c r="R517" i="1"/>
  <c r="R518" i="1"/>
  <c r="R519" i="1"/>
  <c r="R522" i="1"/>
  <c r="R523" i="1"/>
  <c r="R524" i="1"/>
  <c r="R525" i="1"/>
  <c r="R526" i="1"/>
  <c r="R527" i="1"/>
  <c r="R528" i="1"/>
  <c r="R529" i="1"/>
  <c r="R530" i="1"/>
  <c r="R531" i="1"/>
  <c r="R532" i="1"/>
  <c r="R533" i="1"/>
  <c r="R534" i="1"/>
  <c r="R535" i="1"/>
  <c r="R536" i="1"/>
  <c r="R537" i="1"/>
  <c r="R538" i="1"/>
  <c r="R539" i="1"/>
  <c r="R540" i="1"/>
  <c r="R541" i="1"/>
  <c r="R542" i="1"/>
  <c r="R543" i="1"/>
  <c r="R544" i="1"/>
  <c r="R545" i="1"/>
  <c r="R546" i="1"/>
  <c r="R547" i="1"/>
  <c r="R548" i="1"/>
  <c r="R549" i="1"/>
  <c r="R550" i="1"/>
  <c r="R551" i="1"/>
  <c r="R552" i="1"/>
  <c r="R553" i="1"/>
  <c r="R554" i="1"/>
  <c r="R555" i="1"/>
  <c r="R556" i="1"/>
  <c r="R557" i="1"/>
  <c r="R558" i="1"/>
  <c r="R559" i="1"/>
  <c r="R560" i="1"/>
  <c r="R561" i="1"/>
  <c r="R562" i="1"/>
  <c r="R563" i="1"/>
  <c r="R564" i="1"/>
  <c r="R565" i="1"/>
  <c r="R566" i="1"/>
  <c r="R567" i="1"/>
  <c r="R568" i="1"/>
  <c r="R569" i="1"/>
  <c r="R570" i="1"/>
  <c r="R571" i="1"/>
  <c r="R572" i="1"/>
  <c r="R573" i="1"/>
  <c r="R574" i="1"/>
  <c r="R575" i="1"/>
  <c r="R576" i="1"/>
  <c r="R577" i="1"/>
  <c r="R578" i="1"/>
  <c r="R583" i="1"/>
  <c r="R584" i="1"/>
  <c r="R585" i="1"/>
  <c r="R586" i="1"/>
  <c r="R579" i="1"/>
  <c r="R580" i="1"/>
  <c r="R581" i="1"/>
  <c r="R582" i="1"/>
  <c r="R587" i="1"/>
  <c r="R588" i="1"/>
  <c r="R589" i="1"/>
  <c r="R590" i="1"/>
  <c r="R591" i="1"/>
  <c r="R592" i="1"/>
  <c r="R593" i="1"/>
  <c r="R594" i="1"/>
  <c r="R595" i="1"/>
  <c r="R596" i="1"/>
  <c r="R597" i="1"/>
  <c r="R598" i="1"/>
  <c r="R599" i="1"/>
  <c r="R600" i="1"/>
  <c r="R601" i="1"/>
  <c r="R602" i="1"/>
  <c r="R603" i="1"/>
  <c r="R604" i="1"/>
  <c r="R605" i="1"/>
  <c r="R606" i="1"/>
  <c r="R607" i="1"/>
  <c r="R608" i="1"/>
  <c r="R609" i="1"/>
  <c r="R610" i="1"/>
  <c r="R611" i="1"/>
  <c r="R612" i="1"/>
  <c r="R613" i="1"/>
  <c r="R614" i="1"/>
  <c r="R615" i="1"/>
  <c r="R616" i="1"/>
  <c r="R617" i="1"/>
  <c r="R618" i="1"/>
  <c r="R619" i="1"/>
  <c r="R620" i="1"/>
  <c r="R621" i="1"/>
  <c r="R622" i="1"/>
  <c r="R623" i="1"/>
  <c r="R624" i="1"/>
  <c r="R625" i="1"/>
  <c r="R626" i="1"/>
  <c r="R627" i="1"/>
  <c r="R628" i="1"/>
  <c r="R629" i="1"/>
  <c r="R630" i="1"/>
  <c r="R631" i="1"/>
  <c r="R632" i="1"/>
  <c r="R633" i="1"/>
  <c r="R634" i="1"/>
  <c r="R635" i="1"/>
  <c r="R636" i="1"/>
  <c r="R637" i="1"/>
  <c r="R638" i="1"/>
  <c r="R639" i="1"/>
  <c r="R640" i="1"/>
  <c r="R641" i="1"/>
  <c r="R642" i="1"/>
  <c r="R643" i="1"/>
  <c r="R644" i="1"/>
  <c r="R645" i="1"/>
  <c r="R646" i="1"/>
  <c r="R647" i="1"/>
  <c r="R648" i="1"/>
  <c r="R649" i="1"/>
  <c r="R650" i="1"/>
  <c r="R651" i="1"/>
  <c r="R652" i="1"/>
  <c r="R653" i="1"/>
  <c r="R654" i="1"/>
  <c r="R655" i="1"/>
  <c r="R656" i="1"/>
  <c r="R657" i="1"/>
  <c r="R658" i="1"/>
  <c r="R659" i="1"/>
  <c r="R660" i="1"/>
  <c r="R661" i="1"/>
  <c r="R662" i="1"/>
  <c r="R663" i="1"/>
  <c r="R664" i="1"/>
  <c r="R665" i="1"/>
  <c r="R666" i="1"/>
  <c r="R667" i="1"/>
  <c r="R668" i="1"/>
  <c r="R669" i="1"/>
  <c r="R670" i="1"/>
  <c r="R671" i="1"/>
  <c r="R672" i="1"/>
  <c r="R674" i="1"/>
  <c r="R675" i="1"/>
  <c r="R676" i="1"/>
  <c r="R677" i="1"/>
  <c r="R678" i="1"/>
  <c r="R673" i="1"/>
  <c r="R679" i="1"/>
  <c r="R680" i="1"/>
  <c r="R681" i="1"/>
  <c r="R682" i="1"/>
  <c r="R683" i="1"/>
  <c r="R684" i="1"/>
  <c r="R685" i="1"/>
  <c r="R686" i="1"/>
  <c r="R687" i="1"/>
  <c r="R688" i="1"/>
  <c r="R689" i="1"/>
  <c r="R690" i="1"/>
  <c r="R691" i="1"/>
  <c r="R692" i="1"/>
  <c r="R693" i="1"/>
  <c r="R694" i="1"/>
  <c r="R695" i="1"/>
  <c r="R696" i="1"/>
  <c r="R697" i="1"/>
  <c r="R698" i="1"/>
  <c r="R699" i="1"/>
  <c r="R700" i="1"/>
  <c r="R701" i="1"/>
  <c r="R702" i="1"/>
  <c r="R703" i="1"/>
  <c r="R704" i="1"/>
  <c r="R705" i="1"/>
  <c r="R706" i="1"/>
  <c r="R707" i="1"/>
  <c r="R708" i="1"/>
  <c r="R709" i="1"/>
  <c r="R710" i="1"/>
  <c r="R711" i="1"/>
  <c r="R712" i="1"/>
  <c r="R713" i="1"/>
  <c r="R714" i="1"/>
  <c r="R715" i="1"/>
  <c r="R716" i="1"/>
  <c r="R717" i="1"/>
  <c r="R718" i="1"/>
  <c r="R719" i="1"/>
  <c r="R720" i="1"/>
  <c r="R721" i="1"/>
  <c r="R722" i="1"/>
  <c r="R723" i="1"/>
  <c r="R724" i="1"/>
  <c r="R725" i="1"/>
  <c r="R726" i="1"/>
  <c r="R727" i="1"/>
  <c r="R728" i="1"/>
  <c r="R729" i="1"/>
  <c r="R730" i="1"/>
  <c r="R731" i="1"/>
  <c r="R732" i="1"/>
  <c r="R733" i="1"/>
  <c r="R734" i="1"/>
  <c r="R735" i="1"/>
  <c r="R736" i="1"/>
  <c r="R737" i="1"/>
  <c r="R738" i="1"/>
  <c r="R739" i="1"/>
  <c r="R740" i="1"/>
  <c r="R741" i="1"/>
  <c r="R742" i="1"/>
  <c r="R743" i="1"/>
  <c r="R744" i="1"/>
  <c r="R745" i="1"/>
  <c r="R746" i="1"/>
  <c r="R747" i="1"/>
  <c r="R748" i="1"/>
  <c r="R749" i="1"/>
  <c r="R750" i="1"/>
  <c r="R751" i="1"/>
  <c r="R752" i="1"/>
  <c r="R753" i="1"/>
  <c r="R754" i="1"/>
  <c r="R755" i="1"/>
  <c r="R756" i="1"/>
  <c r="R757" i="1"/>
  <c r="R758" i="1"/>
  <c r="R759" i="1"/>
  <c r="R760" i="1"/>
  <c r="R761" i="1"/>
  <c r="R762" i="1"/>
  <c r="R763" i="1"/>
  <c r="R764" i="1"/>
  <c r="R765" i="1"/>
  <c r="R766" i="1"/>
  <c r="R767" i="1"/>
  <c r="R768" i="1"/>
  <c r="R769" i="1"/>
  <c r="R770" i="1"/>
  <c r="R771" i="1"/>
  <c r="R772" i="1"/>
  <c r="R773" i="1"/>
  <c r="R774" i="1"/>
  <c r="R775" i="1"/>
  <c r="R776" i="1"/>
  <c r="R777" i="1"/>
  <c r="R778" i="1"/>
  <c r="R779" i="1"/>
  <c r="R780" i="1"/>
  <c r="R781" i="1"/>
  <c r="R782" i="1"/>
  <c r="R783" i="1"/>
  <c r="R784" i="1"/>
  <c r="R785" i="1"/>
  <c r="R786" i="1"/>
  <c r="R787" i="1"/>
  <c r="R788" i="1"/>
  <c r="R789" i="1"/>
  <c r="R790" i="1"/>
  <c r="R791" i="1"/>
  <c r="R792" i="1"/>
  <c r="R793" i="1"/>
  <c r="R794" i="1"/>
  <c r="R795" i="1"/>
  <c r="R796" i="1"/>
  <c r="R797" i="1"/>
  <c r="R798" i="1"/>
  <c r="R799" i="1"/>
  <c r="R800" i="1"/>
  <c r="R801" i="1"/>
  <c r="R802" i="1"/>
  <c r="R803" i="1"/>
  <c r="R804" i="1"/>
  <c r="R805" i="1"/>
  <c r="R806" i="1"/>
  <c r="R807" i="1"/>
  <c r="R808" i="1"/>
  <c r="R809" i="1"/>
  <c r="R810" i="1"/>
  <c r="R811" i="1"/>
  <c r="R812" i="1"/>
  <c r="R813" i="1"/>
  <c r="R814" i="1"/>
  <c r="R815" i="1"/>
  <c r="R816" i="1"/>
  <c r="R817" i="1"/>
  <c r="R818" i="1"/>
  <c r="R819" i="1"/>
  <c r="R820" i="1"/>
  <c r="R821" i="1"/>
  <c r="R822" i="1"/>
  <c r="R823" i="1"/>
  <c r="R824" i="1"/>
  <c r="R825" i="1"/>
  <c r="R826" i="1"/>
  <c r="R827" i="1"/>
  <c r="R828" i="1"/>
  <c r="R829" i="1"/>
  <c r="R830" i="1"/>
  <c r="R831" i="1"/>
  <c r="R832" i="1"/>
  <c r="R833" i="1"/>
  <c r="R834" i="1"/>
  <c r="R835" i="1"/>
  <c r="R836" i="1"/>
  <c r="R837" i="1"/>
  <c r="R838" i="1"/>
  <c r="R839" i="1"/>
  <c r="R840" i="1"/>
  <c r="R841" i="1"/>
  <c r="R842" i="1"/>
  <c r="R843" i="1"/>
  <c r="R844" i="1"/>
  <c r="R845" i="1"/>
  <c r="R846" i="1"/>
  <c r="R847" i="1"/>
  <c r="R848" i="1"/>
  <c r="R849" i="1"/>
  <c r="R850" i="1"/>
  <c r="R851" i="1"/>
  <c r="R852" i="1"/>
  <c r="R853" i="1"/>
  <c r="R854" i="1"/>
  <c r="R855" i="1"/>
  <c r="R856" i="1"/>
  <c r="R857" i="1"/>
  <c r="R858" i="1"/>
  <c r="R859" i="1"/>
  <c r="R860" i="1"/>
  <c r="R861" i="1"/>
  <c r="R862" i="1"/>
  <c r="R863" i="1"/>
  <c r="R864" i="1"/>
  <c r="R865" i="1"/>
  <c r="R866" i="1"/>
  <c r="R867" i="1"/>
  <c r="R868" i="1"/>
  <c r="R869" i="1"/>
  <c r="R870" i="1"/>
  <c r="R871" i="1"/>
  <c r="R872" i="1"/>
  <c r="R873" i="1"/>
  <c r="R874" i="1"/>
  <c r="R875" i="1"/>
  <c r="R876" i="1"/>
  <c r="R877" i="1"/>
  <c r="R878" i="1"/>
  <c r="R879" i="1"/>
  <c r="R880" i="1"/>
  <c r="R881" i="1"/>
  <c r="R882" i="1"/>
  <c r="R883" i="1"/>
  <c r="R884" i="1"/>
  <c r="R885" i="1"/>
  <c r="R886" i="1"/>
  <c r="R887" i="1"/>
  <c r="R888" i="1"/>
  <c r="R889" i="1"/>
  <c r="R890" i="1"/>
  <c r="R891" i="1"/>
  <c r="R892" i="1"/>
  <c r="R893" i="1"/>
  <c r="R894" i="1"/>
  <c r="R895" i="1"/>
  <c r="R896" i="1"/>
  <c r="R897" i="1"/>
  <c r="R898" i="1"/>
  <c r="R899" i="1"/>
  <c r="R900" i="1"/>
  <c r="R901" i="1"/>
  <c r="R902" i="1"/>
  <c r="R903" i="1"/>
  <c r="R904" i="1"/>
  <c r="R905" i="1"/>
  <c r="R906" i="1"/>
  <c r="R907" i="1"/>
  <c r="R908" i="1"/>
  <c r="R909" i="1"/>
  <c r="R910" i="1"/>
  <c r="R911" i="1"/>
  <c r="R912" i="1"/>
  <c r="R913" i="1"/>
  <c r="R914" i="1"/>
  <c r="R915" i="1"/>
  <c r="R916" i="1"/>
  <c r="R917" i="1"/>
  <c r="R918" i="1"/>
  <c r="R919" i="1"/>
  <c r="R920" i="1"/>
  <c r="R921" i="1"/>
  <c r="R922" i="1"/>
  <c r="R923" i="1"/>
  <c r="R924" i="1"/>
  <c r="R925" i="1"/>
  <c r="R926" i="1"/>
  <c r="R927" i="1"/>
  <c r="R928" i="1"/>
  <c r="R929" i="1"/>
  <c r="R930" i="1"/>
  <c r="R931" i="1"/>
  <c r="R932" i="1"/>
  <c r="R933" i="1"/>
  <c r="R934" i="1"/>
  <c r="R935" i="1"/>
  <c r="R936" i="1"/>
  <c r="R937" i="1"/>
  <c r="R938" i="1"/>
  <c r="R939" i="1"/>
  <c r="R940" i="1"/>
  <c r="R941" i="1"/>
  <c r="R942" i="1"/>
  <c r="R943" i="1"/>
  <c r="R944" i="1"/>
  <c r="R945" i="1"/>
  <c r="R946" i="1"/>
  <c r="R947" i="1"/>
  <c r="R948" i="1"/>
  <c r="R949" i="1"/>
  <c r="R950" i="1"/>
  <c r="R951" i="1"/>
  <c r="R952" i="1"/>
  <c r="R953" i="1"/>
  <c r="R954" i="1"/>
  <c r="R955" i="1"/>
  <c r="R956" i="1"/>
  <c r="R957" i="1"/>
  <c r="R958" i="1"/>
  <c r="R959" i="1"/>
  <c r="R960" i="1"/>
  <c r="R961" i="1"/>
  <c r="R962" i="1"/>
  <c r="R963" i="1"/>
  <c r="R964" i="1"/>
  <c r="R965" i="1"/>
  <c r="R966" i="1"/>
  <c r="R967" i="1"/>
  <c r="R968" i="1"/>
  <c r="R969" i="1"/>
  <c r="R970" i="1"/>
  <c r="R971" i="1"/>
  <c r="R972" i="1"/>
  <c r="R973" i="1"/>
  <c r="R974" i="1"/>
  <c r="R975" i="1"/>
  <c r="R976" i="1"/>
  <c r="R977" i="1"/>
  <c r="R978" i="1"/>
  <c r="R979" i="1"/>
  <c r="R980" i="1"/>
  <c r="R981" i="1"/>
  <c r="R982" i="1"/>
  <c r="R983" i="1"/>
  <c r="R984" i="1"/>
  <c r="R985" i="1"/>
  <c r="R986" i="1"/>
  <c r="R987" i="1"/>
  <c r="R988" i="1"/>
  <c r="R989" i="1"/>
  <c r="R990" i="1"/>
  <c r="R991" i="1"/>
  <c r="R992" i="1"/>
  <c r="R993" i="1"/>
  <c r="R994" i="1"/>
  <c r="R995" i="1"/>
  <c r="R996" i="1"/>
  <c r="R997" i="1"/>
  <c r="R998" i="1"/>
  <c r="R999" i="1"/>
  <c r="R1000" i="1"/>
  <c r="R1001" i="1"/>
  <c r="R1002" i="1"/>
  <c r="R1003" i="1"/>
  <c r="R1004" i="1"/>
  <c r="R1005" i="1"/>
  <c r="R1006" i="1"/>
  <c r="R1007" i="1"/>
  <c r="R1008" i="1"/>
  <c r="R1009" i="1"/>
  <c r="R1010" i="1"/>
  <c r="R1011" i="1"/>
  <c r="R1012" i="1"/>
  <c r="R1013" i="1"/>
  <c r="R1014" i="1"/>
  <c r="R1015" i="1"/>
  <c r="R1016" i="1"/>
  <c r="R1017" i="1"/>
  <c r="R1018" i="1"/>
  <c r="R1019" i="1"/>
  <c r="R1020" i="1"/>
  <c r="R1021" i="1"/>
  <c r="R1022" i="1"/>
  <c r="R1023" i="1"/>
  <c r="R1024" i="1"/>
  <c r="R1025" i="1"/>
  <c r="R1026" i="1"/>
  <c r="R1027" i="1"/>
  <c r="R1028" i="1"/>
  <c r="R1029" i="1"/>
  <c r="R1030" i="1"/>
  <c r="R1031" i="1"/>
  <c r="R1032" i="1"/>
  <c r="R1033" i="1"/>
  <c r="R1034" i="1"/>
  <c r="R1035" i="1"/>
  <c r="R1036" i="1"/>
  <c r="R1037" i="1"/>
  <c r="R1038" i="1"/>
  <c r="R1039" i="1"/>
  <c r="R1040" i="1"/>
  <c r="R1041" i="1"/>
  <c r="R1042" i="1"/>
  <c r="R1043" i="1"/>
  <c r="R1044" i="1"/>
  <c r="R1045" i="1"/>
  <c r="R1046" i="1"/>
  <c r="R1047" i="1"/>
  <c r="R1048" i="1"/>
  <c r="R1049" i="1"/>
  <c r="R1050" i="1"/>
  <c r="R1051" i="1"/>
  <c r="R1052" i="1"/>
  <c r="R1053" i="1"/>
  <c r="R1054" i="1"/>
  <c r="R1055" i="1"/>
  <c r="R1056" i="1"/>
  <c r="R1057" i="1"/>
  <c r="R1058" i="1"/>
  <c r="R1059" i="1"/>
  <c r="R1060" i="1"/>
  <c r="R1061" i="1"/>
  <c r="R1062" i="1"/>
  <c r="R1063" i="1"/>
  <c r="R1064" i="1"/>
  <c r="R1065" i="1"/>
  <c r="R1066" i="1"/>
  <c r="R1067" i="1"/>
  <c r="R1068" i="1"/>
  <c r="R1069" i="1"/>
  <c r="R1070" i="1"/>
  <c r="R1071" i="1"/>
  <c r="R1072" i="1"/>
  <c r="R1073" i="1"/>
  <c r="R1074" i="1"/>
  <c r="R1075" i="1"/>
  <c r="R1076" i="1"/>
  <c r="R1077" i="1"/>
  <c r="R1078" i="1"/>
  <c r="R1079" i="1"/>
  <c r="R1080" i="1"/>
  <c r="R1081" i="1"/>
  <c r="R1082" i="1"/>
  <c r="R1083" i="1"/>
  <c r="Q1084" i="1"/>
  <c r="R1084" i="1" s="1"/>
  <c r="Q1085" i="1"/>
  <c r="R1085" i="1" s="1"/>
  <c r="C104" i="1"/>
  <c r="C105" i="1" s="1"/>
  <c r="C107" i="1"/>
  <c r="C109" i="1"/>
  <c r="C110" i="1" s="1"/>
  <c r="C111" i="1" s="1"/>
  <c r="C113" i="1"/>
  <c r="C114" i="1" s="1"/>
  <c r="C115" i="1" s="1"/>
  <c r="C117" i="1"/>
  <c r="C118" i="1" s="1"/>
  <c r="C119" i="1" s="1"/>
  <c r="C120" i="1" s="1"/>
  <c r="C123" i="1"/>
  <c r="C124" i="1" s="1"/>
  <c r="C125" i="1" s="1"/>
  <c r="C126" i="1" s="1"/>
  <c r="C127" i="1" s="1"/>
  <c r="C128" i="1" s="1"/>
  <c r="C129" i="1" s="1"/>
  <c r="C130" i="1" s="1"/>
  <c r="C132" i="1"/>
  <c r="C133" i="1" s="1"/>
  <c r="C134" i="1" s="1"/>
  <c r="C137" i="1"/>
  <c r="C138" i="1" s="1"/>
  <c r="C139" i="1" s="1"/>
  <c r="C141" i="1"/>
  <c r="C143" i="1"/>
  <c r="C144" i="1" s="1"/>
  <c r="C145" i="1" s="1"/>
  <c r="C146" i="1" s="1"/>
  <c r="C148" i="1"/>
  <c r="C149" i="1" s="1"/>
  <c r="C150" i="1" s="1"/>
  <c r="C153" i="1"/>
  <c r="C154" i="1" s="1"/>
  <c r="C156" i="1"/>
  <c r="C157" i="1" s="1"/>
  <c r="C158" i="1" s="1"/>
  <c r="C160" i="1"/>
  <c r="C161" i="1" s="1"/>
  <c r="C162" i="1" s="1"/>
  <c r="C163" i="1" s="1"/>
  <c r="C165" i="1"/>
  <c r="C166" i="1" s="1"/>
  <c r="C168" i="1"/>
  <c r="C169" i="1" s="1"/>
  <c r="C170" i="1" s="1"/>
  <c r="C172" i="1"/>
  <c r="C173" i="1" s="1"/>
  <c r="C175" i="1"/>
  <c r="C176" i="1" s="1"/>
  <c r="C177" i="1" s="1"/>
  <c r="C183" i="1"/>
  <c r="C184" i="1" s="1"/>
  <c r="C185" i="1" s="1"/>
  <c r="C186" i="1" s="1"/>
  <c r="C187" i="1" s="1"/>
  <c r="C188" i="1" s="1"/>
  <c r="C190" i="1"/>
  <c r="C191" i="1" s="1"/>
  <c r="C192" i="1" s="1"/>
  <c r="C194" i="1"/>
  <c r="C195" i="1" s="1"/>
  <c r="C196" i="1" s="1"/>
  <c r="C197" i="1" s="1"/>
  <c r="C199" i="1"/>
  <c r="C201" i="1" s="1"/>
  <c r="C203" i="1" s="1"/>
  <c r="C204" i="1" s="1"/>
  <c r="C206" i="1" s="1"/>
  <c r="C207" i="1" s="1"/>
  <c r="C209" i="1" s="1"/>
  <c r="C211" i="1" s="1"/>
  <c r="C213" i="1" s="1"/>
  <c r="C215" i="1" s="1"/>
  <c r="C217" i="1" s="1"/>
  <c r="C219" i="1" s="1"/>
  <c r="C220" i="1" s="1"/>
  <c r="C221" i="1" s="1"/>
  <c r="C223" i="1" s="1"/>
  <c r="C224" i="1" s="1"/>
  <c r="C225" i="1" s="1"/>
  <c r="C226" i="1" s="1"/>
  <c r="C227" i="1" s="1"/>
  <c r="C229" i="1" s="1"/>
  <c r="C230" i="1" s="1"/>
  <c r="C231" i="1" s="1"/>
  <c r="C233" i="1" s="1"/>
  <c r="C235" i="1" s="1"/>
  <c r="C237" i="1" s="1"/>
  <c r="C239" i="1" s="1"/>
  <c r="C241" i="1" s="1"/>
  <c r="C242" i="1" s="1"/>
  <c r="C243" i="1" s="1"/>
  <c r="C245" i="1" s="1"/>
  <c r="C246" i="1" s="1"/>
  <c r="C247" i="1" s="1"/>
  <c r="C249" i="1" s="1"/>
  <c r="C250" i="1" s="1"/>
  <c r="C251" i="1" s="1"/>
  <c r="C253" i="1" s="1"/>
  <c r="C254" i="1" s="1"/>
  <c r="C255" i="1" s="1"/>
  <c r="C256" i="1" s="1"/>
  <c r="C257" i="1" s="1"/>
  <c r="C259" i="1" s="1"/>
  <c r="C261" i="1" s="1"/>
  <c r="C263" i="1" s="1"/>
  <c r="C265" i="1" s="1"/>
  <c r="C267" i="1" s="1"/>
  <c r="D8" i="2"/>
  <c r="B8" i="2"/>
  <c r="D4" i="2"/>
  <c r="B199" i="1" l="1"/>
  <c r="E32" i="1"/>
  <c r="V86" i="1"/>
  <c r="B86" i="1"/>
  <c r="B87" i="1" s="1"/>
  <c r="V1072" i="1"/>
  <c r="V1073" i="1" s="1"/>
  <c r="V1074" i="1" s="1"/>
  <c r="V1075" i="1" s="1"/>
  <c r="V1076" i="1" s="1"/>
  <c r="V1077" i="1" s="1"/>
  <c r="V1078" i="1" s="1"/>
  <c r="V1079" i="1" s="1"/>
  <c r="V1080" i="1" s="1"/>
  <c r="V1081" i="1" s="1"/>
  <c r="V1082" i="1" s="1"/>
  <c r="V1083" i="1" s="1"/>
  <c r="V1084" i="1" s="1"/>
  <c r="V1085" i="1" s="1"/>
  <c r="B179" i="1"/>
  <c r="E179" i="1" s="1"/>
  <c r="V156" i="1"/>
  <c r="V157" i="1" s="1"/>
  <c r="V158" i="1" s="1"/>
  <c r="V143" i="1"/>
  <c r="V144" i="1" s="1"/>
  <c r="V145" i="1" s="1"/>
  <c r="V146" i="1" s="1"/>
  <c r="V31" i="1"/>
  <c r="E30" i="1"/>
  <c r="V165" i="1"/>
  <c r="V166" i="1" s="1"/>
  <c r="B160" i="1"/>
  <c r="E160" i="1" s="1"/>
  <c r="B152" i="1"/>
  <c r="B148" i="1"/>
  <c r="E148" i="1" s="1"/>
  <c r="V113" i="1"/>
  <c r="V114" i="1" s="1"/>
  <c r="V115" i="1" s="1"/>
  <c r="B104" i="1"/>
  <c r="E104" i="1" s="1"/>
  <c r="V101" i="1"/>
  <c r="V102" i="1" s="1"/>
  <c r="V42" i="1"/>
  <c r="V43" i="1" s="1"/>
  <c r="V44" i="1" s="1"/>
  <c r="V45" i="1" s="1"/>
  <c r="V17" i="1"/>
  <c r="E16" i="1"/>
  <c r="B42" i="1"/>
  <c r="B43" i="1" s="1"/>
  <c r="B6" i="1"/>
  <c r="E6" i="1" s="1"/>
  <c r="I416" i="1"/>
  <c r="I417" i="1" s="1"/>
  <c r="I418" i="1" s="1"/>
  <c r="I419" i="1" s="1"/>
  <c r="I420" i="1" s="1"/>
  <c r="I421" i="1" s="1"/>
  <c r="I422" i="1" s="1"/>
  <c r="I423" i="1" s="1"/>
  <c r="I424" i="1" s="1"/>
  <c r="I425" i="1" s="1"/>
  <c r="I426" i="1" s="1"/>
  <c r="I427" i="1" s="1"/>
  <c r="I428" i="1" s="1"/>
  <c r="I429" i="1" s="1"/>
  <c r="I430" i="1" s="1"/>
  <c r="I431" i="1" s="1"/>
  <c r="I432" i="1" s="1"/>
  <c r="I433" i="1" s="1"/>
  <c r="I434" i="1" s="1"/>
  <c r="I435" i="1" s="1"/>
  <c r="I436" i="1" s="1"/>
  <c r="I437" i="1" s="1"/>
  <c r="I438" i="1" s="1"/>
  <c r="I439" i="1" s="1"/>
  <c r="I440" i="1" s="1"/>
  <c r="I441" i="1" s="1"/>
  <c r="I442" i="1" s="1"/>
  <c r="I443" i="1" s="1"/>
  <c r="I444" i="1" s="1"/>
  <c r="I445" i="1" s="1"/>
  <c r="I446" i="1" s="1"/>
  <c r="I447" i="1" s="1"/>
  <c r="I448" i="1" s="1"/>
  <c r="I449" i="1" s="1"/>
  <c r="I450" i="1" s="1"/>
  <c r="I451" i="1" s="1"/>
  <c r="I452" i="1" s="1"/>
  <c r="I453" i="1" s="1"/>
  <c r="I454" i="1" s="1"/>
  <c r="I455" i="1" s="1"/>
  <c r="I456" i="1" s="1"/>
  <c r="I457" i="1" s="1"/>
  <c r="I458" i="1" s="1"/>
  <c r="I459" i="1" s="1"/>
  <c r="I460" i="1" s="1"/>
  <c r="I461" i="1" s="1"/>
  <c r="I462" i="1" s="1"/>
  <c r="I463" i="1" s="1"/>
  <c r="I464" i="1" s="1"/>
  <c r="I465" i="1" s="1"/>
  <c r="I466" i="1" s="1"/>
  <c r="I467" i="1" s="1"/>
  <c r="I468" i="1" s="1"/>
  <c r="I469" i="1" s="1"/>
  <c r="I470" i="1" s="1"/>
  <c r="I471" i="1" s="1"/>
  <c r="I472" i="1" s="1"/>
  <c r="I473" i="1" s="1"/>
  <c r="I474" i="1" s="1"/>
  <c r="I475" i="1" s="1"/>
  <c r="I476" i="1" s="1"/>
  <c r="I477" i="1" s="1"/>
  <c r="I478" i="1" s="1"/>
  <c r="I479" i="1" s="1"/>
  <c r="I480" i="1" s="1"/>
  <c r="I481" i="1" s="1"/>
  <c r="I482" i="1" s="1"/>
  <c r="I483" i="1" s="1"/>
  <c r="I484" i="1" s="1"/>
  <c r="I485" i="1" s="1"/>
  <c r="I486" i="1" s="1"/>
  <c r="I487" i="1" s="1"/>
  <c r="I488" i="1" s="1"/>
  <c r="I489" i="1" s="1"/>
  <c r="I490" i="1" s="1"/>
  <c r="I491" i="1" s="1"/>
  <c r="I492" i="1" s="1"/>
  <c r="I493" i="1" s="1"/>
  <c r="I494" i="1" s="1"/>
  <c r="I495" i="1" s="1"/>
  <c r="I496" i="1" s="1"/>
  <c r="I497" i="1" s="1"/>
  <c r="I498" i="1" s="1"/>
  <c r="I499" i="1" s="1"/>
  <c r="I500" i="1" s="1"/>
  <c r="I501" i="1" s="1"/>
  <c r="I502" i="1" s="1"/>
  <c r="I503" i="1" s="1"/>
  <c r="I504" i="1" s="1"/>
  <c r="I505" i="1" s="1"/>
  <c r="I506" i="1" s="1"/>
  <c r="I507" i="1" s="1"/>
  <c r="I508" i="1" s="1"/>
  <c r="I509" i="1" s="1"/>
  <c r="I510" i="1" s="1"/>
  <c r="I511" i="1" s="1"/>
  <c r="I512" i="1" s="1"/>
  <c r="I513" i="1" s="1"/>
  <c r="I514" i="1" s="1"/>
  <c r="I515" i="1" s="1"/>
  <c r="I516" i="1" s="1"/>
  <c r="I517" i="1" s="1"/>
  <c r="I518" i="1" s="1"/>
  <c r="I519" i="1" s="1"/>
  <c r="I523" i="1" s="1"/>
  <c r="I524" i="1" s="1"/>
  <c r="I525" i="1" s="1"/>
  <c r="I526" i="1" s="1"/>
  <c r="I527" i="1" s="1"/>
  <c r="I528" i="1" s="1"/>
  <c r="I529" i="1" s="1"/>
  <c r="I530" i="1" s="1"/>
  <c r="I531" i="1" s="1"/>
  <c r="I532" i="1" s="1"/>
  <c r="I533" i="1" s="1"/>
  <c r="I534" i="1" s="1"/>
  <c r="I535" i="1" s="1"/>
  <c r="I536" i="1" s="1"/>
  <c r="I537" i="1" s="1"/>
  <c r="I538" i="1" s="1"/>
  <c r="I539" i="1" s="1"/>
  <c r="I540" i="1" s="1"/>
  <c r="I541" i="1" s="1"/>
  <c r="I542" i="1" s="1"/>
  <c r="I543" i="1" s="1"/>
  <c r="I544" i="1" s="1"/>
  <c r="I545" i="1" s="1"/>
  <c r="I546" i="1" s="1"/>
  <c r="I547" i="1" s="1"/>
  <c r="I548" i="1" s="1"/>
  <c r="I549" i="1" s="1"/>
  <c r="I550" i="1" s="1"/>
  <c r="I551" i="1" s="1"/>
  <c r="I552" i="1" s="1"/>
  <c r="I553" i="1" s="1"/>
  <c r="I554" i="1" s="1"/>
  <c r="I555" i="1" s="1"/>
  <c r="I556" i="1" s="1"/>
  <c r="I557" i="1" s="1"/>
  <c r="I558" i="1" s="1"/>
  <c r="I559" i="1" s="1"/>
  <c r="I560" i="1" s="1"/>
  <c r="I561" i="1" s="1"/>
  <c r="I562" i="1" s="1"/>
  <c r="I563" i="1" s="1"/>
  <c r="I564" i="1" s="1"/>
  <c r="I565" i="1" s="1"/>
  <c r="I566" i="1" s="1"/>
  <c r="I567" i="1" s="1"/>
  <c r="I568" i="1" s="1"/>
  <c r="I569" i="1" s="1"/>
  <c r="I570" i="1" s="1"/>
  <c r="I571" i="1" s="1"/>
  <c r="I572" i="1" s="1"/>
  <c r="I573" i="1" s="1"/>
  <c r="I574" i="1" s="1"/>
  <c r="I575" i="1" s="1"/>
  <c r="I576" i="1" s="1"/>
  <c r="I577" i="1" s="1"/>
  <c r="I578" i="1" s="1"/>
  <c r="I583" i="1" s="1"/>
  <c r="I584" i="1" s="1"/>
  <c r="I585" i="1" s="1"/>
  <c r="I586" i="1" s="1"/>
  <c r="I579" i="1" s="1"/>
  <c r="I580" i="1" s="1"/>
  <c r="I581" i="1" s="1"/>
  <c r="I582" i="1" s="1"/>
  <c r="I587" i="1" s="1"/>
  <c r="I588" i="1" s="1"/>
  <c r="I589" i="1" s="1"/>
  <c r="I590" i="1" s="1"/>
  <c r="I591" i="1" s="1"/>
  <c r="I592" i="1" s="1"/>
  <c r="I593" i="1" s="1"/>
  <c r="I594" i="1" s="1"/>
  <c r="I595" i="1" s="1"/>
  <c r="I596" i="1" s="1"/>
  <c r="I597" i="1" s="1"/>
  <c r="I598" i="1" s="1"/>
  <c r="I599" i="1" s="1"/>
  <c r="I600" i="1" s="1"/>
  <c r="I601" i="1" s="1"/>
  <c r="I602" i="1" s="1"/>
  <c r="I603" i="1" s="1"/>
  <c r="I604" i="1" s="1"/>
  <c r="I605" i="1" s="1"/>
  <c r="I606" i="1" s="1"/>
  <c r="I607" i="1" s="1"/>
  <c r="I608" i="1" s="1"/>
  <c r="I609" i="1" s="1"/>
  <c r="I610" i="1" s="1"/>
  <c r="I611" i="1" s="1"/>
  <c r="I612" i="1" s="1"/>
  <c r="I613" i="1" s="1"/>
  <c r="I614" i="1" s="1"/>
  <c r="I615" i="1" s="1"/>
  <c r="I616" i="1" s="1"/>
  <c r="I617" i="1" s="1"/>
  <c r="I618" i="1" s="1"/>
  <c r="I619" i="1" s="1"/>
  <c r="I620" i="1" s="1"/>
  <c r="I621" i="1" s="1"/>
  <c r="I622" i="1" s="1"/>
  <c r="I623" i="1" s="1"/>
  <c r="I624" i="1" s="1"/>
  <c r="I625" i="1" s="1"/>
  <c r="I626" i="1" s="1"/>
  <c r="I627" i="1" s="1"/>
  <c r="I628" i="1" s="1"/>
  <c r="I629" i="1" s="1"/>
  <c r="I630" i="1" s="1"/>
  <c r="I631" i="1" s="1"/>
  <c r="I632" i="1" s="1"/>
  <c r="I633" i="1" s="1"/>
  <c r="I634" i="1" s="1"/>
  <c r="I635" i="1" s="1"/>
  <c r="I636" i="1" s="1"/>
  <c r="I637" i="1" s="1"/>
  <c r="I638" i="1" s="1"/>
  <c r="I639" i="1" s="1"/>
  <c r="I640" i="1" s="1"/>
  <c r="I641" i="1" s="1"/>
  <c r="I642" i="1" s="1"/>
  <c r="I643" i="1" s="1"/>
  <c r="I644" i="1" s="1"/>
  <c r="I645" i="1" s="1"/>
  <c r="I646" i="1" s="1"/>
  <c r="I647" i="1" s="1"/>
  <c r="I648" i="1" s="1"/>
  <c r="I649" i="1" s="1"/>
  <c r="I650" i="1" s="1"/>
  <c r="I651" i="1" s="1"/>
  <c r="I652" i="1" s="1"/>
  <c r="I653" i="1" s="1"/>
  <c r="I654" i="1" s="1"/>
  <c r="I655" i="1" s="1"/>
  <c r="I656" i="1" s="1"/>
  <c r="I657" i="1" s="1"/>
  <c r="I658" i="1" s="1"/>
  <c r="I659" i="1" s="1"/>
  <c r="I660" i="1" s="1"/>
  <c r="I661" i="1" s="1"/>
  <c r="I662" i="1" s="1"/>
  <c r="I663" i="1" s="1"/>
  <c r="I664" i="1" s="1"/>
  <c r="I665" i="1" s="1"/>
  <c r="I666" i="1" s="1"/>
  <c r="I667" i="1" s="1"/>
  <c r="I668" i="1" s="1"/>
  <c r="I669" i="1" s="1"/>
  <c r="I670" i="1" s="1"/>
  <c r="I671" i="1" s="1"/>
  <c r="I672" i="1" s="1"/>
  <c r="I674" i="1" s="1"/>
  <c r="I675" i="1" s="1"/>
  <c r="I676" i="1" s="1"/>
  <c r="I677" i="1" s="1"/>
  <c r="I678" i="1" s="1"/>
  <c r="I673" i="1" s="1"/>
  <c r="I679" i="1" s="1"/>
  <c r="I680" i="1" s="1"/>
  <c r="I681" i="1" s="1"/>
  <c r="I682" i="1" s="1"/>
  <c r="I683" i="1" s="1"/>
  <c r="I684" i="1" s="1"/>
  <c r="I685" i="1" s="1"/>
  <c r="I686" i="1" s="1"/>
  <c r="I687" i="1" s="1"/>
  <c r="I688" i="1" s="1"/>
  <c r="I689" i="1" s="1"/>
  <c r="I690" i="1" s="1"/>
  <c r="I691" i="1" s="1"/>
  <c r="I692" i="1" s="1"/>
  <c r="I693" i="1" s="1"/>
  <c r="I694" i="1" s="1"/>
  <c r="I695" i="1" s="1"/>
  <c r="I696" i="1" s="1"/>
  <c r="I697" i="1" s="1"/>
  <c r="I698" i="1" s="1"/>
  <c r="I699" i="1" s="1"/>
  <c r="I700" i="1" s="1"/>
  <c r="I701" i="1" s="1"/>
  <c r="I702" i="1" s="1"/>
  <c r="I703" i="1" s="1"/>
  <c r="I704" i="1" s="1"/>
  <c r="I705" i="1" s="1"/>
  <c r="I706" i="1" s="1"/>
  <c r="I707" i="1" s="1"/>
  <c r="I708" i="1" s="1"/>
  <c r="I709" i="1" s="1"/>
  <c r="I710" i="1" s="1"/>
  <c r="I711" i="1" s="1"/>
  <c r="I712" i="1" s="1"/>
  <c r="I713" i="1" s="1"/>
  <c r="I714" i="1" s="1"/>
  <c r="I715" i="1" s="1"/>
  <c r="I716" i="1" s="1"/>
  <c r="I717" i="1" s="1"/>
  <c r="I718" i="1" s="1"/>
  <c r="I719" i="1" s="1"/>
  <c r="I720" i="1" s="1"/>
  <c r="I721" i="1" s="1"/>
  <c r="I722" i="1" s="1"/>
  <c r="I723" i="1" s="1"/>
  <c r="I724" i="1" s="1"/>
  <c r="I725" i="1" s="1"/>
  <c r="I726" i="1" s="1"/>
  <c r="I727" i="1" s="1"/>
  <c r="I728" i="1" s="1"/>
  <c r="I729" i="1" s="1"/>
  <c r="I730" i="1" s="1"/>
  <c r="I731" i="1" s="1"/>
  <c r="I732" i="1" s="1"/>
  <c r="I733" i="1" s="1"/>
  <c r="I734" i="1" s="1"/>
  <c r="I735" i="1" s="1"/>
  <c r="I736" i="1" s="1"/>
  <c r="I737" i="1" s="1"/>
  <c r="I738" i="1" s="1"/>
  <c r="I739" i="1" s="1"/>
  <c r="I740" i="1" s="1"/>
  <c r="I741" i="1" s="1"/>
  <c r="I742" i="1" s="1"/>
  <c r="I743" i="1" s="1"/>
  <c r="I744" i="1" s="1"/>
  <c r="I745" i="1" s="1"/>
  <c r="I746" i="1" s="1"/>
  <c r="I747" i="1" s="1"/>
  <c r="I748" i="1" s="1"/>
  <c r="I749" i="1" s="1"/>
  <c r="I750" i="1" s="1"/>
  <c r="I751" i="1" s="1"/>
  <c r="I752" i="1" s="1"/>
  <c r="I753" i="1" s="1"/>
  <c r="I754" i="1" s="1"/>
  <c r="I755" i="1" s="1"/>
  <c r="I756" i="1" s="1"/>
  <c r="I757" i="1" s="1"/>
  <c r="I758" i="1" s="1"/>
  <c r="I759" i="1" s="1"/>
  <c r="I760" i="1" s="1"/>
  <c r="I761" i="1" s="1"/>
  <c r="I762" i="1" s="1"/>
  <c r="I763" i="1" s="1"/>
  <c r="I764" i="1" s="1"/>
  <c r="I765" i="1" s="1"/>
  <c r="I766" i="1" s="1"/>
  <c r="I767" i="1" s="1"/>
  <c r="I768" i="1" s="1"/>
  <c r="I769" i="1" s="1"/>
  <c r="I770" i="1" s="1"/>
  <c r="I771" i="1" s="1"/>
  <c r="I772" i="1" s="1"/>
  <c r="I773" i="1" s="1"/>
  <c r="I774" i="1" s="1"/>
  <c r="I775" i="1" s="1"/>
  <c r="I776" i="1" s="1"/>
  <c r="I777" i="1" s="1"/>
  <c r="I778" i="1" s="1"/>
  <c r="I779" i="1" s="1"/>
  <c r="I780" i="1" s="1"/>
  <c r="I781" i="1" s="1"/>
  <c r="I782" i="1" s="1"/>
  <c r="I783" i="1" s="1"/>
  <c r="I784" i="1" s="1"/>
  <c r="I785" i="1" s="1"/>
  <c r="I786" i="1" s="1"/>
  <c r="I787" i="1" s="1"/>
  <c r="I788" i="1" s="1"/>
  <c r="I789" i="1" s="1"/>
  <c r="I790" i="1" s="1"/>
  <c r="I791" i="1" s="1"/>
  <c r="I792" i="1" s="1"/>
  <c r="I793" i="1" s="1"/>
  <c r="I794" i="1" s="1"/>
  <c r="I795" i="1" s="1"/>
  <c r="I796" i="1" s="1"/>
  <c r="I797" i="1" s="1"/>
  <c r="I798" i="1" s="1"/>
  <c r="I799" i="1" s="1"/>
  <c r="I800" i="1" s="1"/>
  <c r="I801" i="1" s="1"/>
  <c r="I802" i="1" s="1"/>
  <c r="I803" i="1" s="1"/>
  <c r="I804" i="1" s="1"/>
  <c r="I805" i="1" s="1"/>
  <c r="I806" i="1" s="1"/>
  <c r="I807" i="1" s="1"/>
  <c r="I808" i="1" s="1"/>
  <c r="I809" i="1" s="1"/>
  <c r="I810" i="1" s="1"/>
  <c r="I811" i="1" s="1"/>
  <c r="I812" i="1" s="1"/>
  <c r="I813" i="1" s="1"/>
  <c r="I814" i="1" s="1"/>
  <c r="I815" i="1" s="1"/>
  <c r="I816" i="1" s="1"/>
  <c r="I817" i="1" s="1"/>
  <c r="I818" i="1" s="1"/>
  <c r="I819" i="1" s="1"/>
  <c r="I820" i="1" s="1"/>
  <c r="I821" i="1" s="1"/>
  <c r="I822" i="1" s="1"/>
  <c r="I823" i="1" s="1"/>
  <c r="I824" i="1" s="1"/>
  <c r="I825" i="1" s="1"/>
  <c r="I826" i="1" s="1"/>
  <c r="I827" i="1" s="1"/>
  <c r="I828" i="1" s="1"/>
  <c r="I829" i="1" s="1"/>
  <c r="I830" i="1" s="1"/>
  <c r="I831" i="1" s="1"/>
  <c r="I832" i="1" s="1"/>
  <c r="I833" i="1" s="1"/>
  <c r="I834" i="1" s="1"/>
  <c r="I835" i="1" s="1"/>
  <c r="I836" i="1" s="1"/>
  <c r="I837" i="1" s="1"/>
  <c r="I838" i="1" s="1"/>
  <c r="I839" i="1" s="1"/>
  <c r="I840" i="1" s="1"/>
  <c r="I841" i="1" s="1"/>
  <c r="I842" i="1" s="1"/>
  <c r="I843" i="1" s="1"/>
  <c r="I844" i="1" s="1"/>
  <c r="I845" i="1" s="1"/>
  <c r="I846" i="1" s="1"/>
  <c r="I847" i="1" s="1"/>
  <c r="I848" i="1" s="1"/>
  <c r="I849" i="1" s="1"/>
  <c r="I850" i="1" s="1"/>
  <c r="I851" i="1" s="1"/>
  <c r="I852" i="1" s="1"/>
  <c r="I853" i="1" s="1"/>
  <c r="I854" i="1" s="1"/>
  <c r="I855" i="1" s="1"/>
  <c r="I856" i="1" s="1"/>
  <c r="I857" i="1" s="1"/>
  <c r="I858" i="1" s="1"/>
  <c r="I859" i="1" s="1"/>
  <c r="I860" i="1" s="1"/>
  <c r="I861" i="1" s="1"/>
  <c r="I862" i="1" s="1"/>
  <c r="I863" i="1" s="1"/>
  <c r="I864" i="1" s="1"/>
  <c r="I865" i="1" s="1"/>
  <c r="I866" i="1" s="1"/>
  <c r="I867" i="1" s="1"/>
  <c r="I868" i="1" s="1"/>
  <c r="I869" i="1" s="1"/>
  <c r="I870" i="1" s="1"/>
  <c r="I871" i="1" s="1"/>
  <c r="I872" i="1" s="1"/>
  <c r="I873" i="1" s="1"/>
  <c r="I874" i="1" s="1"/>
  <c r="I875" i="1" s="1"/>
  <c r="I876" i="1" s="1"/>
  <c r="I877" i="1" s="1"/>
  <c r="I878" i="1" s="1"/>
  <c r="I879" i="1" s="1"/>
  <c r="I880" i="1" s="1"/>
  <c r="I881" i="1" s="1"/>
  <c r="I882" i="1" s="1"/>
  <c r="I883" i="1" s="1"/>
  <c r="I884" i="1" s="1"/>
  <c r="I885" i="1" s="1"/>
  <c r="I886" i="1" s="1"/>
  <c r="I887" i="1" s="1"/>
  <c r="I888" i="1" s="1"/>
  <c r="I889" i="1" s="1"/>
  <c r="I890" i="1" s="1"/>
  <c r="I891" i="1" s="1"/>
  <c r="I892" i="1" s="1"/>
  <c r="I893" i="1" s="1"/>
  <c r="I894" i="1" s="1"/>
  <c r="I895" i="1" s="1"/>
  <c r="I896" i="1" s="1"/>
  <c r="I897" i="1" s="1"/>
  <c r="I898" i="1" s="1"/>
  <c r="I899" i="1" s="1"/>
  <c r="I900" i="1" s="1"/>
  <c r="I901" i="1" s="1"/>
  <c r="I902" i="1" s="1"/>
  <c r="I903" i="1" s="1"/>
  <c r="I904" i="1" s="1"/>
  <c r="I905" i="1" s="1"/>
  <c r="I906" i="1" s="1"/>
  <c r="I907" i="1" s="1"/>
  <c r="I908" i="1" s="1"/>
  <c r="I909" i="1" s="1"/>
  <c r="I910" i="1" s="1"/>
  <c r="I911" i="1" s="1"/>
  <c r="I912" i="1" s="1"/>
  <c r="I913" i="1" s="1"/>
  <c r="I914" i="1" s="1"/>
  <c r="I915" i="1" s="1"/>
  <c r="I916" i="1" s="1"/>
  <c r="I917" i="1" s="1"/>
  <c r="I918" i="1" s="1"/>
  <c r="I919" i="1" s="1"/>
  <c r="I920" i="1" s="1"/>
  <c r="I921" i="1" s="1"/>
  <c r="I922" i="1" s="1"/>
  <c r="I923" i="1" s="1"/>
  <c r="I924" i="1" s="1"/>
  <c r="I925" i="1" s="1"/>
  <c r="I926" i="1" s="1"/>
  <c r="I927" i="1" s="1"/>
  <c r="I928" i="1" s="1"/>
  <c r="I929" i="1" s="1"/>
  <c r="I930" i="1" s="1"/>
  <c r="I931" i="1" s="1"/>
  <c r="I932" i="1" s="1"/>
  <c r="I933" i="1" s="1"/>
  <c r="I934" i="1" s="1"/>
  <c r="I935" i="1" s="1"/>
  <c r="I936" i="1" s="1"/>
  <c r="I937" i="1" s="1"/>
  <c r="I938" i="1" s="1"/>
  <c r="I939" i="1" s="1"/>
  <c r="I940" i="1" s="1"/>
  <c r="I941" i="1" s="1"/>
  <c r="I942" i="1" s="1"/>
  <c r="I943" i="1" s="1"/>
  <c r="I944" i="1" s="1"/>
  <c r="I945" i="1" s="1"/>
  <c r="I946" i="1" s="1"/>
  <c r="I947" i="1" s="1"/>
  <c r="I948" i="1" s="1"/>
  <c r="I949" i="1" s="1"/>
  <c r="I950" i="1" s="1"/>
  <c r="I951" i="1" s="1"/>
  <c r="I952" i="1" s="1"/>
  <c r="I953" i="1" s="1"/>
  <c r="I954" i="1" s="1"/>
  <c r="I955" i="1" s="1"/>
  <c r="I956" i="1" s="1"/>
  <c r="I957" i="1" s="1"/>
  <c r="I958" i="1" s="1"/>
  <c r="I959" i="1" s="1"/>
  <c r="I960" i="1" s="1"/>
  <c r="I961" i="1" s="1"/>
  <c r="I962" i="1" s="1"/>
  <c r="I963" i="1" s="1"/>
  <c r="I964" i="1" s="1"/>
  <c r="I965" i="1" s="1"/>
  <c r="I966" i="1" s="1"/>
  <c r="I967" i="1" s="1"/>
  <c r="I968" i="1" s="1"/>
  <c r="I969" i="1" s="1"/>
  <c r="I970" i="1" s="1"/>
  <c r="I971" i="1" s="1"/>
  <c r="I972" i="1" s="1"/>
  <c r="I973" i="1" s="1"/>
  <c r="I974" i="1" s="1"/>
  <c r="I975" i="1" s="1"/>
  <c r="I976" i="1" s="1"/>
  <c r="I977" i="1" s="1"/>
  <c r="I978" i="1" s="1"/>
  <c r="I979" i="1" s="1"/>
  <c r="I980" i="1" s="1"/>
  <c r="I981" i="1" s="1"/>
  <c r="I982" i="1" s="1"/>
  <c r="I983" i="1" s="1"/>
  <c r="I984" i="1" s="1"/>
  <c r="I985" i="1" s="1"/>
  <c r="I986" i="1" s="1"/>
  <c r="I987" i="1" s="1"/>
  <c r="I988" i="1" s="1"/>
  <c r="I989" i="1" s="1"/>
  <c r="I990" i="1" s="1"/>
  <c r="I991" i="1" s="1"/>
  <c r="I992" i="1" s="1"/>
  <c r="I993" i="1" s="1"/>
  <c r="I994" i="1" s="1"/>
  <c r="I995" i="1" s="1"/>
  <c r="I996" i="1" s="1"/>
  <c r="I997" i="1" s="1"/>
  <c r="I998" i="1" s="1"/>
  <c r="I999" i="1" s="1"/>
  <c r="I1000" i="1" s="1"/>
  <c r="I1001" i="1" s="1"/>
  <c r="I1002" i="1" s="1"/>
  <c r="I1003" i="1" s="1"/>
  <c r="I1004" i="1" s="1"/>
  <c r="I1005" i="1" s="1"/>
  <c r="I1006" i="1" s="1"/>
  <c r="I1007" i="1" s="1"/>
  <c r="I1008" i="1" s="1"/>
  <c r="I1009" i="1" s="1"/>
  <c r="I1010" i="1" s="1"/>
  <c r="I1011" i="1" s="1"/>
  <c r="I1012" i="1" s="1"/>
  <c r="I1013" i="1" s="1"/>
  <c r="I1014" i="1" s="1"/>
  <c r="I1015" i="1" s="1"/>
  <c r="I1016" i="1" s="1"/>
  <c r="I1017" i="1" s="1"/>
  <c r="I1018" i="1" s="1"/>
  <c r="I1019" i="1" s="1"/>
  <c r="I1020" i="1" s="1"/>
  <c r="I1021" i="1" s="1"/>
  <c r="I1022" i="1" s="1"/>
  <c r="I1023" i="1" s="1"/>
  <c r="I1024" i="1" s="1"/>
  <c r="I1025" i="1" s="1"/>
  <c r="I1026" i="1" s="1"/>
  <c r="I1027" i="1" s="1"/>
  <c r="I1028" i="1" s="1"/>
  <c r="I1029" i="1" s="1"/>
  <c r="I1030" i="1" s="1"/>
  <c r="I1031" i="1" s="1"/>
  <c r="I1032" i="1" s="1"/>
  <c r="I1033" i="1" s="1"/>
  <c r="I1034" i="1" s="1"/>
  <c r="I1035" i="1" s="1"/>
  <c r="I1036" i="1" s="1"/>
  <c r="I1037" i="1" s="1"/>
  <c r="I1038" i="1" s="1"/>
  <c r="I1039" i="1" s="1"/>
  <c r="I1040" i="1" s="1"/>
  <c r="I1041" i="1" s="1"/>
  <c r="I1042" i="1" s="1"/>
  <c r="I1043" i="1" s="1"/>
  <c r="I1044" i="1" s="1"/>
  <c r="I1045" i="1" s="1"/>
  <c r="I1046" i="1" s="1"/>
  <c r="I1047" i="1" s="1"/>
  <c r="I1048" i="1" s="1"/>
  <c r="I1049" i="1" s="1"/>
  <c r="I1050" i="1" s="1"/>
  <c r="I1051" i="1" s="1"/>
  <c r="I1052" i="1" s="1"/>
  <c r="I1053" i="1" s="1"/>
  <c r="I1054" i="1" s="1"/>
  <c r="I1055" i="1" s="1"/>
  <c r="I1056" i="1" s="1"/>
  <c r="I1057" i="1" s="1"/>
  <c r="I1058" i="1" s="1"/>
  <c r="I1059" i="1" s="1"/>
  <c r="I1060" i="1" s="1"/>
  <c r="I1061" i="1" s="1"/>
  <c r="I1062" i="1" s="1"/>
  <c r="I1063" i="1" s="1"/>
  <c r="I1064" i="1" s="1"/>
  <c r="I1065" i="1" s="1"/>
  <c r="I1066" i="1" s="1"/>
  <c r="V183" i="1"/>
  <c r="V184" i="1" s="1"/>
  <c r="V185" i="1" s="1"/>
  <c r="V186" i="1" s="1"/>
  <c r="V187" i="1" s="1"/>
  <c r="V188" i="1" s="1"/>
  <c r="V175" i="1"/>
  <c r="V176" i="1" s="1"/>
  <c r="V177" i="1" s="1"/>
  <c r="V132" i="1"/>
  <c r="V133" i="1" s="1"/>
  <c r="V134" i="1" s="1"/>
  <c r="V76" i="1"/>
  <c r="V77" i="1" s="1"/>
  <c r="V78" i="1" s="1"/>
  <c r="V79" i="1" s="1"/>
  <c r="V54" i="1"/>
  <c r="V55" i="1" s="1"/>
  <c r="V56" i="1" s="1"/>
  <c r="V57" i="1" s="1"/>
  <c r="B12" i="1"/>
  <c r="E12" i="1" s="1"/>
  <c r="V194" i="1"/>
  <c r="V195" i="1" s="1"/>
  <c r="V196" i="1" s="1"/>
  <c r="V197" i="1" s="1"/>
  <c r="B117" i="1"/>
  <c r="B118" i="1" s="1"/>
  <c r="B27" i="1"/>
  <c r="B28" i="1" s="1"/>
  <c r="E26" i="1"/>
  <c r="B183" i="1"/>
  <c r="E183" i="1" s="1"/>
  <c r="B175" i="1"/>
  <c r="E175" i="1" s="1"/>
  <c r="B132" i="1"/>
  <c r="E132" i="1" s="1"/>
  <c r="B123" i="1"/>
  <c r="E123" i="1" s="1"/>
  <c r="V123" i="1"/>
  <c r="V124" i="1" s="1"/>
  <c r="V125" i="1" s="1"/>
  <c r="V126" i="1" s="1"/>
  <c r="V127" i="1" s="1"/>
  <c r="V128" i="1" s="1"/>
  <c r="V129" i="1" s="1"/>
  <c r="V130" i="1" s="1"/>
  <c r="V107" i="1"/>
  <c r="B90" i="1"/>
  <c r="B76" i="1"/>
  <c r="B77" i="1" s="1"/>
  <c r="V71" i="1"/>
  <c r="V72" i="1" s="1"/>
  <c r="V73" i="1" s="1"/>
  <c r="V74" i="1" s="1"/>
  <c r="B54" i="1"/>
  <c r="B55" i="1" s="1"/>
  <c r="V12" i="1"/>
  <c r="V13" i="1" s="1"/>
  <c r="V14" i="1" s="1"/>
  <c r="V15" i="1" s="1"/>
  <c r="V9" i="1"/>
  <c r="V10" i="1" s="1"/>
  <c r="E33" i="1"/>
  <c r="V160" i="1"/>
  <c r="V161" i="1" s="1"/>
  <c r="V162" i="1" s="1"/>
  <c r="V163" i="1" s="1"/>
  <c r="V117" i="1"/>
  <c r="V118" i="1" s="1"/>
  <c r="V119" i="1" s="1"/>
  <c r="V120" i="1" s="1"/>
  <c r="D192" i="1"/>
  <c r="E167" i="1"/>
  <c r="B168" i="1"/>
  <c r="E108" i="1"/>
  <c r="B109" i="1"/>
  <c r="V33" i="1"/>
  <c r="V34" i="1" s="1"/>
  <c r="V35" i="1" s="1"/>
  <c r="V36" i="1" s="1"/>
  <c r="V37" i="1" s="1"/>
  <c r="B20" i="1"/>
  <c r="B21" i="1" s="1"/>
  <c r="B22" i="1" s="1"/>
  <c r="E19" i="1"/>
  <c r="B190" i="1"/>
  <c r="V190" i="1"/>
  <c r="V191" i="1" s="1"/>
  <c r="V192" i="1" s="1"/>
  <c r="V179" i="1"/>
  <c r="V180" i="1" s="1"/>
  <c r="V181" i="1" s="1"/>
  <c r="E140" i="1"/>
  <c r="B141" i="1"/>
  <c r="E141" i="1" s="1"/>
  <c r="V137" i="1"/>
  <c r="V138" i="1" s="1"/>
  <c r="V139" i="1" s="1"/>
  <c r="D111" i="1"/>
  <c r="V26" i="1"/>
  <c r="V27" i="1" s="1"/>
  <c r="V28" i="1" s="1"/>
  <c r="V29" i="1" s="1"/>
  <c r="E8" i="1"/>
  <c r="B9" i="1"/>
  <c r="D21" i="1"/>
  <c r="D22" i="1" s="1"/>
  <c r="D23" i="1" s="1"/>
  <c r="V168" i="1"/>
  <c r="V169" i="1" s="1"/>
  <c r="V170" i="1" s="1"/>
  <c r="V141" i="1"/>
  <c r="V109" i="1"/>
  <c r="V110" i="1" s="1"/>
  <c r="V111" i="1" s="1"/>
  <c r="V20" i="1"/>
  <c r="V21" i="1" s="1"/>
  <c r="V22" i="1" s="1"/>
  <c r="V23" i="1" s="1"/>
  <c r="V6" i="1"/>
  <c r="V7" i="1" s="1"/>
  <c r="E31" i="1"/>
  <c r="D126" i="1"/>
  <c r="D120" i="1"/>
  <c r="D163" i="1"/>
  <c r="D150" i="1"/>
  <c r="E171" i="1"/>
  <c r="B172" i="1"/>
  <c r="C270" i="1"/>
  <c r="C272" i="1" s="1"/>
  <c r="C273" i="1" s="1"/>
  <c r="C274" i="1" s="1"/>
  <c r="C276" i="1" s="1"/>
  <c r="C277" i="1" s="1"/>
  <c r="C278" i="1" s="1"/>
  <c r="C279" i="1" s="1"/>
  <c r="C280" i="1" s="1"/>
  <c r="C282" i="1" s="1"/>
  <c r="C284" i="1" s="1"/>
  <c r="C285" i="1" s="1"/>
  <c r="C287" i="1" s="1"/>
  <c r="C288" i="1" s="1"/>
  <c r="C289" i="1" s="1"/>
  <c r="C291" i="1" s="1"/>
  <c r="C292" i="1" s="1"/>
  <c r="C293" i="1" s="1"/>
  <c r="C294" i="1" s="1"/>
  <c r="C295" i="1" s="1"/>
  <c r="C297" i="1" s="1"/>
  <c r="C298" i="1" s="1"/>
  <c r="C300" i="1" s="1"/>
  <c r="C302" i="1" s="1"/>
  <c r="C304" i="1" s="1"/>
  <c r="C306" i="1" s="1"/>
  <c r="C308" i="1" s="1"/>
  <c r="C310" i="1" s="1"/>
  <c r="C312" i="1" s="1"/>
  <c r="C313" i="1" s="1"/>
  <c r="C314" i="1" s="1"/>
  <c r="C316" i="1" s="1"/>
  <c r="C317" i="1" s="1"/>
  <c r="C318" i="1" s="1"/>
  <c r="C319" i="1" s="1"/>
  <c r="C320" i="1" s="1"/>
  <c r="C322" i="1" s="1"/>
  <c r="C324" i="1" s="1"/>
  <c r="C325" i="1" s="1"/>
  <c r="C326" i="1" s="1"/>
  <c r="C327" i="1" s="1"/>
  <c r="C328" i="1" s="1"/>
  <c r="C329" i="1" s="1"/>
  <c r="C331" i="1" s="1"/>
  <c r="C333" i="1" s="1"/>
  <c r="C335" i="1" s="1"/>
  <c r="C337" i="1" s="1"/>
  <c r="C338" i="1" s="1"/>
  <c r="C340" i="1" s="1"/>
  <c r="C342" i="1" s="1"/>
  <c r="C344" i="1" s="1"/>
  <c r="C346" i="1" s="1"/>
  <c r="C348" i="1" s="1"/>
  <c r="C350" i="1" s="1"/>
  <c r="C352" i="1" s="1"/>
  <c r="C353" i="1" s="1"/>
  <c r="C354" i="1" s="1"/>
  <c r="C355" i="1" s="1"/>
  <c r="C356" i="1" s="1"/>
  <c r="C357" i="1" s="1"/>
  <c r="C358" i="1" s="1"/>
  <c r="C359" i="1" s="1"/>
  <c r="C360" i="1" s="1"/>
  <c r="C361" i="1" s="1"/>
  <c r="C362" i="1" s="1"/>
  <c r="C364" i="1" s="1"/>
  <c r="C365" i="1" s="1"/>
  <c r="C366" i="1" s="1"/>
  <c r="C367" i="1" s="1"/>
  <c r="C369" i="1" s="1"/>
  <c r="C371" i="1" s="1"/>
  <c r="C372" i="1" s="1"/>
  <c r="C373" i="1" s="1"/>
  <c r="C375" i="1" s="1"/>
  <c r="C376" i="1" s="1"/>
  <c r="C377" i="1" s="1"/>
  <c r="C378" i="1" s="1"/>
  <c r="C380" i="1" s="1"/>
  <c r="C382" i="1" s="1"/>
  <c r="C384" i="1" s="1"/>
  <c r="C386" i="1" s="1"/>
  <c r="C387" i="1" s="1"/>
  <c r="C388" i="1" s="1"/>
  <c r="C389" i="1" s="1"/>
  <c r="C390" i="1" s="1"/>
  <c r="C391" i="1" s="1"/>
  <c r="C392" i="1" s="1"/>
  <c r="C393" i="1" s="1"/>
  <c r="C394" i="1" s="1"/>
  <c r="C395" i="1" s="1"/>
  <c r="C396" i="1" s="1"/>
  <c r="C397" i="1" s="1"/>
  <c r="C399" i="1" s="1"/>
  <c r="C401" i="1" s="1"/>
  <c r="C402" i="1" s="1"/>
  <c r="C403" i="1" s="1"/>
  <c r="C404" i="1" s="1"/>
  <c r="C408" i="1" s="1"/>
  <c r="C409" i="1" s="1"/>
  <c r="C410" i="1" s="1"/>
  <c r="C412" i="1" s="1"/>
  <c r="C413" i="1" s="1"/>
  <c r="C268" i="1"/>
  <c r="B194" i="1"/>
  <c r="B165" i="1"/>
  <c r="B156" i="1"/>
  <c r="V152" i="1"/>
  <c r="V153" i="1" s="1"/>
  <c r="V154" i="1" s="1"/>
  <c r="V148" i="1"/>
  <c r="V149" i="1" s="1"/>
  <c r="V150" i="1" s="1"/>
  <c r="B143" i="1"/>
  <c r="B137" i="1"/>
  <c r="B113" i="1"/>
  <c r="B107" i="1"/>
  <c r="E107" i="1" s="1"/>
  <c r="V104" i="1"/>
  <c r="V105" i="1" s="1"/>
  <c r="V90" i="1"/>
  <c r="V91" i="1" s="1"/>
  <c r="V92" i="1" s="1"/>
  <c r="V93" i="1" s="1"/>
  <c r="V94" i="1" s="1"/>
  <c r="V95" i="1" s="1"/>
  <c r="V96" i="1" s="1"/>
  <c r="V97" i="1" s="1"/>
  <c r="V98" i="1" s="1"/>
  <c r="V99" i="1" s="1"/>
  <c r="V87" i="1"/>
  <c r="V88" i="1" s="1"/>
  <c r="V81" i="1"/>
  <c r="V82" i="1" s="1"/>
  <c r="V83" i="1" s="1"/>
  <c r="V84" i="1" s="1"/>
  <c r="V67" i="1"/>
  <c r="V68" i="1" s="1"/>
  <c r="V69" i="1" s="1"/>
  <c r="E58" i="1"/>
  <c r="B59" i="1"/>
  <c r="V199" i="1"/>
  <c r="V172" i="1"/>
  <c r="V173" i="1" s="1"/>
  <c r="E100" i="1"/>
  <c r="B101" i="1"/>
  <c r="E86" i="1"/>
  <c r="E80" i="1"/>
  <c r="B81" i="1"/>
  <c r="E70" i="1"/>
  <c r="B71" i="1"/>
  <c r="E66" i="1"/>
  <c r="B67" i="1"/>
  <c r="E62" i="1"/>
  <c r="B63" i="1"/>
  <c r="E48" i="1"/>
  <c r="B49" i="1"/>
  <c r="E46" i="1"/>
  <c r="B47" i="1"/>
  <c r="E47" i="1" s="1"/>
  <c r="E38" i="1"/>
  <c r="B39" i="1"/>
  <c r="E34" i="1"/>
  <c r="B35" i="1"/>
  <c r="V63" i="1"/>
  <c r="V64" i="1" s="1"/>
  <c r="V65" i="1" s="1"/>
  <c r="V59" i="1"/>
  <c r="V60" i="1" s="1"/>
  <c r="V61" i="1" s="1"/>
  <c r="V49" i="1"/>
  <c r="V50" i="1" s="1"/>
  <c r="V51" i="1" s="1"/>
  <c r="V52" i="1" s="1"/>
  <c r="V47" i="1"/>
  <c r="V39" i="1"/>
  <c r="V40" i="1" s="1"/>
  <c r="B18" i="1"/>
  <c r="E18" i="1" s="1"/>
  <c r="E17" i="1"/>
  <c r="V200" i="1"/>
  <c r="V201" i="1" s="1"/>
  <c r="V202" i="1" s="1"/>
  <c r="V203" i="1" s="1"/>
  <c r="V204" i="1" s="1"/>
  <c r="V205" i="1" s="1"/>
  <c r="V206" i="1" s="1"/>
  <c r="V207" i="1" s="1"/>
  <c r="V208" i="1" s="1"/>
  <c r="V209" i="1" s="1"/>
  <c r="V210" i="1" s="1"/>
  <c r="V211" i="1" s="1"/>
  <c r="V212" i="1" s="1"/>
  <c r="V213" i="1" s="1"/>
  <c r="V214" i="1" s="1"/>
  <c r="V215" i="1" s="1"/>
  <c r="V216" i="1" s="1"/>
  <c r="V217" i="1" s="1"/>
  <c r="V218" i="1" s="1"/>
  <c r="V219" i="1" s="1"/>
  <c r="V220" i="1" s="1"/>
  <c r="V221" i="1" s="1"/>
  <c r="V222" i="1" s="1"/>
  <c r="V223" i="1" s="1"/>
  <c r="V224" i="1" s="1"/>
  <c r="V225" i="1" s="1"/>
  <c r="V226" i="1" s="1"/>
  <c r="V227" i="1" s="1"/>
  <c r="V228" i="1" s="1"/>
  <c r="V229" i="1" s="1"/>
  <c r="V230" i="1" s="1"/>
  <c r="V231" i="1" s="1"/>
  <c r="V232" i="1" s="1"/>
  <c r="V233" i="1" s="1"/>
  <c r="V234" i="1" s="1"/>
  <c r="V235" i="1" s="1"/>
  <c r="V236" i="1" s="1"/>
  <c r="V237" i="1" s="1"/>
  <c r="V238" i="1" s="1"/>
  <c r="V239" i="1" s="1"/>
  <c r="V240" i="1" s="1"/>
  <c r="V241" i="1" s="1"/>
  <c r="V242" i="1" s="1"/>
  <c r="V243" i="1" s="1"/>
  <c r="V244" i="1" s="1"/>
  <c r="V245" i="1" s="1"/>
  <c r="V246" i="1" s="1"/>
  <c r="V247" i="1" s="1"/>
  <c r="V248" i="1" s="1"/>
  <c r="V249" i="1" s="1"/>
  <c r="V250" i="1" s="1"/>
  <c r="V251" i="1" s="1"/>
  <c r="V252" i="1" s="1"/>
  <c r="V253" i="1" s="1"/>
  <c r="V254" i="1" s="1"/>
  <c r="V255" i="1" s="1"/>
  <c r="V256" i="1" s="1"/>
  <c r="V257" i="1" s="1"/>
  <c r="V258" i="1" s="1"/>
  <c r="V259" i="1" s="1"/>
  <c r="V260" i="1" s="1"/>
  <c r="V261" i="1" s="1"/>
  <c r="V262" i="1" s="1"/>
  <c r="V263" i="1" s="1"/>
  <c r="V264" i="1" s="1"/>
  <c r="V265" i="1" s="1"/>
  <c r="V266" i="1" s="1"/>
  <c r="V267" i="1" s="1"/>
  <c r="V268" i="1" s="1"/>
  <c r="V269" i="1" s="1"/>
  <c r="V270" i="1" s="1"/>
  <c r="V271" i="1" s="1"/>
  <c r="V272" i="1" s="1"/>
  <c r="V273" i="1" s="1"/>
  <c r="V274" i="1" s="1"/>
  <c r="V275" i="1" s="1"/>
  <c r="V276" i="1" s="1"/>
  <c r="V277" i="1" s="1"/>
  <c r="V278" i="1" s="1"/>
  <c r="V279" i="1" s="1"/>
  <c r="V280" i="1" s="1"/>
  <c r="V281" i="1" s="1"/>
  <c r="V282" i="1" s="1"/>
  <c r="V283" i="1" s="1"/>
  <c r="V284" i="1" s="1"/>
  <c r="V285" i="1" s="1"/>
  <c r="V286" i="1" s="1"/>
  <c r="V287" i="1" s="1"/>
  <c r="V288" i="1" s="1"/>
  <c r="V289" i="1" s="1"/>
  <c r="V290" i="1" s="1"/>
  <c r="V291" i="1" s="1"/>
  <c r="V292" i="1" s="1"/>
  <c r="V293" i="1" s="1"/>
  <c r="V294" i="1" s="1"/>
  <c r="V295" i="1" s="1"/>
  <c r="V296" i="1" s="1"/>
  <c r="V297" i="1" s="1"/>
  <c r="V298" i="1" s="1"/>
  <c r="V299" i="1" s="1"/>
  <c r="V300" i="1" s="1"/>
  <c r="V301" i="1" s="1"/>
  <c r="V302" i="1" s="1"/>
  <c r="V303" i="1" s="1"/>
  <c r="V304" i="1" s="1"/>
  <c r="V305" i="1" s="1"/>
  <c r="V306" i="1" s="1"/>
  <c r="V307" i="1" s="1"/>
  <c r="V308" i="1" s="1"/>
  <c r="V309" i="1" s="1"/>
  <c r="V310" i="1" s="1"/>
  <c r="V311" i="1" s="1"/>
  <c r="V312" i="1" s="1"/>
  <c r="V313" i="1" s="1"/>
  <c r="V314" i="1" s="1"/>
  <c r="V315" i="1" s="1"/>
  <c r="V316" i="1" s="1"/>
  <c r="V317" i="1" s="1"/>
  <c r="V318" i="1" s="1"/>
  <c r="V319" i="1" s="1"/>
  <c r="V320" i="1" s="1"/>
  <c r="V321" i="1" s="1"/>
  <c r="V322" i="1" s="1"/>
  <c r="V323" i="1" s="1"/>
  <c r="V324" i="1" s="1"/>
  <c r="V325" i="1" s="1"/>
  <c r="V326" i="1" s="1"/>
  <c r="V327" i="1" s="1"/>
  <c r="V328" i="1" s="1"/>
  <c r="V329" i="1" s="1"/>
  <c r="V330" i="1" s="1"/>
  <c r="V331" i="1" s="1"/>
  <c r="V332" i="1" s="1"/>
  <c r="V333" i="1" s="1"/>
  <c r="V334" i="1" s="1"/>
  <c r="V335" i="1" s="1"/>
  <c r="V336" i="1" s="1"/>
  <c r="V337" i="1" s="1"/>
  <c r="V338" i="1" s="1"/>
  <c r="V339" i="1" s="1"/>
  <c r="V340" i="1" s="1"/>
  <c r="V341" i="1" s="1"/>
  <c r="V342" i="1" s="1"/>
  <c r="V343" i="1" s="1"/>
  <c r="V344" i="1" s="1"/>
  <c r="V345" i="1" s="1"/>
  <c r="V346" i="1" s="1"/>
  <c r="V347" i="1" s="1"/>
  <c r="V348" i="1" s="1"/>
  <c r="V349" i="1" s="1"/>
  <c r="V350" i="1" s="1"/>
  <c r="V351" i="1" s="1"/>
  <c r="V352" i="1" s="1"/>
  <c r="V353" i="1" s="1"/>
  <c r="V354" i="1" s="1"/>
  <c r="V355" i="1" s="1"/>
  <c r="V356" i="1" s="1"/>
  <c r="V357" i="1" s="1"/>
  <c r="V358" i="1" s="1"/>
  <c r="V359" i="1" s="1"/>
  <c r="V360" i="1" s="1"/>
  <c r="V361" i="1" s="1"/>
  <c r="V362" i="1" s="1"/>
  <c r="V363" i="1" s="1"/>
  <c r="V364" i="1" s="1"/>
  <c r="V365" i="1" s="1"/>
  <c r="V366" i="1" s="1"/>
  <c r="V367" i="1" s="1"/>
  <c r="V368" i="1" s="1"/>
  <c r="V369" i="1" s="1"/>
  <c r="V370" i="1" s="1"/>
  <c r="V371" i="1" s="1"/>
  <c r="V372" i="1" s="1"/>
  <c r="V373" i="1" s="1"/>
  <c r="V374" i="1" s="1"/>
  <c r="V375" i="1" s="1"/>
  <c r="V376" i="1" s="1"/>
  <c r="V377" i="1" s="1"/>
  <c r="V378" i="1" s="1"/>
  <c r="V379" i="1" s="1"/>
  <c r="V380" i="1" s="1"/>
  <c r="V381" i="1" s="1"/>
  <c r="V382" i="1" s="1"/>
  <c r="V383" i="1" s="1"/>
  <c r="V384" i="1" s="1"/>
  <c r="V385" i="1" s="1"/>
  <c r="V386" i="1" s="1"/>
  <c r="V387" i="1" s="1"/>
  <c r="V388" i="1" s="1"/>
  <c r="V389" i="1" s="1"/>
  <c r="V390" i="1" s="1"/>
  <c r="V391" i="1" s="1"/>
  <c r="V392" i="1" s="1"/>
  <c r="V393" i="1" s="1"/>
  <c r="V394" i="1" s="1"/>
  <c r="V395" i="1" s="1"/>
  <c r="V396" i="1" s="1"/>
  <c r="V397" i="1" s="1"/>
  <c r="V398" i="1" s="1"/>
  <c r="V399" i="1" s="1"/>
  <c r="V400" i="1" s="1"/>
  <c r="V401" i="1" s="1"/>
  <c r="V402" i="1" s="1"/>
  <c r="V403" i="1" s="1"/>
  <c r="V404" i="1" s="1"/>
  <c r="V407" i="1" s="1"/>
  <c r="V408" i="1" s="1"/>
  <c r="V409" i="1" s="1"/>
  <c r="V410" i="1" s="1"/>
  <c r="V411" i="1" s="1"/>
  <c r="V412" i="1" s="1"/>
  <c r="V413" i="1" s="1"/>
  <c r="V405" i="1" s="1"/>
  <c r="V406" i="1" s="1"/>
  <c r="V414" i="1" s="1"/>
  <c r="V415" i="1" s="1"/>
  <c r="V416" i="1" s="1"/>
  <c r="V417" i="1" s="1"/>
  <c r="V418" i="1" s="1"/>
  <c r="V419" i="1" s="1"/>
  <c r="V420" i="1" s="1"/>
  <c r="V421" i="1" s="1"/>
  <c r="V422" i="1" s="1"/>
  <c r="V423" i="1" s="1"/>
  <c r="V424" i="1" s="1"/>
  <c r="V425" i="1" s="1"/>
  <c r="V426" i="1" s="1"/>
  <c r="V427" i="1" s="1"/>
  <c r="V428" i="1" s="1"/>
  <c r="V429" i="1" s="1"/>
  <c r="V430" i="1" s="1"/>
  <c r="V431" i="1" s="1"/>
  <c r="V432" i="1" s="1"/>
  <c r="V433" i="1" s="1"/>
  <c r="V434" i="1" s="1"/>
  <c r="V435" i="1" s="1"/>
  <c r="V436" i="1" s="1"/>
  <c r="V437" i="1" s="1"/>
  <c r="V438" i="1" s="1"/>
  <c r="V439" i="1" s="1"/>
  <c r="V440" i="1" s="1"/>
  <c r="V441" i="1" s="1"/>
  <c r="V442" i="1" s="1"/>
  <c r="V443" i="1" s="1"/>
  <c r="V444" i="1" s="1"/>
  <c r="V445" i="1" s="1"/>
  <c r="V446" i="1" s="1"/>
  <c r="V447" i="1" s="1"/>
  <c r="V448" i="1" s="1"/>
  <c r="V449" i="1" s="1"/>
  <c r="V450" i="1" s="1"/>
  <c r="V451" i="1" s="1"/>
  <c r="V452" i="1" s="1"/>
  <c r="V453" i="1" s="1"/>
  <c r="V454" i="1" s="1"/>
  <c r="V455" i="1" s="1"/>
  <c r="V456" i="1" s="1"/>
  <c r="V457" i="1" s="1"/>
  <c r="V458" i="1" s="1"/>
  <c r="V459" i="1" s="1"/>
  <c r="V460" i="1" s="1"/>
  <c r="V461" i="1" s="1"/>
  <c r="V462" i="1" s="1"/>
  <c r="V463" i="1" s="1"/>
  <c r="V464" i="1" s="1"/>
  <c r="V465" i="1" s="1"/>
  <c r="V466" i="1" s="1"/>
  <c r="V467" i="1" s="1"/>
  <c r="V468" i="1" s="1"/>
  <c r="V469" i="1" s="1"/>
  <c r="V470" i="1" s="1"/>
  <c r="V471" i="1" s="1"/>
  <c r="V472" i="1" s="1"/>
  <c r="V473" i="1" s="1"/>
  <c r="V474" i="1" s="1"/>
  <c r="V475" i="1" s="1"/>
  <c r="V476" i="1" s="1"/>
  <c r="V477" i="1" s="1"/>
  <c r="V478" i="1" s="1"/>
  <c r="V479" i="1" s="1"/>
  <c r="V480" i="1" s="1"/>
  <c r="V481" i="1" s="1"/>
  <c r="V482" i="1" s="1"/>
  <c r="V483" i="1" s="1"/>
  <c r="V484" i="1" s="1"/>
  <c r="V485" i="1" s="1"/>
  <c r="V486" i="1" s="1"/>
  <c r="V487" i="1" s="1"/>
  <c r="V488" i="1" s="1"/>
  <c r="V489" i="1" s="1"/>
  <c r="V490" i="1" s="1"/>
  <c r="V491" i="1" s="1"/>
  <c r="V492" i="1" s="1"/>
  <c r="V493" i="1" s="1"/>
  <c r="V494" i="1" s="1"/>
  <c r="V495" i="1" s="1"/>
  <c r="V496" i="1" s="1"/>
  <c r="V497" i="1" s="1"/>
  <c r="V498" i="1" s="1"/>
  <c r="V499" i="1" s="1"/>
  <c r="V500" i="1" s="1"/>
  <c r="V501" i="1" s="1"/>
  <c r="V502" i="1" s="1"/>
  <c r="V503" i="1" s="1"/>
  <c r="V504" i="1" s="1"/>
  <c r="V505" i="1" s="1"/>
  <c r="V506" i="1" s="1"/>
  <c r="V507" i="1" s="1"/>
  <c r="V508" i="1" s="1"/>
  <c r="V509" i="1" s="1"/>
  <c r="V510" i="1" s="1"/>
  <c r="V511" i="1" s="1"/>
  <c r="V512" i="1" s="1"/>
  <c r="V513" i="1" s="1"/>
  <c r="V514" i="1" s="1"/>
  <c r="V515" i="1" s="1"/>
  <c r="V516" i="1" s="1"/>
  <c r="V517" i="1" s="1"/>
  <c r="V518" i="1" s="1"/>
  <c r="V519" i="1" s="1"/>
  <c r="V520" i="1" s="1"/>
  <c r="V521" i="1" s="1"/>
  <c r="V522" i="1" s="1"/>
  <c r="V523" i="1" s="1"/>
  <c r="V524" i="1" s="1"/>
  <c r="V525" i="1" s="1"/>
  <c r="V526" i="1" s="1"/>
  <c r="V527" i="1" s="1"/>
  <c r="V528" i="1" s="1"/>
  <c r="V529" i="1" s="1"/>
  <c r="V530" i="1" s="1"/>
  <c r="V531" i="1" s="1"/>
  <c r="V532" i="1" s="1"/>
  <c r="V533" i="1" s="1"/>
  <c r="V534" i="1" s="1"/>
  <c r="V535" i="1" s="1"/>
  <c r="V536" i="1" s="1"/>
  <c r="V537" i="1" s="1"/>
  <c r="V538" i="1" s="1"/>
  <c r="V539" i="1" s="1"/>
  <c r="V540" i="1" s="1"/>
  <c r="V541" i="1" s="1"/>
  <c r="V542" i="1" s="1"/>
  <c r="V543" i="1" s="1"/>
  <c r="V544" i="1" s="1"/>
  <c r="V545" i="1" s="1"/>
  <c r="V546" i="1" s="1"/>
  <c r="V547" i="1" s="1"/>
  <c r="V548" i="1" s="1"/>
  <c r="V549" i="1" s="1"/>
  <c r="V550" i="1" s="1"/>
  <c r="V551" i="1" s="1"/>
  <c r="V552" i="1" s="1"/>
  <c r="V553" i="1" s="1"/>
  <c r="V554" i="1" s="1"/>
  <c r="V555" i="1" s="1"/>
  <c r="V556" i="1" s="1"/>
  <c r="V557" i="1" s="1"/>
  <c r="V558" i="1" s="1"/>
  <c r="V559" i="1" s="1"/>
  <c r="V560" i="1" s="1"/>
  <c r="V561" i="1" s="1"/>
  <c r="V562" i="1" s="1"/>
  <c r="V563" i="1" s="1"/>
  <c r="V564" i="1" s="1"/>
  <c r="V565" i="1" s="1"/>
  <c r="V566" i="1" s="1"/>
  <c r="V567" i="1" s="1"/>
  <c r="V568" i="1" s="1"/>
  <c r="V569" i="1" s="1"/>
  <c r="V570" i="1" s="1"/>
  <c r="V571" i="1" s="1"/>
  <c r="V572" i="1" s="1"/>
  <c r="V573" i="1" s="1"/>
  <c r="V574" i="1" s="1"/>
  <c r="V575" i="1" s="1"/>
  <c r="V576" i="1" s="1"/>
  <c r="V577" i="1" s="1"/>
  <c r="V578" i="1" s="1"/>
  <c r="V583" i="1" s="1"/>
  <c r="V584" i="1" s="1"/>
  <c r="V585" i="1" s="1"/>
  <c r="V586" i="1" s="1"/>
  <c r="V579" i="1" s="1"/>
  <c r="V580" i="1" s="1"/>
  <c r="V581" i="1" s="1"/>
  <c r="V582" i="1" s="1"/>
  <c r="V587" i="1" s="1"/>
  <c r="V588" i="1" s="1"/>
  <c r="V589" i="1" s="1"/>
  <c r="V590" i="1" s="1"/>
  <c r="V591" i="1" s="1"/>
  <c r="V592" i="1" s="1"/>
  <c r="V593" i="1" s="1"/>
  <c r="V594" i="1" s="1"/>
  <c r="V595" i="1" s="1"/>
  <c r="V596" i="1" s="1"/>
  <c r="V597" i="1" s="1"/>
  <c r="V598" i="1" s="1"/>
  <c r="V599" i="1" s="1"/>
  <c r="V600" i="1" s="1"/>
  <c r="V601" i="1" s="1"/>
  <c r="V602" i="1" s="1"/>
  <c r="V603" i="1" s="1"/>
  <c r="V604" i="1" s="1"/>
  <c r="V605" i="1" s="1"/>
  <c r="V606" i="1" s="1"/>
  <c r="V607" i="1" s="1"/>
  <c r="V608" i="1" s="1"/>
  <c r="V609" i="1" s="1"/>
  <c r="V610" i="1" s="1"/>
  <c r="V611" i="1" s="1"/>
  <c r="V612" i="1" s="1"/>
  <c r="V613" i="1" s="1"/>
  <c r="V614" i="1" s="1"/>
  <c r="V615" i="1" s="1"/>
  <c r="V616" i="1" s="1"/>
  <c r="V617" i="1" s="1"/>
  <c r="V618" i="1" s="1"/>
  <c r="V619" i="1" s="1"/>
  <c r="V620" i="1" s="1"/>
  <c r="V621" i="1" s="1"/>
  <c r="V622" i="1" s="1"/>
  <c r="V623" i="1" s="1"/>
  <c r="V624" i="1" s="1"/>
  <c r="V625" i="1" s="1"/>
  <c r="V626" i="1" s="1"/>
  <c r="V627" i="1" s="1"/>
  <c r="V628" i="1" s="1"/>
  <c r="V629" i="1" s="1"/>
  <c r="V630" i="1" s="1"/>
  <c r="V631" i="1" s="1"/>
  <c r="V632" i="1" s="1"/>
  <c r="V633" i="1" s="1"/>
  <c r="V634" i="1" s="1"/>
  <c r="V635" i="1" s="1"/>
  <c r="V636" i="1" s="1"/>
  <c r="V637" i="1" s="1"/>
  <c r="V638" i="1" s="1"/>
  <c r="V639" i="1" s="1"/>
  <c r="V640" i="1" s="1"/>
  <c r="V641" i="1" s="1"/>
  <c r="V642" i="1" s="1"/>
  <c r="V643" i="1" s="1"/>
  <c r="V644" i="1" s="1"/>
  <c r="V645" i="1" s="1"/>
  <c r="V646" i="1" s="1"/>
  <c r="V647" i="1" s="1"/>
  <c r="V648" i="1" s="1"/>
  <c r="V649" i="1" s="1"/>
  <c r="V650" i="1" s="1"/>
  <c r="V651" i="1" s="1"/>
  <c r="V652" i="1" s="1"/>
  <c r="V653" i="1" s="1"/>
  <c r="V654" i="1" s="1"/>
  <c r="V655" i="1" s="1"/>
  <c r="V656" i="1" s="1"/>
  <c r="V657" i="1" s="1"/>
  <c r="V658" i="1" s="1"/>
  <c r="V659" i="1" s="1"/>
  <c r="V660" i="1" s="1"/>
  <c r="V661" i="1" s="1"/>
  <c r="V662" i="1" s="1"/>
  <c r="V663" i="1" s="1"/>
  <c r="V664" i="1" s="1"/>
  <c r="V665" i="1" s="1"/>
  <c r="V666" i="1" s="1"/>
  <c r="V667" i="1" s="1"/>
  <c r="V668" i="1" s="1"/>
  <c r="V669" i="1" s="1"/>
  <c r="V670" i="1" s="1"/>
  <c r="V671" i="1" s="1"/>
  <c r="V672" i="1" s="1"/>
  <c r="V674" i="1" s="1"/>
  <c r="V675" i="1" s="1"/>
  <c r="V676" i="1" s="1"/>
  <c r="V677" i="1" s="1"/>
  <c r="V678" i="1" s="1"/>
  <c r="V673" i="1" s="1"/>
  <c r="V679" i="1" s="1"/>
  <c r="V680" i="1" s="1"/>
  <c r="V681" i="1" s="1"/>
  <c r="V682" i="1" s="1"/>
  <c r="V683" i="1" s="1"/>
  <c r="V684" i="1" s="1"/>
  <c r="V685" i="1" s="1"/>
  <c r="V686" i="1" s="1"/>
  <c r="V687" i="1" s="1"/>
  <c r="V688" i="1" s="1"/>
  <c r="V689" i="1" s="1"/>
  <c r="V690" i="1" s="1"/>
  <c r="V691" i="1" s="1"/>
  <c r="V692" i="1" s="1"/>
  <c r="V693" i="1" s="1"/>
  <c r="V694" i="1" s="1"/>
  <c r="V695" i="1" s="1"/>
  <c r="V696" i="1" s="1"/>
  <c r="V697" i="1" s="1"/>
  <c r="V698" i="1" s="1"/>
  <c r="V699" i="1" s="1"/>
  <c r="V700" i="1" s="1"/>
  <c r="V701" i="1" s="1"/>
  <c r="V702" i="1" s="1"/>
  <c r="V703" i="1" s="1"/>
  <c r="V704" i="1" s="1"/>
  <c r="V705" i="1" s="1"/>
  <c r="V706" i="1" s="1"/>
  <c r="V707" i="1" s="1"/>
  <c r="V708" i="1" s="1"/>
  <c r="V709" i="1" s="1"/>
  <c r="V710" i="1" s="1"/>
  <c r="V711" i="1" s="1"/>
  <c r="V712" i="1" s="1"/>
  <c r="V713" i="1" s="1"/>
  <c r="V714" i="1" s="1"/>
  <c r="V715" i="1" s="1"/>
  <c r="V716" i="1" s="1"/>
  <c r="V717" i="1" s="1"/>
  <c r="V718" i="1" s="1"/>
  <c r="V719" i="1" s="1"/>
  <c r="V720" i="1" s="1"/>
  <c r="V721" i="1" s="1"/>
  <c r="V722" i="1" s="1"/>
  <c r="V723" i="1" s="1"/>
  <c r="V724" i="1" s="1"/>
  <c r="V725" i="1" s="1"/>
  <c r="V726" i="1" s="1"/>
  <c r="V727" i="1" s="1"/>
  <c r="V728" i="1" s="1"/>
  <c r="V729" i="1" s="1"/>
  <c r="V730" i="1" s="1"/>
  <c r="V731" i="1" s="1"/>
  <c r="V732" i="1" s="1"/>
  <c r="V733" i="1" s="1"/>
  <c r="V734" i="1" s="1"/>
  <c r="V735" i="1" s="1"/>
  <c r="V736" i="1" s="1"/>
  <c r="V737" i="1" s="1"/>
  <c r="V738" i="1" s="1"/>
  <c r="V739" i="1" s="1"/>
  <c r="V740" i="1" s="1"/>
  <c r="V741" i="1" s="1"/>
  <c r="V742" i="1" s="1"/>
  <c r="V743" i="1" s="1"/>
  <c r="V744" i="1" s="1"/>
  <c r="V745" i="1" s="1"/>
  <c r="V746" i="1" s="1"/>
  <c r="V747" i="1" s="1"/>
  <c r="V748" i="1" s="1"/>
  <c r="V749" i="1" s="1"/>
  <c r="V750" i="1" s="1"/>
  <c r="V751" i="1" s="1"/>
  <c r="V752" i="1" s="1"/>
  <c r="V753" i="1" s="1"/>
  <c r="V754" i="1" s="1"/>
  <c r="V755" i="1" s="1"/>
  <c r="V756" i="1" s="1"/>
  <c r="V757" i="1" s="1"/>
  <c r="V758" i="1" s="1"/>
  <c r="V759" i="1" s="1"/>
  <c r="V760" i="1" s="1"/>
  <c r="V761" i="1" s="1"/>
  <c r="V762" i="1" s="1"/>
  <c r="V763" i="1" s="1"/>
  <c r="V764" i="1" s="1"/>
  <c r="V765" i="1" s="1"/>
  <c r="V766" i="1" s="1"/>
  <c r="V767" i="1" s="1"/>
  <c r="V768" i="1" s="1"/>
  <c r="V769" i="1" s="1"/>
  <c r="V770" i="1" s="1"/>
  <c r="V771" i="1" s="1"/>
  <c r="V772" i="1" s="1"/>
  <c r="V773" i="1" s="1"/>
  <c r="V774" i="1" s="1"/>
  <c r="V775" i="1" s="1"/>
  <c r="V776" i="1" s="1"/>
  <c r="V777" i="1" s="1"/>
  <c r="V778" i="1" s="1"/>
  <c r="V779" i="1" s="1"/>
  <c r="V780" i="1" s="1"/>
  <c r="V781" i="1" s="1"/>
  <c r="V782" i="1" s="1"/>
  <c r="V783" i="1" s="1"/>
  <c r="V784" i="1" s="1"/>
  <c r="V785" i="1" s="1"/>
  <c r="V786" i="1" s="1"/>
  <c r="V787" i="1" s="1"/>
  <c r="V788" i="1" s="1"/>
  <c r="V789" i="1" s="1"/>
  <c r="V790" i="1" s="1"/>
  <c r="V791" i="1" s="1"/>
  <c r="V792" i="1" s="1"/>
  <c r="V793" i="1" s="1"/>
  <c r="V794" i="1" s="1"/>
  <c r="V795" i="1" s="1"/>
  <c r="V796" i="1" s="1"/>
  <c r="V797" i="1" s="1"/>
  <c r="V798" i="1" s="1"/>
  <c r="V799" i="1" s="1"/>
  <c r="V800" i="1" s="1"/>
  <c r="V801" i="1" s="1"/>
  <c r="V802" i="1" s="1"/>
  <c r="V803" i="1" s="1"/>
  <c r="V804" i="1" s="1"/>
  <c r="V805" i="1" s="1"/>
  <c r="V806" i="1" s="1"/>
  <c r="V807" i="1" s="1"/>
  <c r="V808" i="1" s="1"/>
  <c r="V809" i="1" s="1"/>
  <c r="V810" i="1" s="1"/>
  <c r="V811" i="1" s="1"/>
  <c r="V812" i="1" s="1"/>
  <c r="V813" i="1" s="1"/>
  <c r="V814" i="1" s="1"/>
  <c r="V815" i="1" s="1"/>
  <c r="V816" i="1" s="1"/>
  <c r="V817" i="1" s="1"/>
  <c r="V818" i="1" s="1"/>
  <c r="V819" i="1" s="1"/>
  <c r="V820" i="1" s="1"/>
  <c r="V821" i="1" s="1"/>
  <c r="V822" i="1" s="1"/>
  <c r="V823" i="1" s="1"/>
  <c r="V824" i="1" s="1"/>
  <c r="V825" i="1" s="1"/>
  <c r="V826" i="1" s="1"/>
  <c r="V827" i="1" s="1"/>
  <c r="V828" i="1" s="1"/>
  <c r="V829" i="1" s="1"/>
  <c r="V830" i="1" s="1"/>
  <c r="V831" i="1" s="1"/>
  <c r="V832" i="1" s="1"/>
  <c r="V833" i="1" s="1"/>
  <c r="V834" i="1" s="1"/>
  <c r="V835" i="1" s="1"/>
  <c r="V836" i="1" s="1"/>
  <c r="V837" i="1" s="1"/>
  <c r="V838" i="1" s="1"/>
  <c r="V839" i="1" s="1"/>
  <c r="V840" i="1" s="1"/>
  <c r="V841" i="1" s="1"/>
  <c r="V842" i="1" s="1"/>
  <c r="V843" i="1" s="1"/>
  <c r="V844" i="1" s="1"/>
  <c r="V845" i="1" s="1"/>
  <c r="V846" i="1" s="1"/>
  <c r="V847" i="1" s="1"/>
  <c r="V848" i="1" s="1"/>
  <c r="V849" i="1" s="1"/>
  <c r="V850" i="1" s="1"/>
  <c r="V851" i="1" s="1"/>
  <c r="V852" i="1" s="1"/>
  <c r="V853" i="1" s="1"/>
  <c r="V854" i="1" s="1"/>
  <c r="V855" i="1" s="1"/>
  <c r="V856" i="1" s="1"/>
  <c r="V857" i="1" s="1"/>
  <c r="V858" i="1" s="1"/>
  <c r="V859" i="1" s="1"/>
  <c r="V860" i="1" s="1"/>
  <c r="V861" i="1" s="1"/>
  <c r="V862" i="1" s="1"/>
  <c r="V863" i="1" s="1"/>
  <c r="V864" i="1" s="1"/>
  <c r="V865" i="1" s="1"/>
  <c r="V866" i="1" s="1"/>
  <c r="V867" i="1" s="1"/>
  <c r="V868" i="1" s="1"/>
  <c r="V869" i="1" s="1"/>
  <c r="V870" i="1" s="1"/>
  <c r="V871" i="1" s="1"/>
  <c r="V872" i="1" s="1"/>
  <c r="V873" i="1" s="1"/>
  <c r="V874" i="1" s="1"/>
  <c r="V875" i="1" s="1"/>
  <c r="V876" i="1" s="1"/>
  <c r="V877" i="1" s="1"/>
  <c r="V878" i="1" s="1"/>
  <c r="V879" i="1" s="1"/>
  <c r="V880" i="1" s="1"/>
  <c r="V881" i="1" s="1"/>
  <c r="V882" i="1" s="1"/>
  <c r="V883" i="1" s="1"/>
  <c r="V884" i="1" s="1"/>
  <c r="V885" i="1" s="1"/>
  <c r="V886" i="1" s="1"/>
  <c r="V887" i="1" s="1"/>
  <c r="V888" i="1" s="1"/>
  <c r="V889" i="1" s="1"/>
  <c r="V890" i="1" s="1"/>
  <c r="V891" i="1" s="1"/>
  <c r="V892" i="1" s="1"/>
  <c r="V893" i="1" s="1"/>
  <c r="V894" i="1" s="1"/>
  <c r="V895" i="1" s="1"/>
  <c r="V896" i="1" s="1"/>
  <c r="V897" i="1" s="1"/>
  <c r="V898" i="1" s="1"/>
  <c r="V899" i="1" s="1"/>
  <c r="V900" i="1" s="1"/>
  <c r="V901" i="1" s="1"/>
  <c r="V902" i="1" s="1"/>
  <c r="V903" i="1" s="1"/>
  <c r="V904" i="1" s="1"/>
  <c r="V905" i="1" s="1"/>
  <c r="V906" i="1" s="1"/>
  <c r="V907" i="1" s="1"/>
  <c r="V908" i="1" s="1"/>
  <c r="V909" i="1" s="1"/>
  <c r="V910" i="1" s="1"/>
  <c r="V911" i="1" s="1"/>
  <c r="V912" i="1" s="1"/>
  <c r="V913" i="1" s="1"/>
  <c r="V914" i="1" s="1"/>
  <c r="V915" i="1" s="1"/>
  <c r="V916" i="1" s="1"/>
  <c r="V917" i="1" s="1"/>
  <c r="V918" i="1" s="1"/>
  <c r="V919" i="1" s="1"/>
  <c r="V920" i="1" s="1"/>
  <c r="V921" i="1" s="1"/>
  <c r="V922" i="1" s="1"/>
  <c r="V923" i="1" s="1"/>
  <c r="V924" i="1" s="1"/>
  <c r="V925" i="1" s="1"/>
  <c r="V926" i="1" s="1"/>
  <c r="V927" i="1" s="1"/>
  <c r="V928" i="1" s="1"/>
  <c r="V929" i="1" s="1"/>
  <c r="V930" i="1" s="1"/>
  <c r="V931" i="1" s="1"/>
  <c r="V932" i="1" s="1"/>
  <c r="V933" i="1" s="1"/>
  <c r="V934" i="1" s="1"/>
  <c r="V935" i="1" s="1"/>
  <c r="V936" i="1" s="1"/>
  <c r="V937" i="1" s="1"/>
  <c r="V938" i="1" s="1"/>
  <c r="V939" i="1" s="1"/>
  <c r="V940" i="1" s="1"/>
  <c r="V941" i="1" s="1"/>
  <c r="V942" i="1" s="1"/>
  <c r="V943" i="1" s="1"/>
  <c r="V944" i="1" s="1"/>
  <c r="V945" i="1" s="1"/>
  <c r="V946" i="1" s="1"/>
  <c r="V947" i="1" s="1"/>
  <c r="V948" i="1" s="1"/>
  <c r="V949" i="1" s="1"/>
  <c r="V950" i="1" s="1"/>
  <c r="V951" i="1" s="1"/>
  <c r="V952" i="1" s="1"/>
  <c r="V953" i="1" s="1"/>
  <c r="V954" i="1" s="1"/>
  <c r="V955" i="1" s="1"/>
  <c r="V956" i="1" s="1"/>
  <c r="V957" i="1" s="1"/>
  <c r="V958" i="1" s="1"/>
  <c r="V959" i="1" s="1"/>
  <c r="V960" i="1" s="1"/>
  <c r="V961" i="1" s="1"/>
  <c r="V962" i="1" s="1"/>
  <c r="V963" i="1" s="1"/>
  <c r="V964" i="1" s="1"/>
  <c r="V965" i="1" s="1"/>
  <c r="V966" i="1" s="1"/>
  <c r="V967" i="1" s="1"/>
  <c r="V968" i="1" s="1"/>
  <c r="V969" i="1" s="1"/>
  <c r="V970" i="1" s="1"/>
  <c r="V971" i="1" s="1"/>
  <c r="V972" i="1" s="1"/>
  <c r="V973" i="1" s="1"/>
  <c r="V974" i="1" s="1"/>
  <c r="V975" i="1" s="1"/>
  <c r="V976" i="1" s="1"/>
  <c r="V977" i="1" s="1"/>
  <c r="V978" i="1" s="1"/>
  <c r="V979" i="1" s="1"/>
  <c r="V980" i="1" s="1"/>
  <c r="V981" i="1" s="1"/>
  <c r="V982" i="1" s="1"/>
  <c r="V983" i="1" s="1"/>
  <c r="V984" i="1" s="1"/>
  <c r="V985" i="1" s="1"/>
  <c r="V986" i="1" s="1"/>
  <c r="V987" i="1" s="1"/>
  <c r="V988" i="1" s="1"/>
  <c r="V989" i="1" s="1"/>
  <c r="V990" i="1" s="1"/>
  <c r="V991" i="1" s="1"/>
  <c r="V992" i="1" s="1"/>
  <c r="V993" i="1" s="1"/>
  <c r="V994" i="1" s="1"/>
  <c r="V995" i="1" s="1"/>
  <c r="V996" i="1" s="1"/>
  <c r="V997" i="1" s="1"/>
  <c r="V998" i="1" s="1"/>
  <c r="V999" i="1" s="1"/>
  <c r="V1000" i="1" s="1"/>
  <c r="V1001" i="1" s="1"/>
  <c r="V1002" i="1" s="1"/>
  <c r="V1003" i="1" s="1"/>
  <c r="V1004" i="1" s="1"/>
  <c r="V1005" i="1" s="1"/>
  <c r="V1006" i="1" s="1"/>
  <c r="V1007" i="1" s="1"/>
  <c r="V1008" i="1" s="1"/>
  <c r="V1009" i="1" s="1"/>
  <c r="V1010" i="1" s="1"/>
  <c r="V1011" i="1" s="1"/>
  <c r="V1012" i="1" s="1"/>
  <c r="V1013" i="1" s="1"/>
  <c r="V1014" i="1" s="1"/>
  <c r="V1015" i="1" s="1"/>
  <c r="V1016" i="1" s="1"/>
  <c r="V1017" i="1" s="1"/>
  <c r="V1018" i="1" s="1"/>
  <c r="V1019" i="1" s="1"/>
  <c r="V1020" i="1" s="1"/>
  <c r="V1021" i="1" s="1"/>
  <c r="V1022" i="1" s="1"/>
  <c r="V1023" i="1" s="1"/>
  <c r="V1024" i="1" s="1"/>
  <c r="V1025" i="1" s="1"/>
  <c r="V1026" i="1" s="1"/>
  <c r="V1027" i="1" s="1"/>
  <c r="V1028" i="1" s="1"/>
  <c r="V1029" i="1" s="1"/>
  <c r="V1030" i="1" s="1"/>
  <c r="V1031" i="1" s="1"/>
  <c r="V1032" i="1" s="1"/>
  <c r="V1033" i="1" s="1"/>
  <c r="V1034" i="1" s="1"/>
  <c r="V1035" i="1" s="1"/>
  <c r="V1036" i="1" s="1"/>
  <c r="V1037" i="1" s="1"/>
  <c r="V1038" i="1" s="1"/>
  <c r="V1039" i="1" s="1"/>
  <c r="V1040" i="1" s="1"/>
  <c r="V1041" i="1" s="1"/>
  <c r="V1042" i="1" s="1"/>
  <c r="V1043" i="1" s="1"/>
  <c r="V1044" i="1" s="1"/>
  <c r="V1045" i="1" s="1"/>
  <c r="V1046" i="1" s="1"/>
  <c r="V1047" i="1" s="1"/>
  <c r="V1048" i="1" s="1"/>
  <c r="V1049" i="1" s="1"/>
  <c r="V1050" i="1" s="1"/>
  <c r="V1051" i="1" s="1"/>
  <c r="V1052" i="1" s="1"/>
  <c r="V1053" i="1" s="1"/>
  <c r="V1054" i="1" s="1"/>
  <c r="V1055" i="1" s="1"/>
  <c r="V1056" i="1" s="1"/>
  <c r="V1057" i="1" s="1"/>
  <c r="V1058" i="1" s="1"/>
  <c r="V1059" i="1" s="1"/>
  <c r="V1060" i="1" s="1"/>
  <c r="V1061" i="1" s="1"/>
  <c r="V1062" i="1" s="1"/>
  <c r="V1063" i="1" s="1"/>
  <c r="V1064" i="1" s="1"/>
  <c r="V1065" i="1" s="1"/>
  <c r="V1066" i="1" s="1"/>
  <c r="V1067" i="1" s="1"/>
  <c r="V1068" i="1" s="1"/>
  <c r="V1069" i="1" s="1"/>
  <c r="E199" i="1"/>
  <c r="D284" i="1"/>
  <c r="E200" i="1"/>
  <c r="B201" i="1"/>
  <c r="B149" i="1" l="1"/>
  <c r="B150" i="1" s="1"/>
  <c r="E150" i="1" s="1"/>
  <c r="E76" i="1"/>
  <c r="B13" i="1"/>
  <c r="B14" i="1" s="1"/>
  <c r="E42" i="1"/>
  <c r="B7" i="1"/>
  <c r="E7" i="1" s="1"/>
  <c r="B184" i="1"/>
  <c r="E184" i="1" s="1"/>
  <c r="E27" i="1"/>
  <c r="E54" i="1"/>
  <c r="B124" i="1"/>
  <c r="B125" i="1" s="1"/>
  <c r="B126" i="1" s="1"/>
  <c r="B127" i="1" s="1"/>
  <c r="B128" i="1" s="1"/>
  <c r="B129" i="1" s="1"/>
  <c r="B130" i="1" s="1"/>
  <c r="E117" i="1"/>
  <c r="B180" i="1"/>
  <c r="E180" i="1" s="1"/>
  <c r="B105" i="1"/>
  <c r="E105" i="1" s="1"/>
  <c r="E149" i="1"/>
  <c r="B161" i="1"/>
  <c r="B162" i="1" s="1"/>
  <c r="B133" i="1"/>
  <c r="E133" i="1" s="1"/>
  <c r="C406" i="1"/>
  <c r="C414" i="1"/>
  <c r="E152" i="1"/>
  <c r="B153" i="1"/>
  <c r="E21" i="1"/>
  <c r="B176" i="1"/>
  <c r="E176" i="1" s="1"/>
  <c r="C422" i="1"/>
  <c r="C423" i="1" s="1"/>
  <c r="C425" i="1" s="1"/>
  <c r="C426" i="1" s="1"/>
  <c r="C427" i="1" s="1"/>
  <c r="C428" i="1" s="1"/>
  <c r="C429" i="1" s="1"/>
  <c r="C431" i="1" s="1"/>
  <c r="C432" i="1" s="1"/>
  <c r="C433" i="1" s="1"/>
  <c r="C435" i="1" s="1"/>
  <c r="C436" i="1" s="1"/>
  <c r="C438" i="1" s="1"/>
  <c r="C440" i="1" s="1"/>
  <c r="C441" i="1" s="1"/>
  <c r="C442" i="1" s="1"/>
  <c r="C443" i="1" s="1"/>
  <c r="C444" i="1" s="1"/>
  <c r="C445" i="1" s="1"/>
  <c r="C447" i="1" s="1"/>
  <c r="C448" i="1" s="1"/>
  <c r="C449" i="1" s="1"/>
  <c r="C450" i="1" s="1"/>
  <c r="C452" i="1" s="1"/>
  <c r="C453" i="1" s="1"/>
  <c r="C454" i="1" s="1"/>
  <c r="C455" i="1" s="1"/>
  <c r="C456" i="1" s="1"/>
  <c r="C458" i="1" s="1"/>
  <c r="C459" i="1" s="1"/>
  <c r="C460" i="1" s="1"/>
  <c r="C462" i="1" s="1"/>
  <c r="C464" i="1" s="1"/>
  <c r="C465" i="1" s="1"/>
  <c r="C467" i="1" s="1"/>
  <c r="C468" i="1" s="1"/>
  <c r="C469" i="1" s="1"/>
  <c r="C470" i="1" s="1"/>
  <c r="C471" i="1" s="1"/>
  <c r="C472" i="1" s="1"/>
  <c r="C474" i="1" s="1"/>
  <c r="C476" i="1" s="1"/>
  <c r="C477" i="1" s="1"/>
  <c r="C478" i="1" s="1"/>
  <c r="C479" i="1" s="1"/>
  <c r="C480" i="1" s="1"/>
  <c r="C481" i="1" s="1"/>
  <c r="C483" i="1" s="1"/>
  <c r="C484" i="1" s="1"/>
  <c r="C486" i="1" s="1"/>
  <c r="C488" i="1" s="1"/>
  <c r="C489" i="1" s="1"/>
  <c r="C490" i="1" s="1"/>
  <c r="C491" i="1" s="1"/>
  <c r="C492" i="1" s="1"/>
  <c r="C493" i="1" s="1"/>
  <c r="C495" i="1" s="1"/>
  <c r="C497" i="1" s="1"/>
  <c r="C499" i="1" s="1"/>
  <c r="C501" i="1" s="1"/>
  <c r="C502" i="1" s="1"/>
  <c r="C503" i="1" s="1"/>
  <c r="C504" i="1" s="1"/>
  <c r="C506" i="1" s="1"/>
  <c r="C508" i="1" s="1"/>
  <c r="C510" i="1" s="1"/>
  <c r="C512" i="1" s="1"/>
  <c r="C514" i="1" s="1"/>
  <c r="C516" i="1" s="1"/>
  <c r="C518" i="1" s="1"/>
  <c r="C519" i="1" s="1"/>
  <c r="C523" i="1" s="1"/>
  <c r="C525" i="1" s="1"/>
  <c r="C527" i="1" s="1"/>
  <c r="C529" i="1" s="1"/>
  <c r="C530" i="1" s="1"/>
  <c r="C531" i="1" s="1"/>
  <c r="C532" i="1" s="1"/>
  <c r="C534" i="1" s="1"/>
  <c r="C536" i="1" s="1"/>
  <c r="C537" i="1" s="1"/>
  <c r="C538" i="1" s="1"/>
  <c r="C539" i="1" s="1"/>
  <c r="C541" i="1" s="1"/>
  <c r="C542" i="1" s="1"/>
  <c r="C543" i="1" s="1"/>
  <c r="C544" i="1" s="1"/>
  <c r="C545" i="1" s="1"/>
  <c r="C547" i="1" s="1"/>
  <c r="C548" i="1" s="1"/>
  <c r="C549" i="1" s="1"/>
  <c r="C550" i="1" s="1"/>
  <c r="C552" i="1" s="1"/>
  <c r="C553" i="1" s="1"/>
  <c r="C554" i="1" s="1"/>
  <c r="C555" i="1" s="1"/>
  <c r="C556" i="1" s="1"/>
  <c r="C557" i="1" s="1"/>
  <c r="C558" i="1" s="1"/>
  <c r="C560" i="1" s="1"/>
  <c r="C561" i="1" s="1"/>
  <c r="C562" i="1" s="1"/>
  <c r="C563" i="1" s="1"/>
  <c r="C564" i="1" s="1"/>
  <c r="C566" i="1" s="1"/>
  <c r="C567" i="1" s="1"/>
  <c r="C568" i="1" s="1"/>
  <c r="C569" i="1" s="1"/>
  <c r="C571" i="1" s="1"/>
  <c r="C572" i="1" s="1"/>
  <c r="C573" i="1" s="1"/>
  <c r="C574" i="1" s="1"/>
  <c r="C575" i="1" s="1"/>
  <c r="C576" i="1" s="1"/>
  <c r="C577" i="1" s="1"/>
  <c r="C578" i="1" s="1"/>
  <c r="C584" i="1" s="1"/>
  <c r="C585" i="1" s="1"/>
  <c r="C586" i="1" s="1"/>
  <c r="C580" i="1" s="1"/>
  <c r="C581" i="1" s="1"/>
  <c r="C582" i="1" s="1"/>
  <c r="C588" i="1" s="1"/>
  <c r="C589" i="1" s="1"/>
  <c r="C591" i="1" s="1"/>
  <c r="C592" i="1" s="1"/>
  <c r="C593" i="1" s="1"/>
  <c r="C595" i="1" s="1"/>
  <c r="C597" i="1" s="1"/>
  <c r="C599" i="1" s="1"/>
  <c r="C600" i="1" s="1"/>
  <c r="C601" i="1" s="1"/>
  <c r="C602" i="1" s="1"/>
  <c r="C604" i="1" s="1"/>
  <c r="C606" i="1" s="1"/>
  <c r="C608" i="1" s="1"/>
  <c r="C609" i="1" s="1"/>
  <c r="C610" i="1" s="1"/>
  <c r="C611" i="1" s="1"/>
  <c r="C613" i="1" s="1"/>
  <c r="C615" i="1" s="1"/>
  <c r="C616" i="1" s="1"/>
  <c r="C617" i="1" s="1"/>
  <c r="C619" i="1" s="1"/>
  <c r="C620" i="1" s="1"/>
  <c r="C621" i="1" s="1"/>
  <c r="C622" i="1" s="1"/>
  <c r="C624" i="1" s="1"/>
  <c r="C625" i="1" s="1"/>
  <c r="C626" i="1" s="1"/>
  <c r="C628" i="1" s="1"/>
  <c r="C629" i="1" s="1"/>
  <c r="C631" i="1" s="1"/>
  <c r="C633" i="1" s="1"/>
  <c r="C635" i="1" s="1"/>
  <c r="C636" i="1" s="1"/>
  <c r="C637" i="1" s="1"/>
  <c r="C638" i="1" s="1"/>
  <c r="C640" i="1" s="1"/>
  <c r="C641" i="1" s="1"/>
  <c r="C642" i="1" s="1"/>
  <c r="C644" i="1" s="1"/>
  <c r="C646" i="1" s="1"/>
  <c r="C647" i="1" s="1"/>
  <c r="C648" i="1" s="1"/>
  <c r="C649" i="1" s="1"/>
  <c r="C651" i="1" s="1"/>
  <c r="C653" i="1" s="1"/>
  <c r="C655" i="1" s="1"/>
  <c r="C656" i="1" s="1"/>
  <c r="C657" i="1" s="1"/>
  <c r="C658" i="1" s="1"/>
  <c r="C660" i="1" s="1"/>
  <c r="C662" i="1" s="1"/>
  <c r="C663" i="1" s="1"/>
  <c r="C664" i="1" s="1"/>
  <c r="C666" i="1" s="1"/>
  <c r="C667" i="1" s="1"/>
  <c r="C669" i="1" s="1"/>
  <c r="C671" i="1" s="1"/>
  <c r="C672" i="1" s="1"/>
  <c r="C675" i="1" s="1"/>
  <c r="C676" i="1" s="1"/>
  <c r="C677" i="1" s="1"/>
  <c r="C678" i="1" s="1"/>
  <c r="C680" i="1" s="1"/>
  <c r="C681" i="1" s="1"/>
  <c r="C682" i="1" s="1"/>
  <c r="C683" i="1" s="1"/>
  <c r="C685" i="1" s="1"/>
  <c r="C686" i="1" s="1"/>
  <c r="C687" i="1" s="1"/>
  <c r="C688" i="1" s="1"/>
  <c r="C689" i="1" s="1"/>
  <c r="C691" i="1" s="1"/>
  <c r="C693" i="1" s="1"/>
  <c r="C695" i="1" s="1"/>
  <c r="C697" i="1" s="1"/>
  <c r="C699" i="1" s="1"/>
  <c r="C701" i="1" s="1"/>
  <c r="C702" i="1" s="1"/>
  <c r="C703" i="1" s="1"/>
  <c r="C705" i="1" s="1"/>
  <c r="C706" i="1" s="1"/>
  <c r="C708" i="1" s="1"/>
  <c r="C709" i="1" s="1"/>
  <c r="C710" i="1" s="1"/>
  <c r="C712" i="1" s="1"/>
  <c r="C713" i="1" s="1"/>
  <c r="C714" i="1" s="1"/>
  <c r="C716" i="1" s="1"/>
  <c r="C718" i="1" s="1"/>
  <c r="C719" i="1" s="1"/>
  <c r="C720" i="1" s="1"/>
  <c r="C721" i="1" s="1"/>
  <c r="C722" i="1" s="1"/>
  <c r="C724" i="1" s="1"/>
  <c r="C725" i="1" s="1"/>
  <c r="C726" i="1" s="1"/>
  <c r="C727" i="1" s="1"/>
  <c r="C728" i="1" s="1"/>
  <c r="C730" i="1" s="1"/>
  <c r="C731" i="1" s="1"/>
  <c r="C732" i="1" s="1"/>
  <c r="C733" i="1" s="1"/>
  <c r="C734" i="1" s="1"/>
  <c r="C736" i="1" s="1"/>
  <c r="C737" i="1" s="1"/>
  <c r="C738" i="1" s="1"/>
  <c r="C740" i="1" s="1"/>
  <c r="C742" i="1" s="1"/>
  <c r="C743" i="1" s="1"/>
  <c r="C744" i="1" s="1"/>
  <c r="C745" i="1" s="1"/>
  <c r="C746" i="1" s="1"/>
  <c r="C748" i="1" s="1"/>
  <c r="C749" i="1" s="1"/>
  <c r="C751" i="1" s="1"/>
  <c r="C752" i="1" s="1"/>
  <c r="C753" i="1" s="1"/>
  <c r="C754" i="1" s="1"/>
  <c r="C755" i="1" s="1"/>
  <c r="C757" i="1" s="1"/>
  <c r="C758" i="1" s="1"/>
  <c r="C759" i="1" s="1"/>
  <c r="C761" i="1" s="1"/>
  <c r="C763" i="1" s="1"/>
  <c r="C764" i="1" s="1"/>
  <c r="C766" i="1" s="1"/>
  <c r="C767" i="1" s="1"/>
  <c r="C768" i="1" s="1"/>
  <c r="C769" i="1" s="1"/>
  <c r="C770" i="1" s="1"/>
  <c r="C772" i="1" s="1"/>
  <c r="C774" i="1" s="1"/>
  <c r="C775" i="1" s="1"/>
  <c r="C776" i="1" s="1"/>
  <c r="C778" i="1" s="1"/>
  <c r="C779" i="1" s="1"/>
  <c r="C781" i="1" s="1"/>
  <c r="C782" i="1" s="1"/>
  <c r="C783" i="1" s="1"/>
  <c r="C784" i="1" s="1"/>
  <c r="C786" i="1" s="1"/>
  <c r="C787" i="1" s="1"/>
  <c r="C789" i="1" s="1"/>
  <c r="C790" i="1" s="1"/>
  <c r="C791" i="1" s="1"/>
  <c r="C792" i="1" s="1"/>
  <c r="C793" i="1" s="1"/>
  <c r="C794" i="1" s="1"/>
  <c r="C795" i="1" s="1"/>
  <c r="C796" i="1" s="1"/>
  <c r="C797" i="1" s="1"/>
  <c r="C798" i="1" s="1"/>
  <c r="C799" i="1" s="1"/>
  <c r="C800" i="1" s="1"/>
  <c r="C801" i="1" s="1"/>
  <c r="C802" i="1" s="1"/>
  <c r="C803" i="1" s="1"/>
  <c r="C804" i="1" s="1"/>
  <c r="C805" i="1" s="1"/>
  <c r="C806" i="1" s="1"/>
  <c r="C807" i="1" s="1"/>
  <c r="C808" i="1" s="1"/>
  <c r="C809" i="1" s="1"/>
  <c r="C810" i="1" s="1"/>
  <c r="C811" i="1" s="1"/>
  <c r="C812" i="1" s="1"/>
  <c r="C813" i="1" s="1"/>
  <c r="C814" i="1" s="1"/>
  <c r="C815" i="1" s="1"/>
  <c r="C816" i="1" s="1"/>
  <c r="C817" i="1" s="1"/>
  <c r="C818" i="1" s="1"/>
  <c r="C819" i="1" s="1"/>
  <c r="C820" i="1" s="1"/>
  <c r="C821" i="1" s="1"/>
  <c r="C822" i="1" s="1"/>
  <c r="C823" i="1" s="1"/>
  <c r="C824" i="1" s="1"/>
  <c r="C825" i="1" s="1"/>
  <c r="C826" i="1" s="1"/>
  <c r="C827" i="1" s="1"/>
  <c r="C828" i="1" s="1"/>
  <c r="C829" i="1" s="1"/>
  <c r="C830" i="1" s="1"/>
  <c r="C831" i="1" s="1"/>
  <c r="C832" i="1" s="1"/>
  <c r="C833" i="1" s="1"/>
  <c r="C834" i="1" s="1"/>
  <c r="C835" i="1" s="1"/>
  <c r="C836" i="1" s="1"/>
  <c r="C837" i="1" s="1"/>
  <c r="C838" i="1" s="1"/>
  <c r="C839" i="1" s="1"/>
  <c r="C840" i="1" s="1"/>
  <c r="C841" i="1" s="1"/>
  <c r="C842" i="1" s="1"/>
  <c r="C843" i="1" s="1"/>
  <c r="C844" i="1" s="1"/>
  <c r="C845" i="1" s="1"/>
  <c r="C846" i="1" s="1"/>
  <c r="C847" i="1" s="1"/>
  <c r="C848" i="1" s="1"/>
  <c r="C849" i="1" s="1"/>
  <c r="C850" i="1" s="1"/>
  <c r="C851" i="1" s="1"/>
  <c r="C852" i="1" s="1"/>
  <c r="C853" i="1" s="1"/>
  <c r="C854" i="1" s="1"/>
  <c r="C855" i="1" s="1"/>
  <c r="C856" i="1" s="1"/>
  <c r="C857" i="1" s="1"/>
  <c r="C858" i="1" s="1"/>
  <c r="C859" i="1" s="1"/>
  <c r="C860" i="1" s="1"/>
  <c r="C861" i="1" s="1"/>
  <c r="C862" i="1" s="1"/>
  <c r="C863" i="1" s="1"/>
  <c r="C864" i="1" s="1"/>
  <c r="C865" i="1" s="1"/>
  <c r="C866" i="1" s="1"/>
  <c r="C867" i="1" s="1"/>
  <c r="C868" i="1" s="1"/>
  <c r="C869" i="1" s="1"/>
  <c r="C870" i="1" s="1"/>
  <c r="C871" i="1" s="1"/>
  <c r="C872" i="1" s="1"/>
  <c r="C873" i="1" s="1"/>
  <c r="C874" i="1" s="1"/>
  <c r="C875" i="1" s="1"/>
  <c r="C876" i="1" s="1"/>
  <c r="C877" i="1" s="1"/>
  <c r="C878" i="1" s="1"/>
  <c r="C879" i="1" s="1"/>
  <c r="C880" i="1" s="1"/>
  <c r="C881" i="1" s="1"/>
  <c r="C882" i="1" s="1"/>
  <c r="C883" i="1" s="1"/>
  <c r="C884" i="1" s="1"/>
  <c r="C885" i="1" s="1"/>
  <c r="C886" i="1" s="1"/>
  <c r="C887" i="1" s="1"/>
  <c r="C888" i="1" s="1"/>
  <c r="C889" i="1" s="1"/>
  <c r="C890" i="1" s="1"/>
  <c r="C891" i="1" s="1"/>
  <c r="C892" i="1" s="1"/>
  <c r="C893" i="1" s="1"/>
  <c r="C894" i="1" s="1"/>
  <c r="C895" i="1" s="1"/>
  <c r="C896" i="1" s="1"/>
  <c r="C897" i="1" s="1"/>
  <c r="C898" i="1" s="1"/>
  <c r="C899" i="1" s="1"/>
  <c r="C900" i="1" s="1"/>
  <c r="C901" i="1" s="1"/>
  <c r="C902" i="1" s="1"/>
  <c r="C903" i="1" s="1"/>
  <c r="C904" i="1" s="1"/>
  <c r="C905" i="1" s="1"/>
  <c r="C906" i="1" s="1"/>
  <c r="C907" i="1" s="1"/>
  <c r="C908" i="1" s="1"/>
  <c r="C909" i="1" s="1"/>
  <c r="C910" i="1" s="1"/>
  <c r="C911" i="1" s="1"/>
  <c r="C912" i="1" s="1"/>
  <c r="C913" i="1" s="1"/>
  <c r="C914" i="1" s="1"/>
  <c r="C915" i="1" s="1"/>
  <c r="C916" i="1" s="1"/>
  <c r="C917" i="1" s="1"/>
  <c r="C918" i="1" s="1"/>
  <c r="C919" i="1" s="1"/>
  <c r="C920" i="1" s="1"/>
  <c r="C921" i="1" s="1"/>
  <c r="C922" i="1" s="1"/>
  <c r="C923" i="1" s="1"/>
  <c r="C924" i="1" s="1"/>
  <c r="C925" i="1" s="1"/>
  <c r="C926" i="1" s="1"/>
  <c r="C927" i="1" s="1"/>
  <c r="C928" i="1" s="1"/>
  <c r="C929" i="1" s="1"/>
  <c r="C930" i="1" s="1"/>
  <c r="C931" i="1" s="1"/>
  <c r="C932" i="1" s="1"/>
  <c r="C933" i="1" s="1"/>
  <c r="C934" i="1" s="1"/>
  <c r="C935" i="1" s="1"/>
  <c r="C936" i="1" s="1"/>
  <c r="C937" i="1" s="1"/>
  <c r="C938" i="1" s="1"/>
  <c r="C939" i="1" s="1"/>
  <c r="C940" i="1" s="1"/>
  <c r="C941" i="1" s="1"/>
  <c r="C942" i="1" s="1"/>
  <c r="C943" i="1" s="1"/>
  <c r="C944" i="1" s="1"/>
  <c r="C945" i="1" s="1"/>
  <c r="C946" i="1" s="1"/>
  <c r="C947" i="1" s="1"/>
  <c r="C948" i="1" s="1"/>
  <c r="C949" i="1" s="1"/>
  <c r="C950" i="1" s="1"/>
  <c r="C951" i="1" s="1"/>
  <c r="C952" i="1" s="1"/>
  <c r="C953" i="1" s="1"/>
  <c r="C954" i="1" s="1"/>
  <c r="C955" i="1" s="1"/>
  <c r="C956" i="1" s="1"/>
  <c r="C957" i="1" s="1"/>
  <c r="C958" i="1" s="1"/>
  <c r="C959" i="1" s="1"/>
  <c r="C960" i="1" s="1"/>
  <c r="C961" i="1" s="1"/>
  <c r="C962" i="1" s="1"/>
  <c r="C963" i="1" s="1"/>
  <c r="C964" i="1" s="1"/>
  <c r="C965" i="1" s="1"/>
  <c r="C966" i="1" s="1"/>
  <c r="C967" i="1" s="1"/>
  <c r="C968" i="1" s="1"/>
  <c r="C969" i="1" s="1"/>
  <c r="C970" i="1" s="1"/>
  <c r="C971" i="1" s="1"/>
  <c r="C972" i="1" s="1"/>
  <c r="C973" i="1" s="1"/>
  <c r="C974" i="1" s="1"/>
  <c r="C975" i="1" s="1"/>
  <c r="C976" i="1" s="1"/>
  <c r="C977" i="1" s="1"/>
  <c r="C978" i="1" s="1"/>
  <c r="C979" i="1" s="1"/>
  <c r="C980" i="1" s="1"/>
  <c r="C981" i="1" s="1"/>
  <c r="C982" i="1" s="1"/>
  <c r="C983" i="1" s="1"/>
  <c r="C984" i="1" s="1"/>
  <c r="C985" i="1" s="1"/>
  <c r="C986" i="1" s="1"/>
  <c r="C987" i="1" s="1"/>
  <c r="C988" i="1" s="1"/>
  <c r="C989" i="1" s="1"/>
  <c r="C990" i="1" s="1"/>
  <c r="C991" i="1" s="1"/>
  <c r="C992" i="1" s="1"/>
  <c r="C993" i="1" s="1"/>
  <c r="C994" i="1" s="1"/>
  <c r="C995" i="1" s="1"/>
  <c r="C996" i="1" s="1"/>
  <c r="C997" i="1" s="1"/>
  <c r="C998" i="1" s="1"/>
  <c r="C999" i="1" s="1"/>
  <c r="C1000" i="1" s="1"/>
  <c r="C1001" i="1" s="1"/>
  <c r="C1002" i="1" s="1"/>
  <c r="C1003" i="1" s="1"/>
  <c r="C1004" i="1" s="1"/>
  <c r="C1005" i="1" s="1"/>
  <c r="C1006" i="1" s="1"/>
  <c r="C1007" i="1" s="1"/>
  <c r="C1008" i="1" s="1"/>
  <c r="C1009" i="1" s="1"/>
  <c r="C1010" i="1" s="1"/>
  <c r="C1011" i="1" s="1"/>
  <c r="C1012" i="1" s="1"/>
  <c r="C1013" i="1" s="1"/>
  <c r="C1014" i="1" s="1"/>
  <c r="C1015" i="1" s="1"/>
  <c r="C1016" i="1" s="1"/>
  <c r="C1017" i="1" s="1"/>
  <c r="C1018" i="1" s="1"/>
  <c r="C1019" i="1" s="1"/>
  <c r="C1020" i="1" s="1"/>
  <c r="C1021" i="1" s="1"/>
  <c r="C1022" i="1" s="1"/>
  <c r="C1023" i="1" s="1"/>
  <c r="C1024" i="1" s="1"/>
  <c r="C1025" i="1" s="1"/>
  <c r="C1026" i="1" s="1"/>
  <c r="C1027" i="1" s="1"/>
  <c r="C1028" i="1" s="1"/>
  <c r="C1029" i="1" s="1"/>
  <c r="C1030" i="1" s="1"/>
  <c r="C1031" i="1" s="1"/>
  <c r="C1032" i="1" s="1"/>
  <c r="C1033" i="1" s="1"/>
  <c r="C1034" i="1" s="1"/>
  <c r="C1035" i="1" s="1"/>
  <c r="C1036" i="1" s="1"/>
  <c r="C1037" i="1" s="1"/>
  <c r="C1038" i="1" s="1"/>
  <c r="C1039" i="1" s="1"/>
  <c r="C1040" i="1" s="1"/>
  <c r="C1041" i="1" s="1"/>
  <c r="C1042" i="1" s="1"/>
  <c r="C1043" i="1" s="1"/>
  <c r="C1044" i="1" s="1"/>
  <c r="C1045" i="1" s="1"/>
  <c r="C1046" i="1" s="1"/>
  <c r="C1047" i="1" s="1"/>
  <c r="C1048" i="1" s="1"/>
  <c r="C1049" i="1" s="1"/>
  <c r="C1050" i="1" s="1"/>
  <c r="C1051" i="1" s="1"/>
  <c r="C1052" i="1" s="1"/>
  <c r="C1053" i="1" s="1"/>
  <c r="C1054" i="1" s="1"/>
  <c r="C1055" i="1" s="1"/>
  <c r="C1056" i="1" s="1"/>
  <c r="C1057" i="1" s="1"/>
  <c r="C1058" i="1" s="1"/>
  <c r="C1059" i="1" s="1"/>
  <c r="C1060" i="1" s="1"/>
  <c r="C1061" i="1" s="1"/>
  <c r="C1062" i="1" s="1"/>
  <c r="C1063" i="1" s="1"/>
  <c r="C1064" i="1" s="1"/>
  <c r="C1065" i="1" s="1"/>
  <c r="C1066" i="1" s="1"/>
  <c r="C1067" i="1" s="1"/>
  <c r="C1068" i="1" s="1"/>
  <c r="C1069" i="1" s="1"/>
  <c r="C1070" i="1" s="1"/>
  <c r="C1071" i="1" s="1"/>
  <c r="C1072" i="1" s="1"/>
  <c r="C1073" i="1" s="1"/>
  <c r="C1074" i="1" s="1"/>
  <c r="C1075" i="1" s="1"/>
  <c r="C1076" i="1" s="1"/>
  <c r="C1077" i="1" s="1"/>
  <c r="C1078" i="1" s="1"/>
  <c r="C1079" i="1" s="1"/>
  <c r="C1080" i="1" s="1"/>
  <c r="C1081" i="1" s="1"/>
  <c r="C1082" i="1" s="1"/>
  <c r="C1083" i="1" s="1"/>
  <c r="C1084" i="1" s="1"/>
  <c r="C1085" i="1" s="1"/>
  <c r="C1086" i="1" s="1"/>
  <c r="C1087" i="1" s="1"/>
  <c r="C1088" i="1" s="1"/>
  <c r="C1089" i="1" s="1"/>
  <c r="C1090" i="1" s="1"/>
  <c r="C1091" i="1" s="1"/>
  <c r="C1092" i="1" s="1"/>
  <c r="C1093" i="1" s="1"/>
  <c r="C1094" i="1" s="1"/>
  <c r="C1095" i="1" s="1"/>
  <c r="C1096" i="1" s="1"/>
  <c r="C1097" i="1" s="1"/>
  <c r="C1098" i="1" s="1"/>
  <c r="C1099" i="1" s="1"/>
  <c r="C1100" i="1" s="1"/>
  <c r="C1101" i="1" s="1"/>
  <c r="C1102" i="1" s="1"/>
  <c r="C1103" i="1" s="1"/>
  <c r="C1104" i="1" s="1"/>
  <c r="C1105" i="1" s="1"/>
  <c r="C1106" i="1" s="1"/>
  <c r="C1107" i="1" s="1"/>
  <c r="C1108" i="1" s="1"/>
  <c r="C1109" i="1" s="1"/>
  <c r="C1110" i="1" s="1"/>
  <c r="C1111" i="1" s="1"/>
  <c r="C1112" i="1" s="1"/>
  <c r="C1113" i="1" s="1"/>
  <c r="C1114" i="1" s="1"/>
  <c r="C1115" i="1" s="1"/>
  <c r="C1116" i="1" s="1"/>
  <c r="C1117" i="1" s="1"/>
  <c r="C1118" i="1" s="1"/>
  <c r="C1119" i="1" s="1"/>
  <c r="C1120" i="1" s="1"/>
  <c r="C1121" i="1" s="1"/>
  <c r="C1122" i="1" s="1"/>
  <c r="C1123" i="1" s="1"/>
  <c r="C1124" i="1" s="1"/>
  <c r="C1125" i="1" s="1"/>
  <c r="C1126" i="1" s="1"/>
  <c r="C1127" i="1" s="1"/>
  <c r="C1128" i="1" s="1"/>
  <c r="C1129" i="1" s="1"/>
  <c r="C1130" i="1" s="1"/>
  <c r="C1131" i="1" s="1"/>
  <c r="C1132" i="1" s="1"/>
  <c r="C1133" i="1" s="1"/>
  <c r="C1134" i="1" s="1"/>
  <c r="C1135" i="1" s="1"/>
  <c r="C1136" i="1" s="1"/>
  <c r="C1137" i="1" s="1"/>
  <c r="C1138" i="1" s="1"/>
  <c r="C1139" i="1" s="1"/>
  <c r="C1140" i="1" s="1"/>
  <c r="C1141" i="1" s="1"/>
  <c r="C1142" i="1" s="1"/>
  <c r="C1143" i="1" s="1"/>
  <c r="C1144" i="1" s="1"/>
  <c r="C1145" i="1" s="1"/>
  <c r="C1146" i="1" s="1"/>
  <c r="C1147" i="1" s="1"/>
  <c r="C1148" i="1" s="1"/>
  <c r="C1149" i="1" s="1"/>
  <c r="C1150" i="1" s="1"/>
  <c r="C1151" i="1" s="1"/>
  <c r="C1152" i="1" s="1"/>
  <c r="E90" i="1"/>
  <c r="B91" i="1"/>
  <c r="B169" i="1"/>
  <c r="E168" i="1"/>
  <c r="E190" i="1"/>
  <c r="B191" i="1"/>
  <c r="B119" i="1"/>
  <c r="E118" i="1"/>
  <c r="E9" i="1"/>
  <c r="B10" i="1"/>
  <c r="E10" i="1" s="1"/>
  <c r="E20" i="1"/>
  <c r="E109" i="1"/>
  <c r="B110" i="1"/>
  <c r="B29" i="1"/>
  <c r="E29" i="1" s="1"/>
  <c r="E28" i="1"/>
  <c r="D127" i="1"/>
  <c r="E13" i="1"/>
  <c r="B23" i="1"/>
  <c r="E23" i="1" s="1"/>
  <c r="E22" i="1"/>
  <c r="E35" i="1"/>
  <c r="B36" i="1"/>
  <c r="E39" i="1"/>
  <c r="B40" i="1"/>
  <c r="E40" i="1" s="1"/>
  <c r="E49" i="1"/>
  <c r="B50" i="1"/>
  <c r="E55" i="1"/>
  <c r="B56" i="1"/>
  <c r="E63" i="1"/>
  <c r="B64" i="1"/>
  <c r="E67" i="1"/>
  <c r="B68" i="1"/>
  <c r="E71" i="1"/>
  <c r="B72" i="1"/>
  <c r="E77" i="1"/>
  <c r="B78" i="1"/>
  <c r="E81" i="1"/>
  <c r="B82" i="1"/>
  <c r="E87" i="1"/>
  <c r="B88" i="1"/>
  <c r="E88" i="1" s="1"/>
  <c r="E101" i="1"/>
  <c r="B102" i="1"/>
  <c r="E102" i="1" s="1"/>
  <c r="E43" i="1"/>
  <c r="B44" i="1"/>
  <c r="E59" i="1"/>
  <c r="B60" i="1"/>
  <c r="E113" i="1"/>
  <c r="B114" i="1"/>
  <c r="E137" i="1"/>
  <c r="B138" i="1"/>
  <c r="E156" i="1"/>
  <c r="B157" i="1"/>
  <c r="E194" i="1"/>
  <c r="B195" i="1"/>
  <c r="B134" i="1"/>
  <c r="E134" i="1" s="1"/>
  <c r="E143" i="1"/>
  <c r="B144" i="1"/>
  <c r="E165" i="1"/>
  <c r="B166" i="1"/>
  <c r="E166" i="1" s="1"/>
  <c r="B173" i="1"/>
  <c r="E173" i="1" s="1"/>
  <c r="E172" i="1"/>
  <c r="E201" i="1"/>
  <c r="B202" i="1"/>
  <c r="D285" i="1"/>
  <c r="E161" i="1" l="1"/>
  <c r="B185" i="1"/>
  <c r="B186" i="1" s="1"/>
  <c r="B177" i="1"/>
  <c r="E177" i="1" s="1"/>
  <c r="B181" i="1"/>
  <c r="E181" i="1" s="1"/>
  <c r="E126" i="1"/>
  <c r="E125" i="1"/>
  <c r="E124" i="1"/>
  <c r="B154" i="1"/>
  <c r="E154" i="1" s="1"/>
  <c r="E153" i="1"/>
  <c r="E91" i="1"/>
  <c r="B92" i="1"/>
  <c r="B111" i="1"/>
  <c r="E111" i="1" s="1"/>
  <c r="E110" i="1"/>
  <c r="B192" i="1"/>
  <c r="E192" i="1" s="1"/>
  <c r="E191" i="1"/>
  <c r="B163" i="1"/>
  <c r="E163" i="1" s="1"/>
  <c r="E162" i="1"/>
  <c r="B120" i="1"/>
  <c r="E120" i="1" s="1"/>
  <c r="E119" i="1"/>
  <c r="B170" i="1"/>
  <c r="E170" i="1" s="1"/>
  <c r="E169" i="1"/>
  <c r="E185" i="1"/>
  <c r="E144" i="1"/>
  <c r="B145" i="1"/>
  <c r="E195" i="1"/>
  <c r="B196" i="1"/>
  <c r="E157" i="1"/>
  <c r="B158" i="1"/>
  <c r="E158" i="1" s="1"/>
  <c r="E138" i="1"/>
  <c r="B139" i="1"/>
  <c r="E139" i="1" s="1"/>
  <c r="E114" i="1"/>
  <c r="B115" i="1"/>
  <c r="E115" i="1" s="1"/>
  <c r="E60" i="1"/>
  <c r="B61" i="1"/>
  <c r="E61" i="1" s="1"/>
  <c r="E44" i="1"/>
  <c r="B45" i="1"/>
  <c r="E45" i="1" s="1"/>
  <c r="E82" i="1"/>
  <c r="B83" i="1"/>
  <c r="E78" i="1"/>
  <c r="B79" i="1"/>
  <c r="E79" i="1" s="1"/>
  <c r="E72" i="1"/>
  <c r="B73" i="1"/>
  <c r="E68" i="1"/>
  <c r="B69" i="1"/>
  <c r="E69" i="1" s="1"/>
  <c r="E64" i="1"/>
  <c r="B65" i="1"/>
  <c r="E65" i="1" s="1"/>
  <c r="E56" i="1"/>
  <c r="B57" i="1"/>
  <c r="E57" i="1" s="1"/>
  <c r="E50" i="1"/>
  <c r="B51" i="1"/>
  <c r="E36" i="1"/>
  <c r="B37" i="1"/>
  <c r="E37" i="1" s="1"/>
  <c r="E14" i="1"/>
  <c r="B15" i="1"/>
  <c r="E15" i="1" s="1"/>
  <c r="E127" i="1"/>
  <c r="D128" i="1"/>
  <c r="E202" i="1"/>
  <c r="B203" i="1"/>
  <c r="E92" i="1" l="1"/>
  <c r="B93" i="1"/>
  <c r="D129" i="1"/>
  <c r="E128" i="1"/>
  <c r="E51" i="1"/>
  <c r="B52" i="1"/>
  <c r="E52" i="1" s="1"/>
  <c r="E73" i="1"/>
  <c r="B74" i="1"/>
  <c r="E74" i="1" s="1"/>
  <c r="E83" i="1"/>
  <c r="B84" i="1"/>
  <c r="E84" i="1" s="1"/>
  <c r="E196" i="1"/>
  <c r="B197" i="1"/>
  <c r="E197" i="1" s="1"/>
  <c r="E145" i="1"/>
  <c r="B146" i="1"/>
  <c r="E146" i="1" s="1"/>
  <c r="E186" i="1"/>
  <c r="B187" i="1"/>
  <c r="E203" i="1"/>
  <c r="B204" i="1"/>
  <c r="D287" i="1"/>
  <c r="E93" i="1" l="1"/>
  <c r="B94" i="1"/>
  <c r="E187" i="1"/>
  <c r="B188" i="1"/>
  <c r="E188" i="1" s="1"/>
  <c r="E129" i="1"/>
  <c r="D130" i="1"/>
  <c r="E130" i="1" s="1"/>
  <c r="D288" i="1"/>
  <c r="E204" i="1"/>
  <c r="B205" i="1"/>
  <c r="E94" i="1" l="1"/>
  <c r="B95" i="1"/>
  <c r="E205" i="1"/>
  <c r="B206" i="1"/>
  <c r="D289" i="1"/>
  <c r="E95" i="1" l="1"/>
  <c r="B96" i="1"/>
  <c r="E206" i="1"/>
  <c r="B207" i="1"/>
  <c r="E96" i="1" l="1"/>
  <c r="B97" i="1"/>
  <c r="E207" i="1"/>
  <c r="B208" i="1"/>
  <c r="D291" i="1"/>
  <c r="B98" i="1" l="1"/>
  <c r="E97" i="1"/>
  <c r="D292" i="1"/>
  <c r="E208" i="1"/>
  <c r="B209" i="1"/>
  <c r="B99" i="1" l="1"/>
  <c r="E99" i="1" s="1"/>
  <c r="E98" i="1"/>
  <c r="E209" i="1"/>
  <c r="B210" i="1"/>
  <c r="D293" i="1"/>
  <c r="D294" i="1" l="1"/>
  <c r="E210" i="1"/>
  <c r="B211" i="1"/>
  <c r="D295" i="1" l="1"/>
  <c r="E211" i="1"/>
  <c r="B212" i="1"/>
  <c r="E212" i="1" l="1"/>
  <c r="B213" i="1"/>
  <c r="D297" i="1" l="1"/>
  <c r="E213" i="1"/>
  <c r="B214" i="1"/>
  <c r="D298" i="1" l="1"/>
  <c r="E214" i="1"/>
  <c r="B215" i="1"/>
  <c r="E215" i="1" l="1"/>
  <c r="B216" i="1"/>
  <c r="E216" i="1" l="1"/>
  <c r="B217" i="1"/>
  <c r="E217" i="1" l="1"/>
  <c r="B218" i="1"/>
  <c r="D302" i="1" l="1"/>
  <c r="E218" i="1"/>
  <c r="B219" i="1"/>
  <c r="E219" i="1" l="1"/>
  <c r="B220" i="1"/>
  <c r="D304" i="1" l="1"/>
  <c r="E220" i="1"/>
  <c r="B221" i="1"/>
  <c r="E221" i="1" l="1"/>
  <c r="B222" i="1"/>
  <c r="D306" i="1" l="1"/>
  <c r="E222" i="1"/>
  <c r="B223" i="1"/>
  <c r="E223" i="1" l="1"/>
  <c r="B224" i="1"/>
  <c r="D308" i="1" l="1"/>
  <c r="E224" i="1"/>
  <c r="B225" i="1"/>
  <c r="E225" i="1" l="1"/>
  <c r="B226" i="1"/>
  <c r="D310" i="1" l="1"/>
  <c r="E226" i="1"/>
  <c r="B227" i="1"/>
  <c r="E227" i="1" l="1"/>
  <c r="B228" i="1"/>
  <c r="D312" i="1" l="1"/>
  <c r="E228" i="1"/>
  <c r="B229" i="1"/>
  <c r="E229" i="1" l="1"/>
  <c r="B230" i="1"/>
  <c r="D313" i="1"/>
  <c r="D314" i="1" l="1"/>
  <c r="E230" i="1"/>
  <c r="B231" i="1"/>
  <c r="E231" i="1" l="1"/>
  <c r="B232" i="1"/>
  <c r="D316" i="1" l="1"/>
  <c r="E232" i="1"/>
  <c r="B233" i="1"/>
  <c r="E233" i="1" l="1"/>
  <c r="B234" i="1"/>
  <c r="D317" i="1"/>
  <c r="D318" i="1" l="1"/>
  <c r="E234" i="1"/>
  <c r="B235" i="1"/>
  <c r="E235" i="1" l="1"/>
  <c r="B236" i="1"/>
  <c r="D319" i="1"/>
  <c r="D320" i="1" l="1"/>
  <c r="E236" i="1"/>
  <c r="B237" i="1"/>
  <c r="E237" i="1" l="1"/>
  <c r="B238" i="1"/>
  <c r="D322" i="1" l="1"/>
  <c r="E238" i="1"/>
  <c r="B239" i="1"/>
  <c r="E239" i="1" l="1"/>
  <c r="B240" i="1"/>
  <c r="D324" i="1" l="1"/>
  <c r="E240" i="1"/>
  <c r="B241" i="1"/>
  <c r="E241" i="1" l="1"/>
  <c r="B242" i="1"/>
  <c r="D325" i="1"/>
  <c r="D326" i="1" l="1"/>
  <c r="E242" i="1"/>
  <c r="B243" i="1"/>
  <c r="E243" i="1" l="1"/>
  <c r="B244" i="1"/>
  <c r="D327" i="1"/>
  <c r="D328" i="1" l="1"/>
  <c r="E244" i="1"/>
  <c r="B245" i="1"/>
  <c r="E245" i="1" l="1"/>
  <c r="B246" i="1"/>
  <c r="D329" i="1"/>
  <c r="E246" i="1" l="1"/>
  <c r="B247" i="1"/>
  <c r="E247" i="1" l="1"/>
  <c r="B248" i="1"/>
  <c r="D331" i="1"/>
  <c r="E248" i="1" l="1"/>
  <c r="B249" i="1"/>
  <c r="E249" i="1" l="1"/>
  <c r="B250" i="1"/>
  <c r="D333" i="1"/>
  <c r="E250" i="1" l="1"/>
  <c r="B251" i="1"/>
  <c r="E251" i="1" l="1"/>
  <c r="B252" i="1"/>
  <c r="D335" i="1"/>
  <c r="E252" i="1" l="1"/>
  <c r="B253" i="1"/>
  <c r="E253" i="1" l="1"/>
  <c r="B254" i="1"/>
  <c r="D337" i="1"/>
  <c r="D338" i="1" l="1"/>
  <c r="E254" i="1"/>
  <c r="B255" i="1"/>
  <c r="E255" i="1" l="1"/>
  <c r="B256" i="1"/>
  <c r="D340" i="1" l="1"/>
  <c r="E256" i="1"/>
  <c r="B257" i="1"/>
  <c r="E257" i="1" l="1"/>
  <c r="B258" i="1"/>
  <c r="D342" i="1" l="1"/>
  <c r="E258" i="1"/>
  <c r="B259" i="1"/>
  <c r="E259" i="1" l="1"/>
  <c r="B260" i="1"/>
  <c r="D344" i="1" l="1"/>
  <c r="E260" i="1"/>
  <c r="B261" i="1"/>
  <c r="E261" i="1" l="1"/>
  <c r="B262" i="1"/>
  <c r="D346" i="1" l="1"/>
  <c r="E262" i="1"/>
  <c r="B263" i="1"/>
  <c r="E263" i="1" l="1"/>
  <c r="B264" i="1"/>
  <c r="D348" i="1" l="1"/>
  <c r="E264" i="1"/>
  <c r="B265" i="1"/>
  <c r="E265" i="1" l="1"/>
  <c r="B266" i="1"/>
  <c r="D350" i="1" l="1"/>
  <c r="E266" i="1"/>
  <c r="B267" i="1"/>
  <c r="E267" i="1" l="1"/>
  <c r="B268" i="1"/>
  <c r="D352" i="1" l="1"/>
  <c r="E268" i="1"/>
  <c r="B269" i="1"/>
  <c r="E269" i="1" l="1"/>
  <c r="B270" i="1"/>
  <c r="D353" i="1"/>
  <c r="D354" i="1" l="1"/>
  <c r="E270" i="1"/>
  <c r="B271" i="1"/>
  <c r="E271" i="1" l="1"/>
  <c r="B272" i="1"/>
  <c r="D355" i="1"/>
  <c r="D356" i="1" l="1"/>
  <c r="E272" i="1"/>
  <c r="B273" i="1"/>
  <c r="E273" i="1" l="1"/>
  <c r="B274" i="1"/>
  <c r="D357" i="1"/>
  <c r="D358" i="1" l="1"/>
  <c r="E274" i="1"/>
  <c r="B275" i="1"/>
  <c r="E275" i="1" l="1"/>
  <c r="B276" i="1"/>
  <c r="D359" i="1"/>
  <c r="D360" i="1" l="1"/>
  <c r="E276" i="1"/>
  <c r="B277" i="1"/>
  <c r="E277" i="1" l="1"/>
  <c r="B278" i="1"/>
  <c r="D361" i="1"/>
  <c r="D362" i="1" l="1"/>
  <c r="E278" i="1"/>
  <c r="B279" i="1"/>
  <c r="E279" i="1" l="1"/>
  <c r="B280" i="1"/>
  <c r="D364" i="1" l="1"/>
  <c r="E280" i="1"/>
  <c r="B281" i="1"/>
  <c r="E281" i="1" l="1"/>
  <c r="B282" i="1"/>
  <c r="D365" i="1"/>
  <c r="D366" i="1" l="1"/>
  <c r="E282" i="1"/>
  <c r="B283" i="1"/>
  <c r="B284" i="1" l="1"/>
  <c r="E283" i="1"/>
  <c r="D367" i="1"/>
  <c r="B285" i="1" l="1"/>
  <c r="E284" i="1"/>
  <c r="D369" i="1" l="1"/>
  <c r="B286" i="1"/>
  <c r="E285" i="1"/>
  <c r="B287" i="1" l="1"/>
  <c r="E286" i="1"/>
  <c r="D371" i="1" l="1"/>
  <c r="B288" i="1"/>
  <c r="E287" i="1"/>
  <c r="D372" i="1" l="1"/>
  <c r="B289" i="1"/>
  <c r="E288" i="1"/>
  <c r="D373" i="1" l="1"/>
  <c r="B290" i="1"/>
  <c r="E289" i="1"/>
  <c r="B291" i="1" l="1"/>
  <c r="E290" i="1"/>
  <c r="D375" i="1" l="1"/>
  <c r="B292" i="1"/>
  <c r="E291" i="1"/>
  <c r="D376" i="1" l="1"/>
  <c r="B293" i="1"/>
  <c r="E292" i="1"/>
  <c r="D377" i="1" l="1"/>
  <c r="B294" i="1"/>
  <c r="E293" i="1"/>
  <c r="D378" i="1" l="1"/>
  <c r="B295" i="1"/>
  <c r="E294" i="1"/>
  <c r="B296" i="1" l="1"/>
  <c r="E295" i="1"/>
  <c r="D380" i="1" l="1"/>
  <c r="B297" i="1"/>
  <c r="E296" i="1"/>
  <c r="B298" i="1" l="1"/>
  <c r="E297" i="1"/>
  <c r="B299" i="1" l="1"/>
  <c r="E298" i="1"/>
  <c r="D382" i="1"/>
  <c r="B300" i="1" l="1"/>
  <c r="E299" i="1"/>
  <c r="D384" i="1" l="1"/>
  <c r="B301" i="1"/>
  <c r="E300" i="1"/>
  <c r="B302" i="1" l="1"/>
  <c r="E301" i="1"/>
  <c r="D386" i="1" l="1"/>
  <c r="B303" i="1"/>
  <c r="E302" i="1"/>
  <c r="D387" i="1" l="1"/>
  <c r="B304" i="1"/>
  <c r="E303" i="1"/>
  <c r="D388" i="1" l="1"/>
  <c r="B305" i="1"/>
  <c r="E304" i="1"/>
  <c r="D389" i="1" l="1"/>
  <c r="B306" i="1"/>
  <c r="E305" i="1"/>
  <c r="B307" i="1" l="1"/>
  <c r="E306" i="1"/>
  <c r="D390" i="1"/>
  <c r="B308" i="1" l="1"/>
  <c r="E307" i="1"/>
  <c r="D391" i="1"/>
  <c r="D392" i="1" l="1"/>
  <c r="B309" i="1"/>
  <c r="E308" i="1"/>
  <c r="D393" i="1" l="1"/>
  <c r="B310" i="1"/>
  <c r="E309" i="1"/>
  <c r="D394" i="1" l="1"/>
  <c r="B311" i="1"/>
  <c r="E310" i="1"/>
  <c r="B312" i="1" l="1"/>
  <c r="E311" i="1"/>
  <c r="D395" i="1"/>
  <c r="D396" i="1" l="1"/>
  <c r="B313" i="1"/>
  <c r="E312" i="1"/>
  <c r="D397" i="1" l="1"/>
  <c r="B314" i="1"/>
  <c r="E313" i="1"/>
  <c r="B315" i="1" l="1"/>
  <c r="E314" i="1"/>
  <c r="D399" i="1" l="1"/>
  <c r="B316" i="1"/>
  <c r="E315" i="1"/>
  <c r="B317" i="1" l="1"/>
  <c r="E316" i="1"/>
  <c r="D401" i="1" l="1"/>
  <c r="B318" i="1"/>
  <c r="E317" i="1"/>
  <c r="D402" i="1" l="1"/>
  <c r="B319" i="1"/>
  <c r="E318" i="1"/>
  <c r="D403" i="1" l="1"/>
  <c r="B320" i="1"/>
  <c r="E319" i="1"/>
  <c r="D404" i="1" l="1"/>
  <c r="B321" i="1"/>
  <c r="E320" i="1"/>
  <c r="B322" i="1" l="1"/>
  <c r="E321" i="1"/>
  <c r="D408" i="1" l="1"/>
  <c r="B323" i="1"/>
  <c r="E322" i="1"/>
  <c r="D409" i="1" l="1"/>
  <c r="B324" i="1"/>
  <c r="E323" i="1"/>
  <c r="D410" i="1" l="1"/>
  <c r="B325" i="1"/>
  <c r="E324" i="1"/>
  <c r="B326" i="1" l="1"/>
  <c r="E325" i="1"/>
  <c r="D412" i="1" l="1"/>
  <c r="B327" i="1"/>
  <c r="E326" i="1"/>
  <c r="D413" i="1" l="1"/>
  <c r="D414" i="1" s="1"/>
  <c r="B328" i="1"/>
  <c r="E327" i="1"/>
  <c r="B329" i="1" l="1"/>
  <c r="E328" i="1"/>
  <c r="B330" i="1" l="1"/>
  <c r="E329" i="1"/>
  <c r="D406" i="1"/>
  <c r="B331" i="1" l="1"/>
  <c r="E330" i="1"/>
  <c r="B332" i="1" l="1"/>
  <c r="E331" i="1"/>
  <c r="D422" i="1" l="1"/>
  <c r="D423" i="1" s="1"/>
  <c r="D425" i="1" s="1"/>
  <c r="D426" i="1" s="1"/>
  <c r="D427" i="1" s="1"/>
  <c r="B333" i="1"/>
  <c r="E332" i="1"/>
  <c r="B334" i="1" l="1"/>
  <c r="E333" i="1"/>
  <c r="B335" i="1" l="1"/>
  <c r="E334" i="1"/>
  <c r="B336" i="1" l="1"/>
  <c r="E335" i="1"/>
  <c r="B337" i="1" l="1"/>
  <c r="E336" i="1"/>
  <c r="B338" i="1" l="1"/>
  <c r="E337" i="1"/>
  <c r="B339" i="1" l="1"/>
  <c r="E338" i="1"/>
  <c r="B340" i="1" l="1"/>
  <c r="E339" i="1"/>
  <c r="B341" i="1" l="1"/>
  <c r="E340" i="1"/>
  <c r="B342" i="1" l="1"/>
  <c r="E341" i="1"/>
  <c r="B343" i="1" l="1"/>
  <c r="E342" i="1"/>
  <c r="B344" i="1" l="1"/>
  <c r="E343" i="1"/>
  <c r="D428" i="1" l="1"/>
  <c r="B345" i="1"/>
  <c r="E344" i="1"/>
  <c r="D429" i="1" l="1"/>
  <c r="B346" i="1"/>
  <c r="E345" i="1"/>
  <c r="B347" i="1" l="1"/>
  <c r="E346" i="1"/>
  <c r="D431" i="1" l="1"/>
  <c r="B348" i="1"/>
  <c r="E347" i="1"/>
  <c r="D432" i="1" l="1"/>
  <c r="B349" i="1"/>
  <c r="E348" i="1"/>
  <c r="B350" i="1" l="1"/>
  <c r="E349" i="1"/>
  <c r="D433" i="1"/>
  <c r="B351" i="1" l="1"/>
  <c r="E350" i="1"/>
  <c r="D435" i="1" l="1"/>
  <c r="B352" i="1"/>
  <c r="E351" i="1"/>
  <c r="D436" i="1" l="1"/>
  <c r="B353" i="1"/>
  <c r="E352" i="1"/>
  <c r="B354" i="1" l="1"/>
  <c r="E353" i="1"/>
  <c r="D438" i="1" l="1"/>
  <c r="B355" i="1"/>
  <c r="E354" i="1"/>
  <c r="B356" i="1" l="1"/>
  <c r="E355" i="1"/>
  <c r="B357" i="1" l="1"/>
  <c r="E356" i="1"/>
  <c r="D440" i="1"/>
  <c r="D441" i="1" l="1"/>
  <c r="B358" i="1"/>
  <c r="E357" i="1"/>
  <c r="D442" i="1" l="1"/>
  <c r="B359" i="1"/>
  <c r="E358" i="1"/>
  <c r="D443" i="1" l="1"/>
  <c r="B360" i="1"/>
  <c r="E359" i="1"/>
  <c r="D444" i="1" l="1"/>
  <c r="B361" i="1"/>
  <c r="E360" i="1"/>
  <c r="D445" i="1" l="1"/>
  <c r="B362" i="1"/>
  <c r="E361" i="1"/>
  <c r="B363" i="1" l="1"/>
  <c r="E362" i="1"/>
  <c r="D447" i="1" l="1"/>
  <c r="B364" i="1"/>
  <c r="E363" i="1"/>
  <c r="D448" i="1" l="1"/>
  <c r="B365" i="1"/>
  <c r="E364" i="1"/>
  <c r="D449" i="1" l="1"/>
  <c r="B366" i="1"/>
  <c r="E365" i="1"/>
  <c r="D450" i="1" l="1"/>
  <c r="B367" i="1"/>
  <c r="E366" i="1"/>
  <c r="B368" i="1" l="1"/>
  <c r="E367" i="1"/>
  <c r="D452" i="1" l="1"/>
  <c r="B369" i="1"/>
  <c r="E368" i="1"/>
  <c r="D453" i="1" l="1"/>
  <c r="B370" i="1"/>
  <c r="E369" i="1"/>
  <c r="B371" i="1" l="1"/>
  <c r="E370" i="1"/>
  <c r="D454" i="1"/>
  <c r="D455" i="1" l="1"/>
  <c r="B372" i="1"/>
  <c r="E371" i="1"/>
  <c r="D456" i="1" l="1"/>
  <c r="B373" i="1"/>
  <c r="E372" i="1"/>
  <c r="B374" i="1" l="1"/>
  <c r="E373" i="1"/>
  <c r="D458" i="1" l="1"/>
  <c r="B375" i="1"/>
  <c r="E374" i="1"/>
  <c r="D459" i="1" l="1"/>
  <c r="B376" i="1"/>
  <c r="E375" i="1"/>
  <c r="D460" i="1" l="1"/>
  <c r="B377" i="1"/>
  <c r="E376" i="1"/>
  <c r="B378" i="1" l="1"/>
  <c r="E377" i="1"/>
  <c r="D462" i="1" l="1"/>
  <c r="B379" i="1"/>
  <c r="E378" i="1"/>
  <c r="B380" i="1" l="1"/>
  <c r="E379" i="1"/>
  <c r="D464" i="1" l="1"/>
  <c r="B381" i="1"/>
  <c r="E380" i="1"/>
  <c r="D465" i="1" l="1"/>
  <c r="B382" i="1"/>
  <c r="E381" i="1"/>
  <c r="B383" i="1" l="1"/>
  <c r="E382" i="1"/>
  <c r="D467" i="1" l="1"/>
  <c r="B384" i="1"/>
  <c r="E383" i="1"/>
  <c r="D468" i="1" l="1"/>
  <c r="B385" i="1"/>
  <c r="E384" i="1"/>
  <c r="D469" i="1" l="1"/>
  <c r="B386" i="1"/>
  <c r="E385" i="1"/>
  <c r="D470" i="1" l="1"/>
  <c r="B387" i="1"/>
  <c r="E386" i="1"/>
  <c r="D471" i="1" l="1"/>
  <c r="B388" i="1"/>
  <c r="E387" i="1"/>
  <c r="D472" i="1" l="1"/>
  <c r="B389" i="1"/>
  <c r="E388" i="1"/>
  <c r="B390" i="1" l="1"/>
  <c r="E389" i="1"/>
  <c r="D474" i="1" l="1"/>
  <c r="B391" i="1"/>
  <c r="E390" i="1"/>
  <c r="B392" i="1" l="1"/>
  <c r="E391" i="1"/>
  <c r="B393" i="1" l="1"/>
  <c r="E392" i="1"/>
  <c r="D476" i="1"/>
  <c r="B394" i="1" l="1"/>
  <c r="E393" i="1"/>
  <c r="D477" i="1"/>
  <c r="B395" i="1" l="1"/>
  <c r="E394" i="1"/>
  <c r="D478" i="1"/>
  <c r="B396" i="1" l="1"/>
  <c r="E395" i="1"/>
  <c r="D479" i="1"/>
  <c r="B397" i="1" l="1"/>
  <c r="E396" i="1"/>
  <c r="D480" i="1"/>
  <c r="D481" i="1" l="1"/>
  <c r="B398" i="1"/>
  <c r="E397" i="1"/>
  <c r="B399" i="1" l="1"/>
  <c r="E398" i="1"/>
  <c r="D483" i="1" l="1"/>
  <c r="B400" i="1"/>
  <c r="E399" i="1"/>
  <c r="D484" i="1" l="1"/>
  <c r="B401" i="1"/>
  <c r="E400" i="1"/>
  <c r="B402" i="1" l="1"/>
  <c r="E401" i="1"/>
  <c r="D486" i="1" l="1"/>
  <c r="B403" i="1"/>
  <c r="E402" i="1"/>
  <c r="B404" i="1" l="1"/>
  <c r="E403" i="1"/>
  <c r="D488" i="1" l="1"/>
  <c r="B407" i="1"/>
  <c r="E404" i="1"/>
  <c r="D489" i="1" l="1"/>
  <c r="B408" i="1"/>
  <c r="E407" i="1"/>
  <c r="D490" i="1" l="1"/>
  <c r="B409" i="1"/>
  <c r="E408" i="1"/>
  <c r="D491" i="1" l="1"/>
  <c r="B410" i="1"/>
  <c r="E409" i="1"/>
  <c r="D492" i="1" l="1"/>
  <c r="B411" i="1"/>
  <c r="E410" i="1"/>
  <c r="D493" i="1" l="1"/>
  <c r="B412" i="1"/>
  <c r="E411" i="1"/>
  <c r="B413" i="1" l="1"/>
  <c r="E412" i="1"/>
  <c r="D495" i="1" l="1"/>
  <c r="B405" i="1"/>
  <c r="E413" i="1"/>
  <c r="B406" i="1" l="1"/>
  <c r="E405" i="1"/>
  <c r="D497" i="1" l="1"/>
  <c r="B414" i="1"/>
  <c r="E406" i="1"/>
  <c r="B415" i="1" l="1"/>
  <c r="B416" i="1" s="1"/>
  <c r="E416" i="1" s="1"/>
  <c r="E414" i="1"/>
  <c r="D499" i="1" l="1"/>
  <c r="E415" i="1"/>
  <c r="B417" i="1" l="1"/>
  <c r="D501" i="1" l="1"/>
  <c r="B418" i="1"/>
  <c r="E417" i="1"/>
  <c r="D502" i="1" l="1"/>
  <c r="B419" i="1"/>
  <c r="E418" i="1"/>
  <c r="D503" i="1" l="1"/>
  <c r="B420" i="1"/>
  <c r="E419" i="1"/>
  <c r="D504" i="1" l="1"/>
  <c r="B421" i="1"/>
  <c r="E420" i="1"/>
  <c r="B422" i="1" l="1"/>
  <c r="E421" i="1"/>
  <c r="D506" i="1" l="1"/>
  <c r="B423" i="1"/>
  <c r="E422" i="1"/>
  <c r="B424" i="1" l="1"/>
  <c r="E423" i="1"/>
  <c r="D508" i="1" l="1"/>
  <c r="B425" i="1"/>
  <c r="E424" i="1"/>
  <c r="B426" i="1" l="1"/>
  <c r="E425" i="1"/>
  <c r="D510" i="1" l="1"/>
  <c r="B427" i="1"/>
  <c r="E426" i="1"/>
  <c r="B428" i="1" l="1"/>
  <c r="E427" i="1"/>
  <c r="D512" i="1" l="1"/>
  <c r="B429" i="1"/>
  <c r="E428" i="1"/>
  <c r="B430" i="1" l="1"/>
  <c r="E429" i="1"/>
  <c r="D514" i="1" l="1"/>
  <c r="B431" i="1"/>
  <c r="E430" i="1"/>
  <c r="B432" i="1" l="1"/>
  <c r="E431" i="1"/>
  <c r="D516" i="1" l="1"/>
  <c r="B433" i="1"/>
  <c r="E432" i="1"/>
  <c r="B434" i="1" l="1"/>
  <c r="E433" i="1"/>
  <c r="D518" i="1" l="1"/>
  <c r="B435" i="1"/>
  <c r="E434" i="1"/>
  <c r="D519" i="1" l="1"/>
  <c r="B436" i="1"/>
  <c r="E435" i="1"/>
  <c r="B437" i="1" l="1"/>
  <c r="E436" i="1"/>
  <c r="B438" i="1" l="1"/>
  <c r="E437" i="1"/>
  <c r="B439" i="1" l="1"/>
  <c r="E438" i="1"/>
  <c r="D523" i="1" l="1"/>
  <c r="B440" i="1"/>
  <c r="E439" i="1"/>
  <c r="B441" i="1" l="1"/>
  <c r="E440" i="1"/>
  <c r="D525" i="1" l="1"/>
  <c r="B442" i="1"/>
  <c r="E441" i="1"/>
  <c r="B443" i="1" l="1"/>
  <c r="E442" i="1"/>
  <c r="D527" i="1" l="1"/>
  <c r="B444" i="1"/>
  <c r="E443" i="1"/>
  <c r="B445" i="1" l="1"/>
  <c r="E444" i="1"/>
  <c r="D529" i="1" l="1"/>
  <c r="B446" i="1"/>
  <c r="E445" i="1"/>
  <c r="D530" i="1" l="1"/>
  <c r="B447" i="1"/>
  <c r="E446" i="1"/>
  <c r="D531" i="1" l="1"/>
  <c r="B448" i="1"/>
  <c r="E447" i="1"/>
  <c r="D532" i="1" l="1"/>
  <c r="B449" i="1"/>
  <c r="E448" i="1"/>
  <c r="B450" i="1" l="1"/>
  <c r="E449" i="1"/>
  <c r="D534" i="1" l="1"/>
  <c r="B451" i="1"/>
  <c r="E450" i="1"/>
  <c r="B452" i="1" l="1"/>
  <c r="E451" i="1"/>
  <c r="D536" i="1" l="1"/>
  <c r="B453" i="1"/>
  <c r="E452" i="1"/>
  <c r="D537" i="1" l="1"/>
  <c r="B454" i="1"/>
  <c r="E453" i="1"/>
  <c r="D538" i="1" l="1"/>
  <c r="B455" i="1"/>
  <c r="E454" i="1"/>
  <c r="D539" i="1" l="1"/>
  <c r="B456" i="1"/>
  <c r="E455" i="1"/>
  <c r="B457" i="1" l="1"/>
  <c r="E456" i="1"/>
  <c r="D541" i="1" l="1"/>
  <c r="B458" i="1"/>
  <c r="E457" i="1"/>
  <c r="D542" i="1" l="1"/>
  <c r="B459" i="1"/>
  <c r="E458" i="1"/>
  <c r="D543" i="1" l="1"/>
  <c r="B460" i="1"/>
  <c r="E459" i="1"/>
  <c r="D544" i="1" l="1"/>
  <c r="B461" i="1"/>
  <c r="E460" i="1"/>
  <c r="D545" i="1" l="1"/>
  <c r="B462" i="1"/>
  <c r="E461" i="1"/>
  <c r="B463" i="1" l="1"/>
  <c r="E462" i="1"/>
  <c r="D547" i="1" l="1"/>
  <c r="B464" i="1"/>
  <c r="E463" i="1"/>
  <c r="D548" i="1" l="1"/>
  <c r="B465" i="1"/>
  <c r="E464" i="1"/>
  <c r="D549" i="1" l="1"/>
  <c r="B466" i="1"/>
  <c r="E465" i="1"/>
  <c r="D550" i="1" l="1"/>
  <c r="B467" i="1"/>
  <c r="E466" i="1"/>
  <c r="B468" i="1" l="1"/>
  <c r="E467" i="1"/>
  <c r="D552" i="1" l="1"/>
  <c r="B469" i="1"/>
  <c r="E468" i="1"/>
  <c r="D553" i="1" l="1"/>
  <c r="B470" i="1"/>
  <c r="E469" i="1"/>
  <c r="D554" i="1" l="1"/>
  <c r="B471" i="1"/>
  <c r="E470" i="1"/>
  <c r="D555" i="1" l="1"/>
  <c r="B472" i="1"/>
  <c r="E471" i="1"/>
  <c r="D556" i="1" l="1"/>
  <c r="B473" i="1"/>
  <c r="E472" i="1"/>
  <c r="D557" i="1" l="1"/>
  <c r="B474" i="1"/>
  <c r="E473" i="1"/>
  <c r="D558" i="1" l="1"/>
  <c r="B475" i="1"/>
  <c r="E474" i="1"/>
  <c r="B476" i="1" l="1"/>
  <c r="E475" i="1"/>
  <c r="D560" i="1" l="1"/>
  <c r="B477" i="1"/>
  <c r="E476" i="1"/>
  <c r="D561" i="1" l="1"/>
  <c r="B478" i="1"/>
  <c r="E477" i="1"/>
  <c r="D562" i="1" l="1"/>
  <c r="B479" i="1"/>
  <c r="E478" i="1"/>
  <c r="D563" i="1" l="1"/>
  <c r="B480" i="1"/>
  <c r="E479" i="1"/>
  <c r="D564" i="1" l="1"/>
  <c r="B481" i="1"/>
  <c r="E480" i="1"/>
  <c r="B482" i="1" l="1"/>
  <c r="E481" i="1"/>
  <c r="D566" i="1" l="1"/>
  <c r="B483" i="1"/>
  <c r="E482" i="1"/>
  <c r="D567" i="1" l="1"/>
  <c r="B484" i="1"/>
  <c r="E483" i="1"/>
  <c r="D568" i="1" l="1"/>
  <c r="B485" i="1"/>
  <c r="E484" i="1"/>
  <c r="B486" i="1" l="1"/>
  <c r="E485" i="1"/>
  <c r="D569" i="1"/>
  <c r="B487" i="1" l="1"/>
  <c r="E486" i="1"/>
  <c r="D571" i="1" l="1"/>
  <c r="B488" i="1"/>
  <c r="E487" i="1"/>
  <c r="D572" i="1" l="1"/>
  <c r="B489" i="1"/>
  <c r="E488" i="1"/>
  <c r="D573" i="1" l="1"/>
  <c r="B490" i="1"/>
  <c r="E489" i="1"/>
  <c r="D574" i="1" l="1"/>
  <c r="B491" i="1"/>
  <c r="E490" i="1"/>
  <c r="D575" i="1" l="1"/>
  <c r="B492" i="1"/>
  <c r="E491" i="1"/>
  <c r="D576" i="1" l="1"/>
  <c r="B493" i="1"/>
  <c r="E492" i="1"/>
  <c r="D577" i="1" l="1"/>
  <c r="B494" i="1"/>
  <c r="E493" i="1"/>
  <c r="D578" i="1" l="1"/>
  <c r="B495" i="1"/>
  <c r="E494" i="1"/>
  <c r="B496" i="1" l="1"/>
  <c r="E495" i="1"/>
  <c r="D584" i="1" l="1"/>
  <c r="B497" i="1"/>
  <c r="E496" i="1"/>
  <c r="B498" i="1" l="1"/>
  <c r="E497" i="1"/>
  <c r="D585" i="1"/>
  <c r="D586" i="1" l="1"/>
  <c r="B499" i="1"/>
  <c r="E498" i="1"/>
  <c r="B500" i="1" l="1"/>
  <c r="E499" i="1"/>
  <c r="D580" i="1" l="1"/>
  <c r="B501" i="1"/>
  <c r="E500" i="1"/>
  <c r="B502" i="1" l="1"/>
  <c r="E501" i="1"/>
  <c r="D581" i="1"/>
  <c r="D582" i="1" l="1"/>
  <c r="B503" i="1"/>
  <c r="E502" i="1"/>
  <c r="B504" i="1" l="1"/>
  <c r="E503" i="1"/>
  <c r="D588" i="1" l="1"/>
  <c r="B505" i="1"/>
  <c r="E504" i="1"/>
  <c r="D589" i="1" l="1"/>
  <c r="B506" i="1"/>
  <c r="E505" i="1"/>
  <c r="B507" i="1" l="1"/>
  <c r="E506" i="1"/>
  <c r="B508" i="1" l="1"/>
  <c r="E507" i="1"/>
  <c r="D591" i="1"/>
  <c r="D592" i="1" l="1"/>
  <c r="B509" i="1"/>
  <c r="E508" i="1"/>
  <c r="D593" i="1" l="1"/>
  <c r="B510" i="1"/>
  <c r="E509" i="1"/>
  <c r="B511" i="1" l="1"/>
  <c r="E510" i="1"/>
  <c r="D595" i="1" l="1"/>
  <c r="B512" i="1"/>
  <c r="E511" i="1"/>
  <c r="B513" i="1" l="1"/>
  <c r="E512" i="1"/>
  <c r="B514" i="1" l="1"/>
  <c r="E513" i="1"/>
  <c r="D597" i="1"/>
  <c r="B515" i="1" l="1"/>
  <c r="E514" i="1"/>
  <c r="D599" i="1" l="1"/>
  <c r="B516" i="1"/>
  <c r="E515" i="1"/>
  <c r="D600" i="1" l="1"/>
  <c r="B517" i="1"/>
  <c r="E516" i="1"/>
  <c r="D601" i="1" l="1"/>
  <c r="B518" i="1"/>
  <c r="E517" i="1"/>
  <c r="D602" i="1" l="1"/>
  <c r="B519" i="1"/>
  <c r="E518" i="1"/>
  <c r="B520" i="1" l="1"/>
  <c r="E520" i="1" s="1"/>
  <c r="E519" i="1"/>
  <c r="D604" i="1" l="1"/>
  <c r="B521" i="1"/>
  <c r="E521" i="1" s="1"/>
  <c r="B522" i="1" l="1"/>
  <c r="E522" i="1" s="1"/>
  <c r="D606" i="1" l="1"/>
  <c r="B523" i="1"/>
  <c r="B524" i="1" l="1"/>
  <c r="E523" i="1"/>
  <c r="D608" i="1" l="1"/>
  <c r="B525" i="1"/>
  <c r="E524" i="1"/>
  <c r="B526" i="1" l="1"/>
  <c r="E525" i="1"/>
  <c r="D609" i="1"/>
  <c r="D610" i="1" l="1"/>
  <c r="B527" i="1"/>
  <c r="E526" i="1"/>
  <c r="B528" i="1" l="1"/>
  <c r="E527" i="1"/>
  <c r="D611" i="1"/>
  <c r="B529" i="1" l="1"/>
  <c r="E528" i="1"/>
  <c r="B530" i="1" l="1"/>
  <c r="E529" i="1"/>
  <c r="D613" i="1"/>
  <c r="B531" i="1" l="1"/>
  <c r="E530" i="1"/>
  <c r="B532" i="1" l="1"/>
  <c r="E531" i="1"/>
  <c r="D615" i="1"/>
  <c r="D616" i="1" l="1"/>
  <c r="B533" i="1"/>
  <c r="E532" i="1"/>
  <c r="B534" i="1" l="1"/>
  <c r="E533" i="1"/>
  <c r="D617" i="1"/>
  <c r="B535" i="1" l="1"/>
  <c r="E534" i="1"/>
  <c r="D619" i="1" l="1"/>
  <c r="B536" i="1"/>
  <c r="E535" i="1"/>
  <c r="D620" i="1" l="1"/>
  <c r="B537" i="1"/>
  <c r="E536" i="1"/>
  <c r="D621" i="1" l="1"/>
  <c r="B538" i="1"/>
  <c r="E537" i="1"/>
  <c r="D622" i="1" l="1"/>
  <c r="B539" i="1"/>
  <c r="E538" i="1"/>
  <c r="B540" i="1" l="1"/>
  <c r="E539" i="1"/>
  <c r="D624" i="1" l="1"/>
  <c r="B541" i="1"/>
  <c r="E540" i="1"/>
  <c r="B542" i="1" l="1"/>
  <c r="E541" i="1"/>
  <c r="D625" i="1"/>
  <c r="D626" i="1" l="1"/>
  <c r="B543" i="1"/>
  <c r="E542" i="1"/>
  <c r="B544" i="1" l="1"/>
  <c r="E543" i="1"/>
  <c r="D628" i="1" l="1"/>
  <c r="B545" i="1"/>
  <c r="E544" i="1"/>
  <c r="B546" i="1" l="1"/>
  <c r="E545" i="1"/>
  <c r="D629" i="1"/>
  <c r="B547" i="1" l="1"/>
  <c r="E546" i="1"/>
  <c r="B548" i="1" l="1"/>
  <c r="E547" i="1"/>
  <c r="D631" i="1"/>
  <c r="B549" i="1" l="1"/>
  <c r="E548" i="1"/>
  <c r="B550" i="1" l="1"/>
  <c r="E549" i="1"/>
  <c r="D633" i="1"/>
  <c r="B551" i="1" l="1"/>
  <c r="E550" i="1"/>
  <c r="D635" i="1" l="1"/>
  <c r="B552" i="1"/>
  <c r="E551" i="1"/>
  <c r="D636" i="1" l="1"/>
  <c r="B553" i="1"/>
  <c r="E552" i="1"/>
  <c r="D637" i="1" l="1"/>
  <c r="B554" i="1"/>
  <c r="E553" i="1"/>
  <c r="D638" i="1" l="1"/>
  <c r="B555" i="1"/>
  <c r="E554" i="1"/>
  <c r="B556" i="1" l="1"/>
  <c r="E555" i="1"/>
  <c r="D640" i="1" l="1"/>
  <c r="B557" i="1"/>
  <c r="E556" i="1"/>
  <c r="D641" i="1" l="1"/>
  <c r="B558" i="1"/>
  <c r="E557" i="1"/>
  <c r="D642" i="1" l="1"/>
  <c r="B559" i="1"/>
  <c r="E558" i="1"/>
  <c r="B560" i="1" l="1"/>
  <c r="E559" i="1"/>
  <c r="D644" i="1" l="1"/>
  <c r="B561" i="1"/>
  <c r="E560" i="1"/>
  <c r="B562" i="1" l="1"/>
  <c r="E561" i="1"/>
  <c r="D646" i="1" l="1"/>
  <c r="B563" i="1"/>
  <c r="E562" i="1"/>
  <c r="D647" i="1" l="1"/>
  <c r="B564" i="1"/>
  <c r="E563" i="1"/>
  <c r="D648" i="1" l="1"/>
  <c r="B565" i="1"/>
  <c r="E564" i="1"/>
  <c r="D649" i="1" l="1"/>
  <c r="B566" i="1"/>
  <c r="E565" i="1"/>
  <c r="B567" i="1" l="1"/>
  <c r="E566" i="1"/>
  <c r="B568" i="1" l="1"/>
  <c r="E567" i="1"/>
  <c r="D651" i="1"/>
  <c r="B569" i="1" l="1"/>
  <c r="E568" i="1"/>
  <c r="D653" i="1" l="1"/>
  <c r="B570" i="1"/>
  <c r="E569" i="1"/>
  <c r="B571" i="1" l="1"/>
  <c r="E570" i="1"/>
  <c r="D655" i="1" l="1"/>
  <c r="B572" i="1"/>
  <c r="E571" i="1"/>
  <c r="D656" i="1" l="1"/>
  <c r="B573" i="1"/>
  <c r="E572" i="1"/>
  <c r="D657" i="1" l="1"/>
  <c r="B574" i="1"/>
  <c r="E573" i="1"/>
  <c r="D658" i="1" l="1"/>
  <c r="B575" i="1"/>
  <c r="E574" i="1"/>
  <c r="B576" i="1" l="1"/>
  <c r="E575" i="1"/>
  <c r="D660" i="1" l="1"/>
  <c r="B577" i="1"/>
  <c r="E576" i="1"/>
  <c r="B578" i="1" l="1"/>
  <c r="E577" i="1"/>
  <c r="D662" i="1" l="1"/>
  <c r="B583" i="1"/>
  <c r="E578" i="1"/>
  <c r="D663" i="1" l="1"/>
  <c r="B584" i="1"/>
  <c r="E583" i="1"/>
  <c r="D664" i="1" l="1"/>
  <c r="B585" i="1"/>
  <c r="E584" i="1"/>
  <c r="B586" i="1" l="1"/>
  <c r="E585" i="1"/>
  <c r="D666" i="1" l="1"/>
  <c r="B579" i="1"/>
  <c r="E586" i="1"/>
  <c r="D667" i="1" l="1"/>
  <c r="B580" i="1"/>
  <c r="E579" i="1"/>
  <c r="B581" i="1" l="1"/>
  <c r="E580" i="1"/>
  <c r="D669" i="1" l="1"/>
  <c r="B582" i="1"/>
  <c r="E581" i="1"/>
  <c r="B587" i="1" l="1"/>
  <c r="E582" i="1"/>
  <c r="D671" i="1" l="1"/>
  <c r="B588" i="1"/>
  <c r="E587" i="1"/>
  <c r="D672" i="1" l="1"/>
  <c r="B589" i="1"/>
  <c r="E588" i="1"/>
  <c r="B590" i="1" l="1"/>
  <c r="E589" i="1"/>
  <c r="D675" i="1" l="1"/>
  <c r="B591" i="1"/>
  <c r="E590" i="1"/>
  <c r="D676" i="1" l="1"/>
  <c r="B592" i="1"/>
  <c r="E591" i="1"/>
  <c r="D677" i="1" l="1"/>
  <c r="B593" i="1"/>
  <c r="E592" i="1"/>
  <c r="D678" i="1" l="1"/>
  <c r="B594" i="1"/>
  <c r="E593" i="1"/>
  <c r="B595" i="1" l="1"/>
  <c r="E594" i="1"/>
  <c r="B596" i="1" l="1"/>
  <c r="E595" i="1"/>
  <c r="D680" i="1" l="1"/>
  <c r="B597" i="1"/>
  <c r="E596" i="1"/>
  <c r="D681" i="1" l="1"/>
  <c r="B598" i="1"/>
  <c r="E597" i="1"/>
  <c r="D682" i="1" l="1"/>
  <c r="B599" i="1"/>
  <c r="E598" i="1"/>
  <c r="D683" i="1" l="1"/>
  <c r="B600" i="1"/>
  <c r="E599" i="1"/>
  <c r="B601" i="1" l="1"/>
  <c r="E600" i="1"/>
  <c r="D685" i="1" l="1"/>
  <c r="B602" i="1"/>
  <c r="E601" i="1"/>
  <c r="D686" i="1" l="1"/>
  <c r="B603" i="1"/>
  <c r="E602" i="1"/>
  <c r="D687" i="1" l="1"/>
  <c r="B604" i="1"/>
  <c r="E603" i="1"/>
  <c r="D688" i="1" l="1"/>
  <c r="B605" i="1"/>
  <c r="E604" i="1"/>
  <c r="D689" i="1" l="1"/>
  <c r="B606" i="1"/>
  <c r="E605" i="1"/>
  <c r="B607" i="1" l="1"/>
  <c r="E606" i="1"/>
  <c r="D691" i="1" l="1"/>
  <c r="B608" i="1"/>
  <c r="E607" i="1"/>
  <c r="B609" i="1" l="1"/>
  <c r="E608" i="1"/>
  <c r="D693" i="1" l="1"/>
  <c r="B610" i="1"/>
  <c r="E609" i="1"/>
  <c r="B611" i="1" l="1"/>
  <c r="E610" i="1"/>
  <c r="D695" i="1" l="1"/>
  <c r="B612" i="1"/>
  <c r="E611" i="1"/>
  <c r="B613" i="1" l="1"/>
  <c r="E612" i="1"/>
  <c r="D697" i="1" l="1"/>
  <c r="B614" i="1"/>
  <c r="E613" i="1"/>
  <c r="B615" i="1" l="1"/>
  <c r="E614" i="1"/>
  <c r="D699" i="1" l="1"/>
  <c r="B616" i="1"/>
  <c r="E615" i="1"/>
  <c r="B617" i="1" l="1"/>
  <c r="E616" i="1"/>
  <c r="D701" i="1" l="1"/>
  <c r="B618" i="1"/>
  <c r="E617" i="1"/>
  <c r="D702" i="1" l="1"/>
  <c r="B619" i="1"/>
  <c r="E618" i="1"/>
  <c r="D703" i="1" l="1"/>
  <c r="B620" i="1"/>
  <c r="E619" i="1"/>
  <c r="B621" i="1" l="1"/>
  <c r="E620" i="1"/>
  <c r="D705" i="1" l="1"/>
  <c r="B622" i="1"/>
  <c r="E621" i="1"/>
  <c r="D706" i="1" l="1"/>
  <c r="B623" i="1"/>
  <c r="E622" i="1"/>
  <c r="B624" i="1" l="1"/>
  <c r="E623" i="1"/>
  <c r="D708" i="1" l="1"/>
  <c r="B625" i="1"/>
  <c r="E624" i="1"/>
  <c r="D709" i="1" l="1"/>
  <c r="B626" i="1"/>
  <c r="E625" i="1"/>
  <c r="D710" i="1" l="1"/>
  <c r="B627" i="1"/>
  <c r="E626" i="1"/>
  <c r="B628" i="1" l="1"/>
  <c r="E627" i="1"/>
  <c r="D712" i="1" l="1"/>
  <c r="B629" i="1"/>
  <c r="E628" i="1"/>
  <c r="D713" i="1" l="1"/>
  <c r="B630" i="1"/>
  <c r="E629" i="1"/>
  <c r="D714" i="1" l="1"/>
  <c r="B631" i="1"/>
  <c r="E630" i="1"/>
  <c r="B632" i="1" l="1"/>
  <c r="E631" i="1"/>
  <c r="D716" i="1" l="1"/>
  <c r="B633" i="1"/>
  <c r="E632" i="1"/>
  <c r="B634" i="1" l="1"/>
  <c r="E633" i="1"/>
  <c r="D718" i="1" l="1"/>
  <c r="B635" i="1"/>
  <c r="E634" i="1"/>
  <c r="D719" i="1" l="1"/>
  <c r="B636" i="1"/>
  <c r="E635" i="1"/>
  <c r="D720" i="1" l="1"/>
  <c r="B637" i="1"/>
  <c r="E636" i="1"/>
  <c r="D721" i="1" l="1"/>
  <c r="B638" i="1"/>
  <c r="E637" i="1"/>
  <c r="D722" i="1" l="1"/>
  <c r="B639" i="1"/>
  <c r="E638" i="1"/>
  <c r="B640" i="1" l="1"/>
  <c r="E639" i="1"/>
  <c r="D724" i="1" l="1"/>
  <c r="B641" i="1"/>
  <c r="E640" i="1"/>
  <c r="D725" i="1" l="1"/>
  <c r="B642" i="1"/>
  <c r="E641" i="1"/>
  <c r="D726" i="1" l="1"/>
  <c r="B643" i="1"/>
  <c r="E642" i="1"/>
  <c r="D727" i="1" l="1"/>
  <c r="B644" i="1"/>
  <c r="E643" i="1"/>
  <c r="D728" i="1" l="1"/>
  <c r="B645" i="1"/>
  <c r="E644" i="1"/>
  <c r="B646" i="1" l="1"/>
  <c r="E645" i="1"/>
  <c r="D730" i="1" l="1"/>
  <c r="B647" i="1"/>
  <c r="E646" i="1"/>
  <c r="D731" i="1" l="1"/>
  <c r="B648" i="1"/>
  <c r="E647" i="1"/>
  <c r="D732" i="1" l="1"/>
  <c r="B649" i="1"/>
  <c r="E648" i="1"/>
  <c r="D733" i="1" l="1"/>
  <c r="B650" i="1"/>
  <c r="E649" i="1"/>
  <c r="D734" i="1" l="1"/>
  <c r="B651" i="1"/>
  <c r="E650" i="1"/>
  <c r="B652" i="1" l="1"/>
  <c r="E651" i="1"/>
  <c r="D736" i="1" l="1"/>
  <c r="B653" i="1"/>
  <c r="E652" i="1"/>
  <c r="D737" i="1" l="1"/>
  <c r="B654" i="1"/>
  <c r="E653" i="1"/>
  <c r="D738" i="1" l="1"/>
  <c r="B655" i="1"/>
  <c r="E654" i="1"/>
  <c r="B656" i="1" l="1"/>
  <c r="E655" i="1"/>
  <c r="D740" i="1" l="1"/>
  <c r="B657" i="1"/>
  <c r="E656" i="1"/>
  <c r="B658" i="1" l="1"/>
  <c r="E657" i="1"/>
  <c r="D742" i="1" l="1"/>
  <c r="B659" i="1"/>
  <c r="E658" i="1"/>
  <c r="D743" i="1" l="1"/>
  <c r="B660" i="1"/>
  <c r="E659" i="1"/>
  <c r="D744" i="1" l="1"/>
  <c r="B661" i="1"/>
  <c r="E660" i="1"/>
  <c r="D745" i="1" l="1"/>
  <c r="B662" i="1"/>
  <c r="E661" i="1"/>
  <c r="D746" i="1" l="1"/>
  <c r="B663" i="1"/>
  <c r="E662" i="1"/>
  <c r="B664" i="1" l="1"/>
  <c r="E663" i="1"/>
  <c r="D748" i="1" l="1"/>
  <c r="B665" i="1"/>
  <c r="E664" i="1"/>
  <c r="D749" i="1" l="1"/>
  <c r="B666" i="1"/>
  <c r="E665" i="1"/>
  <c r="B667" i="1" l="1"/>
  <c r="E666" i="1"/>
  <c r="D751" i="1" l="1"/>
  <c r="B668" i="1"/>
  <c r="E667" i="1"/>
  <c r="D752" i="1" l="1"/>
  <c r="B669" i="1"/>
  <c r="E668" i="1"/>
  <c r="D753" i="1" l="1"/>
  <c r="B670" i="1"/>
  <c r="E669" i="1"/>
  <c r="D754" i="1" l="1"/>
  <c r="B671" i="1"/>
  <c r="E670" i="1"/>
  <c r="D755" i="1" l="1"/>
  <c r="B672" i="1"/>
  <c r="E671" i="1"/>
  <c r="B674" i="1" l="1"/>
  <c r="E672" i="1"/>
  <c r="D757" i="1" l="1"/>
  <c r="B675" i="1"/>
  <c r="E674" i="1"/>
  <c r="D758" i="1" l="1"/>
  <c r="B676" i="1"/>
  <c r="E675" i="1"/>
  <c r="D759" i="1" l="1"/>
  <c r="B677" i="1"/>
  <c r="E676" i="1"/>
  <c r="B678" i="1" l="1"/>
  <c r="E677" i="1"/>
  <c r="D761" i="1" l="1"/>
  <c r="B673" i="1"/>
  <c r="E678" i="1"/>
  <c r="B679" i="1" l="1"/>
  <c r="E673" i="1"/>
  <c r="D763" i="1" l="1"/>
  <c r="B680" i="1"/>
  <c r="E679" i="1"/>
  <c r="D764" i="1" l="1"/>
  <c r="B681" i="1"/>
  <c r="E680" i="1"/>
  <c r="B682" i="1" l="1"/>
  <c r="E681" i="1"/>
  <c r="D766" i="1" l="1"/>
  <c r="B683" i="1"/>
  <c r="E682" i="1"/>
  <c r="D767" i="1" l="1"/>
  <c r="B684" i="1"/>
  <c r="E683" i="1"/>
  <c r="D768" i="1" l="1"/>
  <c r="B685" i="1"/>
  <c r="E684" i="1"/>
  <c r="D769" i="1" l="1"/>
  <c r="B686" i="1"/>
  <c r="E685" i="1"/>
  <c r="D770" i="1" l="1"/>
  <c r="B687" i="1"/>
  <c r="E686" i="1"/>
  <c r="B688" i="1" l="1"/>
  <c r="E687" i="1"/>
  <c r="D772" i="1" l="1"/>
  <c r="B689" i="1"/>
  <c r="E688" i="1"/>
  <c r="B690" i="1" l="1"/>
  <c r="E689" i="1"/>
  <c r="D774" i="1" l="1"/>
  <c r="B691" i="1"/>
  <c r="E690" i="1"/>
  <c r="D775" i="1" l="1"/>
  <c r="B692" i="1"/>
  <c r="E691" i="1"/>
  <c r="D776" i="1" l="1"/>
  <c r="B693" i="1"/>
  <c r="E692" i="1"/>
  <c r="B694" i="1" l="1"/>
  <c r="E693" i="1"/>
  <c r="D778" i="1" l="1"/>
  <c r="B695" i="1"/>
  <c r="E694" i="1"/>
  <c r="D779" i="1" l="1"/>
  <c r="B696" i="1"/>
  <c r="E695" i="1"/>
  <c r="B697" i="1" l="1"/>
  <c r="E696" i="1"/>
  <c r="D781" i="1" l="1"/>
  <c r="B698" i="1"/>
  <c r="E697" i="1"/>
  <c r="D782" i="1" l="1"/>
  <c r="B699" i="1"/>
  <c r="E698" i="1"/>
  <c r="D783" i="1" l="1"/>
  <c r="B700" i="1"/>
  <c r="E699" i="1"/>
  <c r="D784" i="1" l="1"/>
  <c r="B701" i="1"/>
  <c r="E700" i="1"/>
  <c r="B702" i="1" l="1"/>
  <c r="E701" i="1"/>
  <c r="D786" i="1" l="1"/>
  <c r="B703" i="1"/>
  <c r="E702" i="1"/>
  <c r="D787" i="1" l="1"/>
  <c r="B704" i="1"/>
  <c r="E703" i="1"/>
  <c r="B705" i="1" l="1"/>
  <c r="E704" i="1"/>
  <c r="D789" i="1" l="1"/>
  <c r="B706" i="1"/>
  <c r="E705" i="1"/>
  <c r="D790" i="1" l="1"/>
  <c r="B707" i="1"/>
  <c r="E706" i="1"/>
  <c r="D791" i="1" l="1"/>
  <c r="B708" i="1"/>
  <c r="E707" i="1"/>
  <c r="D792" i="1" l="1"/>
  <c r="B709" i="1"/>
  <c r="E708" i="1"/>
  <c r="D793" i="1" l="1"/>
  <c r="B710" i="1"/>
  <c r="E709" i="1"/>
  <c r="D794" i="1" l="1"/>
  <c r="B711" i="1"/>
  <c r="E710" i="1"/>
  <c r="D795" i="1" l="1"/>
  <c r="B712" i="1"/>
  <c r="E711" i="1"/>
  <c r="D796" i="1" l="1"/>
  <c r="B713" i="1"/>
  <c r="E712" i="1"/>
  <c r="D797" i="1" l="1"/>
  <c r="B714" i="1"/>
  <c r="E713" i="1"/>
  <c r="D798" i="1" l="1"/>
  <c r="B715" i="1"/>
  <c r="E714" i="1"/>
  <c r="D799" i="1" l="1"/>
  <c r="B716" i="1"/>
  <c r="E715" i="1"/>
  <c r="D800" i="1" l="1"/>
  <c r="B717" i="1"/>
  <c r="E716" i="1"/>
  <c r="D801" i="1" l="1"/>
  <c r="B718" i="1"/>
  <c r="E717" i="1"/>
  <c r="D802" i="1" l="1"/>
  <c r="B719" i="1"/>
  <c r="E718" i="1"/>
  <c r="D803" i="1" l="1"/>
  <c r="B720" i="1"/>
  <c r="E719" i="1"/>
  <c r="D804" i="1" l="1"/>
  <c r="B721" i="1"/>
  <c r="E720" i="1"/>
  <c r="D805" i="1" l="1"/>
  <c r="B722" i="1"/>
  <c r="E721" i="1"/>
  <c r="D806" i="1" l="1"/>
  <c r="B723" i="1"/>
  <c r="E722" i="1"/>
  <c r="D807" i="1" l="1"/>
  <c r="B724" i="1"/>
  <c r="E723" i="1"/>
  <c r="D808" i="1" l="1"/>
  <c r="B725" i="1"/>
  <c r="E724" i="1"/>
  <c r="D809" i="1" l="1"/>
  <c r="B726" i="1"/>
  <c r="E725" i="1"/>
  <c r="D810" i="1" l="1"/>
  <c r="B727" i="1"/>
  <c r="E726" i="1"/>
  <c r="D811" i="1" l="1"/>
  <c r="B728" i="1"/>
  <c r="E727" i="1"/>
  <c r="D812" i="1" l="1"/>
  <c r="B729" i="1"/>
  <c r="E728" i="1"/>
  <c r="D813" i="1" l="1"/>
  <c r="B730" i="1"/>
  <c r="E729" i="1"/>
  <c r="D814" i="1" l="1"/>
  <c r="B731" i="1"/>
  <c r="E730" i="1"/>
  <c r="D815" i="1" l="1"/>
  <c r="B732" i="1"/>
  <c r="E731" i="1"/>
  <c r="D816" i="1" l="1"/>
  <c r="B733" i="1"/>
  <c r="E732" i="1"/>
  <c r="D817" i="1" l="1"/>
  <c r="B734" i="1"/>
  <c r="E733" i="1"/>
  <c r="D818" i="1" l="1"/>
  <c r="B735" i="1"/>
  <c r="E734" i="1"/>
  <c r="D819" i="1" l="1"/>
  <c r="B736" i="1"/>
  <c r="E735" i="1"/>
  <c r="D820" i="1" l="1"/>
  <c r="B737" i="1"/>
  <c r="E736" i="1"/>
  <c r="D821" i="1" l="1"/>
  <c r="B738" i="1"/>
  <c r="E737" i="1"/>
  <c r="D822" i="1" l="1"/>
  <c r="B739" i="1"/>
  <c r="E738" i="1"/>
  <c r="D823" i="1" l="1"/>
  <c r="B740" i="1"/>
  <c r="E739" i="1"/>
  <c r="D824" i="1" l="1"/>
  <c r="B741" i="1"/>
  <c r="E740" i="1"/>
  <c r="D825" i="1" l="1"/>
  <c r="B742" i="1"/>
  <c r="E741" i="1"/>
  <c r="D826" i="1" l="1"/>
  <c r="B743" i="1"/>
  <c r="E742" i="1"/>
  <c r="D827" i="1" l="1"/>
  <c r="B744" i="1"/>
  <c r="E743" i="1"/>
  <c r="D828" i="1" l="1"/>
  <c r="B745" i="1"/>
  <c r="E744" i="1"/>
  <c r="D829" i="1" l="1"/>
  <c r="B746" i="1"/>
  <c r="E745" i="1"/>
  <c r="D830" i="1" l="1"/>
  <c r="B747" i="1"/>
  <c r="E746" i="1"/>
  <c r="D831" i="1" l="1"/>
  <c r="B748" i="1"/>
  <c r="E747" i="1"/>
  <c r="D832" i="1" l="1"/>
  <c r="B749" i="1"/>
  <c r="E748" i="1"/>
  <c r="D833" i="1" l="1"/>
  <c r="B750" i="1"/>
  <c r="E749" i="1"/>
  <c r="D834" i="1" l="1"/>
  <c r="B751" i="1"/>
  <c r="E750" i="1"/>
  <c r="D835" i="1" l="1"/>
  <c r="B752" i="1"/>
  <c r="E751" i="1"/>
  <c r="D836" i="1" l="1"/>
  <c r="B753" i="1"/>
  <c r="E752" i="1"/>
  <c r="B754" i="1" l="1"/>
  <c r="E753" i="1"/>
  <c r="D837" i="1"/>
  <c r="B755" i="1" l="1"/>
  <c r="E754" i="1"/>
  <c r="D838" i="1"/>
  <c r="D839" i="1" l="1"/>
  <c r="B756" i="1"/>
  <c r="E755" i="1"/>
  <c r="B757" i="1" l="1"/>
  <c r="E756" i="1"/>
  <c r="D840" i="1"/>
  <c r="B758" i="1" l="1"/>
  <c r="E757" i="1"/>
  <c r="D841" i="1"/>
  <c r="B759" i="1" l="1"/>
  <c r="E758" i="1"/>
  <c r="D842" i="1"/>
  <c r="D843" i="1" l="1"/>
  <c r="B760" i="1"/>
  <c r="E759" i="1"/>
  <c r="D844" i="1" l="1"/>
  <c r="B761" i="1"/>
  <c r="E760" i="1"/>
  <c r="D845" i="1" l="1"/>
  <c r="B762" i="1"/>
  <c r="E761" i="1"/>
  <c r="D846" i="1" l="1"/>
  <c r="B763" i="1"/>
  <c r="E762" i="1"/>
  <c r="D847" i="1" l="1"/>
  <c r="B764" i="1"/>
  <c r="E763" i="1"/>
  <c r="D848" i="1" l="1"/>
  <c r="B765" i="1"/>
  <c r="E764" i="1"/>
  <c r="D849" i="1" l="1"/>
  <c r="B766" i="1"/>
  <c r="E765" i="1"/>
  <c r="D850" i="1" l="1"/>
  <c r="B767" i="1"/>
  <c r="E766" i="1"/>
  <c r="D851" i="1" l="1"/>
  <c r="B768" i="1"/>
  <c r="E767" i="1"/>
  <c r="D852" i="1" l="1"/>
  <c r="B769" i="1"/>
  <c r="E768" i="1"/>
  <c r="D853" i="1" l="1"/>
  <c r="B770" i="1"/>
  <c r="E769" i="1"/>
  <c r="D854" i="1" l="1"/>
  <c r="B771" i="1"/>
  <c r="E770" i="1"/>
  <c r="D855" i="1" l="1"/>
  <c r="B772" i="1"/>
  <c r="E771" i="1"/>
  <c r="D856" i="1" l="1"/>
  <c r="B773" i="1"/>
  <c r="E772" i="1"/>
  <c r="D857" i="1" l="1"/>
  <c r="B774" i="1"/>
  <c r="E773" i="1"/>
  <c r="D858" i="1" l="1"/>
  <c r="B775" i="1"/>
  <c r="E774" i="1"/>
  <c r="D859" i="1" l="1"/>
  <c r="B776" i="1"/>
  <c r="E775" i="1"/>
  <c r="D860" i="1" l="1"/>
  <c r="B777" i="1"/>
  <c r="E776" i="1"/>
  <c r="D861" i="1" l="1"/>
  <c r="B778" i="1"/>
  <c r="E777" i="1"/>
  <c r="D862" i="1" l="1"/>
  <c r="B779" i="1"/>
  <c r="E778" i="1"/>
  <c r="D863" i="1" l="1"/>
  <c r="B780" i="1"/>
  <c r="E779" i="1"/>
  <c r="D864" i="1" l="1"/>
  <c r="B781" i="1"/>
  <c r="E780" i="1"/>
  <c r="B782" i="1" l="1"/>
  <c r="E781" i="1"/>
  <c r="D865" i="1"/>
  <c r="D866" i="1" l="1"/>
  <c r="B783" i="1"/>
  <c r="E782" i="1"/>
  <c r="D867" i="1" l="1"/>
  <c r="B784" i="1"/>
  <c r="E783" i="1"/>
  <c r="D868" i="1" l="1"/>
  <c r="B785" i="1"/>
  <c r="E784" i="1"/>
  <c r="D869" i="1" l="1"/>
  <c r="B786" i="1"/>
  <c r="E785" i="1"/>
  <c r="D870" i="1" l="1"/>
  <c r="B787" i="1"/>
  <c r="E786" i="1"/>
  <c r="D871" i="1" l="1"/>
  <c r="B788" i="1"/>
  <c r="E787" i="1"/>
  <c r="D872" i="1" l="1"/>
  <c r="B789" i="1"/>
  <c r="E788" i="1"/>
  <c r="D873" i="1" l="1"/>
  <c r="B790" i="1"/>
  <c r="E789" i="1"/>
  <c r="D874" i="1" l="1"/>
  <c r="B791" i="1"/>
  <c r="E790" i="1"/>
  <c r="D875" i="1" l="1"/>
  <c r="B792" i="1"/>
  <c r="E791" i="1"/>
  <c r="D876" i="1" l="1"/>
  <c r="B793" i="1"/>
  <c r="E792" i="1"/>
  <c r="D877" i="1" l="1"/>
  <c r="B794" i="1"/>
  <c r="E793" i="1"/>
  <c r="D878" i="1" l="1"/>
  <c r="B795" i="1"/>
  <c r="E794" i="1"/>
  <c r="D879" i="1" l="1"/>
  <c r="B796" i="1"/>
  <c r="E795" i="1"/>
  <c r="D880" i="1" l="1"/>
  <c r="B797" i="1"/>
  <c r="E796" i="1"/>
  <c r="D881" i="1" l="1"/>
  <c r="B798" i="1"/>
  <c r="E797" i="1"/>
  <c r="D882" i="1" l="1"/>
  <c r="B799" i="1"/>
  <c r="E798" i="1"/>
  <c r="D883" i="1" l="1"/>
  <c r="B800" i="1"/>
  <c r="E799" i="1"/>
  <c r="D884" i="1" l="1"/>
  <c r="B801" i="1"/>
  <c r="E800" i="1"/>
  <c r="D885" i="1" l="1"/>
  <c r="B802" i="1"/>
  <c r="E801" i="1"/>
  <c r="B803" i="1" l="1"/>
  <c r="E802" i="1"/>
  <c r="D886" i="1"/>
  <c r="B804" i="1" l="1"/>
  <c r="E803" i="1"/>
  <c r="D887" i="1"/>
  <c r="D888" i="1" l="1"/>
  <c r="B805" i="1"/>
  <c r="E804" i="1"/>
  <c r="D889" i="1" l="1"/>
  <c r="B806" i="1"/>
  <c r="E805" i="1"/>
  <c r="D890" i="1" l="1"/>
  <c r="B807" i="1"/>
  <c r="E806" i="1"/>
  <c r="D891" i="1" l="1"/>
  <c r="B808" i="1"/>
  <c r="E807" i="1"/>
  <c r="D892" i="1" l="1"/>
  <c r="B809" i="1"/>
  <c r="E808" i="1"/>
  <c r="D893" i="1" l="1"/>
  <c r="B810" i="1"/>
  <c r="E809" i="1"/>
  <c r="D894" i="1" l="1"/>
  <c r="B811" i="1"/>
  <c r="E810" i="1"/>
  <c r="B812" i="1" l="1"/>
  <c r="E811" i="1"/>
  <c r="D895" i="1"/>
  <c r="D896" i="1" l="1"/>
  <c r="B813" i="1"/>
  <c r="E812" i="1"/>
  <c r="D897" i="1" l="1"/>
  <c r="B814" i="1"/>
  <c r="E813" i="1"/>
  <c r="D898" i="1" l="1"/>
  <c r="B815" i="1"/>
  <c r="E814" i="1"/>
  <c r="D899" i="1" l="1"/>
  <c r="B816" i="1"/>
  <c r="E815" i="1"/>
  <c r="D900" i="1" l="1"/>
  <c r="B817" i="1"/>
  <c r="E816" i="1"/>
  <c r="D901" i="1" l="1"/>
  <c r="B818" i="1"/>
  <c r="E817" i="1"/>
  <c r="D902" i="1" l="1"/>
  <c r="B819" i="1"/>
  <c r="E818" i="1"/>
  <c r="D903" i="1" l="1"/>
  <c r="B820" i="1"/>
  <c r="E819" i="1"/>
  <c r="D904" i="1" l="1"/>
  <c r="B821" i="1"/>
  <c r="E820" i="1"/>
  <c r="D905" i="1" l="1"/>
  <c r="B822" i="1"/>
  <c r="E821" i="1"/>
  <c r="D906" i="1" l="1"/>
  <c r="B823" i="1"/>
  <c r="E822" i="1"/>
  <c r="D907" i="1" l="1"/>
  <c r="B824" i="1"/>
  <c r="E823" i="1"/>
  <c r="D908" i="1" l="1"/>
  <c r="B825" i="1"/>
  <c r="E824" i="1"/>
  <c r="D909" i="1" l="1"/>
  <c r="B826" i="1"/>
  <c r="E825" i="1"/>
  <c r="D910" i="1" l="1"/>
  <c r="B827" i="1"/>
  <c r="E826" i="1"/>
  <c r="D911" i="1" l="1"/>
  <c r="B828" i="1"/>
  <c r="E827" i="1"/>
  <c r="D912" i="1" l="1"/>
  <c r="B829" i="1"/>
  <c r="E828" i="1"/>
  <c r="D913" i="1" l="1"/>
  <c r="B830" i="1"/>
  <c r="E829" i="1"/>
  <c r="D914" i="1" l="1"/>
  <c r="B831" i="1"/>
  <c r="E830" i="1"/>
  <c r="D915" i="1" l="1"/>
  <c r="B832" i="1"/>
  <c r="E831" i="1"/>
  <c r="D916" i="1" l="1"/>
  <c r="B833" i="1"/>
  <c r="E832" i="1"/>
  <c r="B834" i="1" l="1"/>
  <c r="E833" i="1"/>
  <c r="D917" i="1"/>
  <c r="D918" i="1" l="1"/>
  <c r="B835" i="1"/>
  <c r="E834" i="1"/>
  <c r="D919" i="1" l="1"/>
  <c r="B836" i="1"/>
  <c r="E835" i="1"/>
  <c r="B837" i="1" l="1"/>
  <c r="E836" i="1"/>
  <c r="D920" i="1"/>
  <c r="D921" i="1" l="1"/>
  <c r="B838" i="1"/>
  <c r="E837" i="1"/>
  <c r="D922" i="1" l="1"/>
  <c r="B839" i="1"/>
  <c r="E838" i="1"/>
  <c r="D923" i="1" l="1"/>
  <c r="B840" i="1"/>
  <c r="E839" i="1"/>
  <c r="D924" i="1" l="1"/>
  <c r="B841" i="1"/>
  <c r="E840" i="1"/>
  <c r="D925" i="1" l="1"/>
  <c r="B842" i="1"/>
  <c r="E841" i="1"/>
  <c r="D926" i="1" l="1"/>
  <c r="B843" i="1"/>
  <c r="E842" i="1"/>
  <c r="D927" i="1" l="1"/>
  <c r="B844" i="1"/>
  <c r="E843" i="1"/>
  <c r="D928" i="1" l="1"/>
  <c r="B845" i="1"/>
  <c r="E844" i="1"/>
  <c r="D929" i="1" l="1"/>
  <c r="B846" i="1"/>
  <c r="E845" i="1"/>
  <c r="D930" i="1" l="1"/>
  <c r="B847" i="1"/>
  <c r="E846" i="1"/>
  <c r="D931" i="1" l="1"/>
  <c r="B848" i="1"/>
  <c r="E847" i="1"/>
  <c r="D932" i="1" l="1"/>
  <c r="B849" i="1"/>
  <c r="E848" i="1"/>
  <c r="D933" i="1" l="1"/>
  <c r="B850" i="1"/>
  <c r="E849" i="1"/>
  <c r="D934" i="1" l="1"/>
  <c r="B851" i="1"/>
  <c r="E850" i="1"/>
  <c r="D935" i="1" l="1"/>
  <c r="B852" i="1"/>
  <c r="E851" i="1"/>
  <c r="D936" i="1" l="1"/>
  <c r="B853" i="1"/>
  <c r="E852" i="1"/>
  <c r="D937" i="1" l="1"/>
  <c r="B854" i="1"/>
  <c r="E853" i="1"/>
  <c r="D938" i="1" l="1"/>
  <c r="B855" i="1"/>
  <c r="E854" i="1"/>
  <c r="D939" i="1" l="1"/>
  <c r="B856" i="1"/>
  <c r="E855" i="1"/>
  <c r="B857" i="1" l="1"/>
  <c r="E856" i="1"/>
  <c r="D940" i="1"/>
  <c r="D941" i="1" l="1"/>
  <c r="B858" i="1"/>
  <c r="E857" i="1"/>
  <c r="D942" i="1" l="1"/>
  <c r="B859" i="1"/>
  <c r="E858" i="1"/>
  <c r="D943" i="1" l="1"/>
  <c r="B860" i="1"/>
  <c r="E859" i="1"/>
  <c r="D944" i="1" l="1"/>
  <c r="B861" i="1"/>
  <c r="E860" i="1"/>
  <c r="D945" i="1" l="1"/>
  <c r="B862" i="1"/>
  <c r="E861" i="1"/>
  <c r="B863" i="1" l="1"/>
  <c r="E862" i="1"/>
  <c r="D946" i="1"/>
  <c r="B864" i="1" l="1"/>
  <c r="E863" i="1"/>
  <c r="D947" i="1"/>
  <c r="D948" i="1" l="1"/>
  <c r="B865" i="1"/>
  <c r="E864" i="1"/>
  <c r="D949" i="1" l="1"/>
  <c r="B866" i="1"/>
  <c r="E865" i="1"/>
  <c r="D950" i="1" l="1"/>
  <c r="B867" i="1"/>
  <c r="E866" i="1"/>
  <c r="D951" i="1" l="1"/>
  <c r="B868" i="1"/>
  <c r="E867" i="1"/>
  <c r="D952" i="1" l="1"/>
  <c r="B869" i="1"/>
  <c r="E868" i="1"/>
  <c r="D953" i="1" l="1"/>
  <c r="B870" i="1"/>
  <c r="E869" i="1"/>
  <c r="D954" i="1" l="1"/>
  <c r="B871" i="1"/>
  <c r="E870" i="1"/>
  <c r="D955" i="1" l="1"/>
  <c r="B872" i="1"/>
  <c r="E871" i="1"/>
  <c r="D956" i="1" l="1"/>
  <c r="B873" i="1"/>
  <c r="E872" i="1"/>
  <c r="D957" i="1" l="1"/>
  <c r="B874" i="1"/>
  <c r="E873" i="1"/>
  <c r="D958" i="1" l="1"/>
  <c r="B875" i="1"/>
  <c r="E874" i="1"/>
  <c r="D959" i="1" l="1"/>
  <c r="B876" i="1"/>
  <c r="E875" i="1"/>
  <c r="D960" i="1" l="1"/>
  <c r="B877" i="1"/>
  <c r="E876" i="1"/>
  <c r="D961" i="1" l="1"/>
  <c r="B878" i="1"/>
  <c r="E877" i="1"/>
  <c r="D962" i="1" l="1"/>
  <c r="B879" i="1"/>
  <c r="E878" i="1"/>
  <c r="B880" i="1" l="1"/>
  <c r="E879" i="1"/>
  <c r="D963" i="1"/>
  <c r="D964" i="1" l="1"/>
  <c r="B881" i="1"/>
  <c r="E880" i="1"/>
  <c r="D965" i="1" l="1"/>
  <c r="B882" i="1"/>
  <c r="E881" i="1"/>
  <c r="D966" i="1" l="1"/>
  <c r="B883" i="1"/>
  <c r="E882" i="1"/>
  <c r="D967" i="1" l="1"/>
  <c r="B884" i="1"/>
  <c r="E883" i="1"/>
  <c r="D968" i="1" l="1"/>
  <c r="B885" i="1"/>
  <c r="E884" i="1"/>
  <c r="D969" i="1" l="1"/>
  <c r="B886" i="1"/>
  <c r="E885" i="1"/>
  <c r="D970" i="1" l="1"/>
  <c r="B887" i="1"/>
  <c r="E886" i="1"/>
  <c r="D971" i="1" l="1"/>
  <c r="B888" i="1"/>
  <c r="E887" i="1"/>
  <c r="D972" i="1" l="1"/>
  <c r="B889" i="1"/>
  <c r="E888" i="1"/>
  <c r="D973" i="1" l="1"/>
  <c r="B890" i="1"/>
  <c r="E889" i="1"/>
  <c r="D974" i="1" l="1"/>
  <c r="B891" i="1"/>
  <c r="E890" i="1"/>
  <c r="D975" i="1" l="1"/>
  <c r="B892" i="1"/>
  <c r="E891" i="1"/>
  <c r="D976" i="1" l="1"/>
  <c r="B893" i="1"/>
  <c r="E892" i="1"/>
  <c r="D977" i="1" l="1"/>
  <c r="B894" i="1"/>
  <c r="E893" i="1"/>
  <c r="D978" i="1" l="1"/>
  <c r="B895" i="1"/>
  <c r="E894" i="1"/>
  <c r="D979" i="1" l="1"/>
  <c r="B896" i="1"/>
  <c r="E895" i="1"/>
  <c r="D980" i="1" l="1"/>
  <c r="B897" i="1"/>
  <c r="E896" i="1"/>
  <c r="B898" i="1" l="1"/>
  <c r="E897" i="1"/>
  <c r="D981" i="1"/>
  <c r="D982" i="1" l="1"/>
  <c r="B899" i="1"/>
  <c r="E898" i="1"/>
  <c r="D983" i="1" l="1"/>
  <c r="B900" i="1"/>
  <c r="E899" i="1"/>
  <c r="D984" i="1" l="1"/>
  <c r="B901" i="1"/>
  <c r="E900" i="1"/>
  <c r="D985" i="1" l="1"/>
  <c r="B902" i="1"/>
  <c r="E901" i="1"/>
  <c r="D986" i="1" l="1"/>
  <c r="B903" i="1"/>
  <c r="E902" i="1"/>
  <c r="B904" i="1" l="1"/>
  <c r="E903" i="1"/>
  <c r="D987" i="1"/>
  <c r="D988" i="1" l="1"/>
  <c r="B905" i="1"/>
  <c r="E904" i="1"/>
  <c r="D989" i="1" l="1"/>
  <c r="B906" i="1"/>
  <c r="E905" i="1"/>
  <c r="D990" i="1" l="1"/>
  <c r="B907" i="1"/>
  <c r="E906" i="1"/>
  <c r="D991" i="1" l="1"/>
  <c r="B908" i="1"/>
  <c r="E907" i="1"/>
  <c r="D992" i="1" l="1"/>
  <c r="B909" i="1"/>
  <c r="E908" i="1"/>
  <c r="D993" i="1" l="1"/>
  <c r="B910" i="1"/>
  <c r="E909" i="1"/>
  <c r="D994" i="1" l="1"/>
  <c r="B911" i="1"/>
  <c r="E910" i="1"/>
  <c r="D995" i="1" l="1"/>
  <c r="B912" i="1"/>
  <c r="E911" i="1"/>
  <c r="D996" i="1" l="1"/>
  <c r="B913" i="1"/>
  <c r="E912" i="1"/>
  <c r="D997" i="1" l="1"/>
  <c r="B914" i="1"/>
  <c r="E913" i="1"/>
  <c r="D998" i="1" l="1"/>
  <c r="B915" i="1"/>
  <c r="E914" i="1"/>
  <c r="D999" i="1" l="1"/>
  <c r="B916" i="1"/>
  <c r="E915" i="1"/>
  <c r="D1000" i="1" l="1"/>
  <c r="B917" i="1"/>
  <c r="E916" i="1"/>
  <c r="D1001" i="1" l="1"/>
  <c r="B918" i="1"/>
  <c r="E917" i="1"/>
  <c r="D1002" i="1" l="1"/>
  <c r="B919" i="1"/>
  <c r="E918" i="1"/>
  <c r="D1003" i="1" l="1"/>
  <c r="B920" i="1"/>
  <c r="E919" i="1"/>
  <c r="D1004" i="1" l="1"/>
  <c r="B921" i="1"/>
  <c r="E920" i="1"/>
  <c r="D1005" i="1" l="1"/>
  <c r="B922" i="1"/>
  <c r="E921" i="1"/>
  <c r="D1006" i="1" l="1"/>
  <c r="B923" i="1"/>
  <c r="E922" i="1"/>
  <c r="D1007" i="1" l="1"/>
  <c r="B924" i="1"/>
  <c r="E923" i="1"/>
  <c r="D1008" i="1" l="1"/>
  <c r="B925" i="1"/>
  <c r="E924" i="1"/>
  <c r="D1009" i="1" l="1"/>
  <c r="B926" i="1"/>
  <c r="E925" i="1"/>
  <c r="D1010" i="1" l="1"/>
  <c r="B927" i="1"/>
  <c r="E926" i="1"/>
  <c r="D1011" i="1" l="1"/>
  <c r="B928" i="1"/>
  <c r="E927" i="1"/>
  <c r="D1012" i="1" l="1"/>
  <c r="B929" i="1"/>
  <c r="E928" i="1"/>
  <c r="D1013" i="1" l="1"/>
  <c r="B930" i="1"/>
  <c r="E929" i="1"/>
  <c r="D1014" i="1" l="1"/>
  <c r="B931" i="1"/>
  <c r="E930" i="1"/>
  <c r="D1015" i="1" l="1"/>
  <c r="B932" i="1"/>
  <c r="E931" i="1"/>
  <c r="D1016" i="1" l="1"/>
  <c r="B933" i="1"/>
  <c r="E932" i="1"/>
  <c r="D1017" i="1" l="1"/>
  <c r="B934" i="1"/>
  <c r="E933" i="1"/>
  <c r="D1018" i="1" l="1"/>
  <c r="B935" i="1"/>
  <c r="E934" i="1"/>
  <c r="D1019" i="1" l="1"/>
  <c r="B936" i="1"/>
  <c r="E935" i="1"/>
  <c r="D1020" i="1" l="1"/>
  <c r="B937" i="1"/>
  <c r="E936" i="1"/>
  <c r="D1021" i="1" l="1"/>
  <c r="B938" i="1"/>
  <c r="E937" i="1"/>
  <c r="D1022" i="1" l="1"/>
  <c r="B939" i="1"/>
  <c r="E938" i="1"/>
  <c r="D1023" i="1" l="1"/>
  <c r="B940" i="1"/>
  <c r="E939" i="1"/>
  <c r="D1024" i="1" l="1"/>
  <c r="B941" i="1"/>
  <c r="E940" i="1"/>
  <c r="D1025" i="1" l="1"/>
  <c r="B942" i="1"/>
  <c r="E941" i="1"/>
  <c r="D1026" i="1" l="1"/>
  <c r="B943" i="1"/>
  <c r="E942" i="1"/>
  <c r="D1027" i="1" l="1"/>
  <c r="B944" i="1"/>
  <c r="E943" i="1"/>
  <c r="D1028" i="1" l="1"/>
  <c r="B945" i="1"/>
  <c r="E944" i="1"/>
  <c r="D1029" i="1" l="1"/>
  <c r="B946" i="1"/>
  <c r="E945" i="1"/>
  <c r="D1030" i="1" l="1"/>
  <c r="B947" i="1"/>
  <c r="E946" i="1"/>
  <c r="D1031" i="1" l="1"/>
  <c r="B948" i="1"/>
  <c r="E947" i="1"/>
  <c r="D1032" i="1" l="1"/>
  <c r="B949" i="1"/>
  <c r="E948" i="1"/>
  <c r="D1033" i="1" l="1"/>
  <c r="B950" i="1"/>
  <c r="E949" i="1"/>
  <c r="D1034" i="1" l="1"/>
  <c r="B951" i="1"/>
  <c r="E950" i="1"/>
  <c r="D1035" i="1" l="1"/>
  <c r="B952" i="1"/>
  <c r="E951" i="1"/>
  <c r="D1036" i="1" l="1"/>
  <c r="B953" i="1"/>
  <c r="E952" i="1"/>
  <c r="D1037" i="1" l="1"/>
  <c r="B954" i="1"/>
  <c r="E953" i="1"/>
  <c r="D1038" i="1" l="1"/>
  <c r="B955" i="1"/>
  <c r="E954" i="1"/>
  <c r="D1039" i="1" l="1"/>
  <c r="B956" i="1"/>
  <c r="E955" i="1"/>
  <c r="D1040" i="1" l="1"/>
  <c r="B957" i="1"/>
  <c r="E956" i="1"/>
  <c r="D1041" i="1" l="1"/>
  <c r="B958" i="1"/>
  <c r="E957" i="1"/>
  <c r="D1042" i="1" l="1"/>
  <c r="B959" i="1"/>
  <c r="E958" i="1"/>
  <c r="D1043" i="1" l="1"/>
  <c r="B960" i="1"/>
  <c r="E959" i="1"/>
  <c r="D1044" i="1" l="1"/>
  <c r="B961" i="1"/>
  <c r="E960" i="1"/>
  <c r="D1045" i="1" l="1"/>
  <c r="B962" i="1"/>
  <c r="E961" i="1"/>
  <c r="D1046" i="1" l="1"/>
  <c r="B963" i="1"/>
  <c r="E962" i="1"/>
  <c r="D1047" i="1" l="1"/>
  <c r="B964" i="1"/>
  <c r="E963" i="1"/>
  <c r="D1048" i="1" l="1"/>
  <c r="B965" i="1"/>
  <c r="E964" i="1"/>
  <c r="D1049" i="1" l="1"/>
  <c r="B966" i="1"/>
  <c r="E965" i="1"/>
  <c r="D1050" i="1" l="1"/>
  <c r="B967" i="1"/>
  <c r="E966" i="1"/>
  <c r="D1051" i="1" l="1"/>
  <c r="B968" i="1"/>
  <c r="E967" i="1"/>
  <c r="D1052" i="1" l="1"/>
  <c r="B969" i="1"/>
  <c r="E968" i="1"/>
  <c r="D1053" i="1" l="1"/>
  <c r="B970" i="1"/>
  <c r="E969" i="1"/>
  <c r="D1054" i="1" l="1"/>
  <c r="B971" i="1"/>
  <c r="E970" i="1"/>
  <c r="D1055" i="1" l="1"/>
  <c r="B972" i="1"/>
  <c r="E971" i="1"/>
  <c r="D1056" i="1" l="1"/>
  <c r="B973" i="1"/>
  <c r="E972" i="1"/>
  <c r="D1057" i="1" l="1"/>
  <c r="B974" i="1"/>
  <c r="E973" i="1"/>
  <c r="D1058" i="1" l="1"/>
  <c r="B975" i="1"/>
  <c r="E974" i="1"/>
  <c r="D1059" i="1" l="1"/>
  <c r="B976" i="1"/>
  <c r="E975" i="1"/>
  <c r="D1060" i="1" l="1"/>
  <c r="B977" i="1"/>
  <c r="E976" i="1"/>
  <c r="B978" i="1" l="1"/>
  <c r="E977" i="1"/>
  <c r="D1061" i="1"/>
  <c r="D1062" i="1" l="1"/>
  <c r="B979" i="1"/>
  <c r="E978" i="1"/>
  <c r="D1063" i="1" l="1"/>
  <c r="B980" i="1"/>
  <c r="E979" i="1"/>
  <c r="D1064" i="1" l="1"/>
  <c r="B981" i="1"/>
  <c r="E980" i="1"/>
  <c r="D1065" i="1" l="1"/>
  <c r="D1066" i="1" s="1"/>
  <c r="D1067" i="1" s="1"/>
  <c r="D1068" i="1" s="1"/>
  <c r="D1069" i="1" s="1"/>
  <c r="D1070" i="1" s="1"/>
  <c r="D1071" i="1" s="1"/>
  <c r="D1072" i="1" s="1"/>
  <c r="D1073" i="1" s="1"/>
  <c r="D1074" i="1" s="1"/>
  <c r="D1075" i="1" s="1"/>
  <c r="D1076" i="1" s="1"/>
  <c r="D1077" i="1" s="1"/>
  <c r="D1078" i="1" s="1"/>
  <c r="D1079" i="1" s="1"/>
  <c r="D1080" i="1" s="1"/>
  <c r="D1081" i="1" s="1"/>
  <c r="D1082" i="1" s="1"/>
  <c r="D1083" i="1" s="1"/>
  <c r="D1084" i="1" s="1"/>
  <c r="D1085" i="1" s="1"/>
  <c r="D1086" i="1" s="1"/>
  <c r="D1087" i="1" s="1"/>
  <c r="D1088" i="1" s="1"/>
  <c r="D1089" i="1" s="1"/>
  <c r="D1090" i="1" s="1"/>
  <c r="D1091" i="1" s="1"/>
  <c r="D1092" i="1" s="1"/>
  <c r="D1093" i="1" s="1"/>
  <c r="D1094" i="1" s="1"/>
  <c r="D1095" i="1" s="1"/>
  <c r="D1096" i="1" s="1"/>
  <c r="D1097" i="1" s="1"/>
  <c r="D1098" i="1" s="1"/>
  <c r="D1099" i="1" s="1"/>
  <c r="D1100" i="1" s="1"/>
  <c r="D1101" i="1" s="1"/>
  <c r="D1102" i="1" s="1"/>
  <c r="D1103" i="1" s="1"/>
  <c r="D1104" i="1" s="1"/>
  <c r="D1105" i="1" s="1"/>
  <c r="D1106" i="1" s="1"/>
  <c r="D1107" i="1" s="1"/>
  <c r="D1108" i="1" s="1"/>
  <c r="D1109" i="1" s="1"/>
  <c r="D1110" i="1" s="1"/>
  <c r="D1111" i="1" s="1"/>
  <c r="D1112" i="1" s="1"/>
  <c r="D1113" i="1" s="1"/>
  <c r="D1114" i="1" s="1"/>
  <c r="D1115" i="1" s="1"/>
  <c r="D1116" i="1" s="1"/>
  <c r="D1117" i="1" s="1"/>
  <c r="D1118" i="1" s="1"/>
  <c r="D1119" i="1" s="1"/>
  <c r="D1120" i="1" s="1"/>
  <c r="D1121" i="1" s="1"/>
  <c r="D1122" i="1" s="1"/>
  <c r="D1123" i="1" s="1"/>
  <c r="D1124" i="1" s="1"/>
  <c r="D1125" i="1" s="1"/>
  <c r="D1126" i="1" s="1"/>
  <c r="D1127" i="1" s="1"/>
  <c r="D1128" i="1" s="1"/>
  <c r="D1129" i="1" s="1"/>
  <c r="D1130" i="1" s="1"/>
  <c r="D1131" i="1" s="1"/>
  <c r="D1132" i="1" s="1"/>
  <c r="D1133" i="1" s="1"/>
  <c r="D1134" i="1" s="1"/>
  <c r="D1135" i="1" s="1"/>
  <c r="D1136" i="1" s="1"/>
  <c r="D1137" i="1" s="1"/>
  <c r="D1138" i="1" s="1"/>
  <c r="D1139" i="1" s="1"/>
  <c r="D1140" i="1" s="1"/>
  <c r="D1141" i="1" s="1"/>
  <c r="D1142" i="1" s="1"/>
  <c r="D1143" i="1" s="1"/>
  <c r="D1144" i="1" s="1"/>
  <c r="D1145" i="1" s="1"/>
  <c r="D1146" i="1" s="1"/>
  <c r="D1147" i="1" s="1"/>
  <c r="D1148" i="1" s="1"/>
  <c r="D1149" i="1" s="1"/>
  <c r="D1150" i="1" s="1"/>
  <c r="D1151" i="1" s="1"/>
  <c r="D1152" i="1" s="1"/>
  <c r="B982" i="1"/>
  <c r="E981" i="1"/>
  <c r="B983" i="1" l="1"/>
  <c r="E982" i="1"/>
  <c r="B984" i="1" l="1"/>
  <c r="E983" i="1"/>
  <c r="B985" i="1" l="1"/>
  <c r="E984" i="1"/>
  <c r="B986" i="1" l="1"/>
  <c r="E985" i="1"/>
  <c r="B987" i="1" l="1"/>
  <c r="E986" i="1"/>
  <c r="B988" i="1" l="1"/>
  <c r="E987" i="1"/>
  <c r="B989" i="1" l="1"/>
  <c r="E988" i="1"/>
  <c r="B990" i="1" l="1"/>
  <c r="E989" i="1"/>
  <c r="B991" i="1" l="1"/>
  <c r="E990" i="1"/>
  <c r="B992" i="1" l="1"/>
  <c r="E991" i="1"/>
  <c r="B993" i="1" l="1"/>
  <c r="E992" i="1"/>
  <c r="B994" i="1" l="1"/>
  <c r="E993" i="1"/>
  <c r="B995" i="1" l="1"/>
  <c r="E994" i="1"/>
  <c r="B996" i="1" l="1"/>
  <c r="E995" i="1"/>
  <c r="B997" i="1" l="1"/>
  <c r="E996" i="1"/>
  <c r="B998" i="1" l="1"/>
  <c r="E997" i="1"/>
  <c r="B999" i="1" l="1"/>
  <c r="E998" i="1"/>
  <c r="B1000" i="1" l="1"/>
  <c r="E999" i="1"/>
  <c r="B1001" i="1" l="1"/>
  <c r="E1000" i="1"/>
  <c r="B1002" i="1" l="1"/>
  <c r="E1001" i="1"/>
  <c r="B1003" i="1" l="1"/>
  <c r="E1002" i="1"/>
  <c r="B1004" i="1" l="1"/>
  <c r="E1003" i="1"/>
  <c r="B1005" i="1" l="1"/>
  <c r="E1004" i="1"/>
  <c r="B1006" i="1" l="1"/>
  <c r="E1005" i="1"/>
  <c r="B1007" i="1" l="1"/>
  <c r="E1006" i="1"/>
  <c r="B1008" i="1" l="1"/>
  <c r="E1007" i="1"/>
  <c r="B1009" i="1" l="1"/>
  <c r="E1008" i="1"/>
  <c r="B1010" i="1" l="1"/>
  <c r="E1009" i="1"/>
  <c r="B1011" i="1" l="1"/>
  <c r="E1010" i="1"/>
  <c r="B1012" i="1" l="1"/>
  <c r="E1011" i="1"/>
  <c r="B1013" i="1" l="1"/>
  <c r="E1012" i="1"/>
  <c r="B1014" i="1" l="1"/>
  <c r="E1013" i="1"/>
  <c r="B1015" i="1" l="1"/>
  <c r="E1014" i="1"/>
  <c r="B1016" i="1" l="1"/>
  <c r="E1015" i="1"/>
  <c r="B1017" i="1" l="1"/>
  <c r="E1016" i="1"/>
  <c r="B1018" i="1" l="1"/>
  <c r="E1017" i="1"/>
  <c r="B1019" i="1" l="1"/>
  <c r="E1018" i="1"/>
  <c r="B1020" i="1" l="1"/>
  <c r="E1019" i="1"/>
  <c r="B1021" i="1" l="1"/>
  <c r="E1020" i="1"/>
  <c r="B1022" i="1" l="1"/>
  <c r="E1021" i="1"/>
  <c r="B1023" i="1" l="1"/>
  <c r="E1022" i="1"/>
  <c r="B1024" i="1" l="1"/>
  <c r="E1023" i="1"/>
  <c r="B1025" i="1" l="1"/>
  <c r="E1024" i="1"/>
  <c r="B1026" i="1" l="1"/>
  <c r="E1025" i="1"/>
  <c r="B1027" i="1" l="1"/>
  <c r="E1026" i="1"/>
  <c r="B1028" i="1" l="1"/>
  <c r="E1027" i="1"/>
  <c r="B1029" i="1" l="1"/>
  <c r="E1028" i="1"/>
  <c r="B1030" i="1" l="1"/>
  <c r="E1029" i="1"/>
  <c r="B1031" i="1" l="1"/>
  <c r="E1030" i="1"/>
  <c r="B1032" i="1" l="1"/>
  <c r="E1031" i="1"/>
  <c r="B1033" i="1" l="1"/>
  <c r="E1032" i="1"/>
  <c r="B1034" i="1" l="1"/>
  <c r="E1033" i="1"/>
  <c r="B1035" i="1" l="1"/>
  <c r="E1034" i="1"/>
  <c r="B1036" i="1" l="1"/>
  <c r="E1035" i="1"/>
  <c r="B1037" i="1" l="1"/>
  <c r="E1036" i="1"/>
  <c r="B1038" i="1" l="1"/>
  <c r="E1037" i="1"/>
  <c r="B1039" i="1" l="1"/>
  <c r="E1038" i="1"/>
  <c r="B1040" i="1" l="1"/>
  <c r="E1039" i="1"/>
  <c r="B1041" i="1" l="1"/>
  <c r="E1040" i="1"/>
  <c r="B1042" i="1" l="1"/>
  <c r="E1041" i="1"/>
  <c r="B1043" i="1" l="1"/>
  <c r="E1042" i="1"/>
  <c r="B1044" i="1" l="1"/>
  <c r="E1043" i="1"/>
  <c r="B1045" i="1" l="1"/>
  <c r="E1044" i="1"/>
  <c r="B1046" i="1" l="1"/>
  <c r="E1045" i="1"/>
  <c r="B1047" i="1" l="1"/>
  <c r="E1046" i="1"/>
  <c r="B1048" i="1" l="1"/>
  <c r="E1047" i="1"/>
  <c r="B1049" i="1" l="1"/>
  <c r="E1048" i="1"/>
  <c r="B1050" i="1" l="1"/>
  <c r="E1049" i="1"/>
  <c r="B1051" i="1" l="1"/>
  <c r="E1050" i="1"/>
  <c r="B1052" i="1" l="1"/>
  <c r="E1051" i="1"/>
  <c r="B1053" i="1" l="1"/>
  <c r="E1052" i="1"/>
  <c r="B1054" i="1" l="1"/>
  <c r="E1053" i="1"/>
  <c r="B1055" i="1" l="1"/>
  <c r="E1054" i="1"/>
  <c r="B1056" i="1" l="1"/>
  <c r="E1055" i="1"/>
  <c r="B1057" i="1" l="1"/>
  <c r="E1056" i="1"/>
  <c r="B1058" i="1" l="1"/>
  <c r="E1057" i="1"/>
  <c r="B1059" i="1" l="1"/>
  <c r="E1058" i="1"/>
  <c r="B1060" i="1" l="1"/>
  <c r="E1059" i="1"/>
  <c r="B1061" i="1" l="1"/>
  <c r="E1060" i="1"/>
  <c r="B1062" i="1" l="1"/>
  <c r="E1061" i="1"/>
  <c r="B1063" i="1" l="1"/>
  <c r="E1062" i="1"/>
  <c r="B1064" i="1" l="1"/>
  <c r="E1063" i="1"/>
  <c r="B1065" i="1" l="1"/>
  <c r="E1064" i="1"/>
  <c r="B1066" i="1" l="1"/>
  <c r="E1066" i="1" s="1"/>
  <c r="E1065" i="1"/>
  <c r="C23" i="2" l="1"/>
  <c r="D18" i="2"/>
  <c r="C18" i="2"/>
  <c r="A19" i="2"/>
  <c r="B18" i="2"/>
  <c r="A18" i="2"/>
  <c r="B19" i="2"/>
  <c r="C19" i="2"/>
  <c r="D19" i="2"/>
  <c r="C20" i="2"/>
  <c r="B20" i="2"/>
  <c r="C21" i="2"/>
  <c r="A21" i="2"/>
  <c r="D21" i="2"/>
  <c r="A20" i="2"/>
  <c r="D20" i="2"/>
  <c r="B21" i="2"/>
  <c r="B22" i="2"/>
  <c r="D22" i="2"/>
  <c r="A22" i="2"/>
  <c r="C22" i="2"/>
  <c r="A24" i="2"/>
  <c r="D29" i="2"/>
  <c r="D26" i="2"/>
  <c r="C30" i="2"/>
  <c r="B24" i="2"/>
  <c r="D27" i="2"/>
  <c r="A37" i="2"/>
  <c r="C36" i="2"/>
  <c r="C32" i="2"/>
  <c r="D33" i="2"/>
  <c r="C24" i="2"/>
  <c r="C31" i="2"/>
  <c r="B36" i="2"/>
  <c r="A34" i="2"/>
  <c r="D30" i="2"/>
  <c r="A25" i="2"/>
  <c r="B23" i="2"/>
  <c r="A32" i="2"/>
  <c r="A26" i="2"/>
  <c r="A27" i="2"/>
  <c r="C25" i="2"/>
  <c r="C37" i="2"/>
  <c r="D31" i="2"/>
  <c r="B35" i="2"/>
  <c r="A31" i="2"/>
  <c r="B37" i="2"/>
  <c r="A33" i="2"/>
  <c r="B33" i="2"/>
  <c r="D25" i="2"/>
  <c r="D37" i="2"/>
  <c r="C29" i="2"/>
  <c r="B32" i="2"/>
  <c r="A30" i="2"/>
  <c r="B30" i="2"/>
  <c r="C38" i="2"/>
  <c r="D32" i="2"/>
  <c r="A38" i="2"/>
  <c r="D38" i="2"/>
  <c r="C27" i="2"/>
  <c r="A23" i="2"/>
  <c r="D35" i="2"/>
  <c r="B31" i="2"/>
  <c r="B25" i="2"/>
  <c r="D24" i="2"/>
  <c r="D28" i="2"/>
  <c r="A36" i="2"/>
  <c r="D36" i="2"/>
  <c r="D23" i="2"/>
  <c r="C33" i="2"/>
  <c r="B34" i="2"/>
  <c r="C34" i="2"/>
  <c r="C35" i="2"/>
  <c r="D34" i="2"/>
  <c r="C28" i="2"/>
  <c r="C26" i="2"/>
  <c r="B38" i="2"/>
  <c r="B26" i="2"/>
  <c r="B28" i="2"/>
  <c r="E24" i="2" l="1"/>
  <c r="E32" i="2"/>
  <c r="E19" i="2"/>
  <c r="E18" i="2"/>
  <c r="E25" i="2"/>
  <c r="E37" i="2"/>
  <c r="E20" i="2"/>
  <c r="E34" i="2"/>
  <c r="E21" i="2"/>
  <c r="E22" i="2"/>
  <c r="E23" i="2"/>
  <c r="E36" i="2"/>
  <c r="E38" i="2"/>
  <c r="E31" i="2"/>
  <c r="E30" i="2"/>
  <c r="E35" i="2"/>
  <c r="E33" i="2"/>
  <c r="E27" i="2"/>
  <c r="E29" i="2"/>
  <c r="E28" i="2"/>
  <c r="B11" i="2"/>
  <c r="D17" i="2"/>
  <c r="E17" i="2" s="1"/>
  <c r="E26" i="2"/>
  <c r="E42" i="2" l="1"/>
</calcChain>
</file>

<file path=xl/sharedStrings.xml><?xml version="1.0" encoding="utf-8"?>
<sst xmlns="http://schemas.openxmlformats.org/spreadsheetml/2006/main" count="1500" uniqueCount="789">
  <si>
    <t>Fecha</t>
  </si>
  <si>
    <t>Diagnóstico</t>
  </si>
  <si>
    <t>Repuesto</t>
  </si>
  <si>
    <t>MO</t>
  </si>
  <si>
    <t>MO tiempo</t>
  </si>
  <si>
    <t>MO precio</t>
  </si>
  <si>
    <t>% ganancia</t>
  </si>
  <si>
    <t>Precio repuesto</t>
  </si>
  <si>
    <t>Comisionista</t>
  </si>
  <si>
    <t>Vehículo</t>
  </si>
  <si>
    <t>Producto/servicio</t>
  </si>
  <si>
    <t>Cantidad</t>
  </si>
  <si>
    <t>Precio Unit.</t>
  </si>
  <si>
    <t>Importe</t>
  </si>
  <si>
    <t>Nro comp.</t>
  </si>
  <si>
    <t>Código</t>
  </si>
  <si>
    <t>MO Acumulado</t>
  </si>
  <si>
    <t>contador</t>
  </si>
  <si>
    <t>Fecha:</t>
  </si>
  <si>
    <t>TOTAL</t>
  </si>
  <si>
    <t>CÓDIGO</t>
  </si>
  <si>
    <t>DESCRIPCIÓN</t>
  </si>
  <si>
    <t>ALINEACION Y BALANCEO</t>
  </si>
  <si>
    <t>SERVICE</t>
  </si>
  <si>
    <t>PRESUPUESTOS</t>
  </si>
  <si>
    <t xml:space="preserve">TODOS LOS REPUESTOS </t>
  </si>
  <si>
    <t>PORCENTAJES DE REFERENCIA</t>
  </si>
  <si>
    <t>REPUESTO</t>
  </si>
  <si>
    <t>%</t>
  </si>
  <si>
    <t>Total</t>
  </si>
  <si>
    <t>REFERENCIA MO</t>
  </si>
  <si>
    <t>TRABAJO</t>
  </si>
  <si>
    <t>COSTO</t>
  </si>
  <si>
    <t>HORA</t>
  </si>
  <si>
    <t>SERVICE AUTO</t>
  </si>
  <si>
    <t>SERVICE CAMIONETA</t>
  </si>
  <si>
    <t>DIAGNÓSTICO (conectar scaner)</t>
  </si>
  <si>
    <t>Cant.</t>
  </si>
  <si>
    <r>
      <rPr>
        <b/>
        <sz val="12"/>
        <color theme="1"/>
        <rFont val="Calibri"/>
        <family val="2"/>
        <scheme val="minor"/>
      </rPr>
      <t>De</t>
    </r>
    <r>
      <rPr>
        <sz val="12"/>
        <color theme="1"/>
        <rFont val="Calibri"/>
        <family val="2"/>
        <scheme val="minor"/>
      </rPr>
      <t xml:space="preserve"> Cristian Bongiovanni</t>
    </r>
  </si>
  <si>
    <r>
      <rPr>
        <b/>
        <sz val="12"/>
        <color theme="1"/>
        <rFont val="Calibri"/>
        <family val="2"/>
        <scheme val="minor"/>
      </rPr>
      <t>Domicilio</t>
    </r>
    <r>
      <rPr>
        <sz val="12"/>
        <color theme="1"/>
        <rFont val="Calibri"/>
        <family val="2"/>
        <scheme val="minor"/>
      </rPr>
      <t>: Gral. Deheza 191 (6120) Laboulaye</t>
    </r>
  </si>
  <si>
    <t>Dominio:</t>
  </si>
  <si>
    <t>Dominio</t>
  </si>
  <si>
    <t>TREN DELANTERO</t>
  </si>
  <si>
    <t>SERVICIO TERCERO</t>
  </si>
  <si>
    <t>Mano de obra</t>
  </si>
  <si>
    <t>MANO DE OBRA</t>
  </si>
  <si>
    <t>Costo</t>
  </si>
  <si>
    <t>Proveedor</t>
  </si>
  <si>
    <t>PRESUPUESTO</t>
  </si>
  <si>
    <t>Voyage</t>
  </si>
  <si>
    <t>kit distribución</t>
  </si>
  <si>
    <t>Saturnino Santa Cruz</t>
  </si>
  <si>
    <t>Filtros</t>
  </si>
  <si>
    <t>Kit distribución</t>
  </si>
  <si>
    <t>Refrigerante + Destilada</t>
  </si>
  <si>
    <t>Service y Distribución.</t>
  </si>
  <si>
    <t xml:space="preserve">Aceite motor </t>
  </si>
  <si>
    <t>OCA LOG S.A</t>
  </si>
  <si>
    <t>Ford Ranger</t>
  </si>
  <si>
    <t>Limpieza circuito refrigeración.</t>
  </si>
  <si>
    <t>Cambio refrigerante y purgado del circuito.</t>
  </si>
  <si>
    <t>Liquido desincrustante</t>
  </si>
  <si>
    <t>Liquido refrigerante + destilada</t>
  </si>
  <si>
    <t>Lavado interior del block.</t>
  </si>
  <si>
    <t>Bastianelli</t>
  </si>
  <si>
    <t>Peugeot 206</t>
  </si>
  <si>
    <t>Cambiar bomba de agua.</t>
  </si>
  <si>
    <t>Cambiar correa poliv.</t>
  </si>
  <si>
    <t>Correa poliv</t>
  </si>
  <si>
    <t>Bomba de agua</t>
  </si>
  <si>
    <t xml:space="preserve">Liquido refrigerante + </t>
  </si>
  <si>
    <t>agua destilada.</t>
  </si>
  <si>
    <t>Sacar turbo multiple de escape.</t>
  </si>
  <si>
    <t>Cambiar tapones de block lado izquierdo. Armado total.</t>
  </si>
  <si>
    <t>Moreno Orlando</t>
  </si>
  <si>
    <t>Amarok</t>
  </si>
  <si>
    <t>Cambiar kit distribución con bomba de agua.</t>
  </si>
  <si>
    <t>Kit distribución con bomba de agua.</t>
  </si>
  <si>
    <t>Polea de dirección hidráulica.</t>
  </si>
  <si>
    <t>con polea  de dirección hidraulica y correa poliv.</t>
  </si>
  <si>
    <t>Service cambio de aceite y filtros.</t>
  </si>
  <si>
    <t>Correa poliv.</t>
  </si>
  <si>
    <t>Aceite motor 5w30.</t>
  </si>
  <si>
    <t>Kit de filtros.</t>
  </si>
  <si>
    <t>Beriani Nazarena</t>
  </si>
  <si>
    <t>Kangoo</t>
  </si>
  <si>
    <t>Reparar eje trasero y engrasar</t>
  </si>
  <si>
    <t>Juego de orring eje trasero</t>
  </si>
  <si>
    <t>Polea de dirección hidraulica</t>
  </si>
  <si>
    <t>Polea de dirección hidráulica y correa poliv.</t>
  </si>
  <si>
    <t>Aceite motor 5w30</t>
  </si>
  <si>
    <t>Kit de filtros</t>
  </si>
  <si>
    <t>Martina Nilda</t>
  </si>
  <si>
    <t>Radiador de agua</t>
  </si>
  <si>
    <t>Radiador de aire acondicionado</t>
  </si>
  <si>
    <t>Electro de aire acondicionado</t>
  </si>
  <si>
    <t>Electro de radiador de agua</t>
  </si>
  <si>
    <t>refrigerante + agua destilada</t>
  </si>
  <si>
    <t>carga de aire acondicionado</t>
  </si>
  <si>
    <t>Cambiar kit de distribución.</t>
  </si>
  <si>
    <t>Calderon Daniel</t>
  </si>
  <si>
    <t>Amortiguadores delanteros</t>
  </si>
  <si>
    <t>Caño de agua</t>
  </si>
  <si>
    <t>Cambiar ambos amortiguadores.</t>
  </si>
  <si>
    <t>Cambiar caño de agua.</t>
  </si>
  <si>
    <t>Casoletas suspensión completa</t>
  </si>
  <si>
    <t>Creativity S.A.S</t>
  </si>
  <si>
    <t>Control del vehículo.</t>
  </si>
  <si>
    <t>Aceite motor 10w40</t>
  </si>
  <si>
    <t>Filtro aceite</t>
  </si>
  <si>
    <t>Filtro aire</t>
  </si>
  <si>
    <t>Filtro nafta</t>
  </si>
  <si>
    <t>Filtro pólen</t>
  </si>
  <si>
    <t>Fiorino</t>
  </si>
  <si>
    <t>Block tapón 36MM</t>
  </si>
  <si>
    <t>Junta múltiple</t>
  </si>
  <si>
    <t>Sacar radiador hacer destapar. Armado total</t>
  </si>
  <si>
    <t>Sacar termostato control del funcionamiento del mismo, armado total.</t>
  </si>
  <si>
    <t>Trasbazado líquido refrigerante, purgado del circuito de refrigeración.</t>
  </si>
  <si>
    <t>Ajustar soporte de bomba de agua en block de motor.</t>
  </si>
  <si>
    <t>Termostato</t>
  </si>
  <si>
    <t>(Va el precio del termostato por si hay que cambiarlo)</t>
  </si>
  <si>
    <t>Ventura Marcelo</t>
  </si>
  <si>
    <t>Filtro de aire</t>
  </si>
  <si>
    <t>Filtro de nafta</t>
  </si>
  <si>
    <t>Filtro de pólen</t>
  </si>
  <si>
    <t>Vento TFSI</t>
  </si>
  <si>
    <t>Chumbita Juan</t>
  </si>
  <si>
    <t>Ford Focus Sigma 1,6</t>
  </si>
  <si>
    <t>Sacar y colocar caja de velocidad.</t>
  </si>
  <si>
    <t>bomba de agua</t>
  </si>
  <si>
    <t>correas poliv</t>
  </si>
  <si>
    <t>Desarmar distribución , cambiar kit con bomba de agua y correas poliv.</t>
  </si>
  <si>
    <t>liquido refrigerante + agua destilada</t>
  </si>
  <si>
    <t>Cambiar líquido refrigerante. Puesta a punto.</t>
  </si>
  <si>
    <t>Cambiar kit de embrague completo.</t>
  </si>
  <si>
    <t>Regular convergencia. Puesta a punto.</t>
  </si>
  <si>
    <t>Armado total.</t>
  </si>
  <si>
    <t>Kit embrague con crapo hidraulic</t>
  </si>
  <si>
    <t>Salgado Victor</t>
  </si>
  <si>
    <t>Cambiar ambas cazoletas.</t>
  </si>
  <si>
    <t>Regular topes, regular convergencia.</t>
  </si>
  <si>
    <t>Fuelles</t>
  </si>
  <si>
    <t>Cazoletas sin crapodina</t>
  </si>
  <si>
    <t>Amortiguaderos delanteros</t>
  </si>
  <si>
    <t>Albarracin German</t>
  </si>
  <si>
    <t>Rotación. Control del vehículo.</t>
  </si>
  <si>
    <t>Kangoo K4M</t>
  </si>
  <si>
    <t>S10 2016</t>
  </si>
  <si>
    <t>Aceite 5w30</t>
  </si>
  <si>
    <t>Filtro polen</t>
  </si>
  <si>
    <t>Filtro combustible</t>
  </si>
  <si>
    <t>Aceite 10w40 Castrol</t>
  </si>
  <si>
    <t>Giordano Hugo</t>
  </si>
  <si>
    <t>Logan</t>
  </si>
  <si>
    <t>Manaceno Fany</t>
  </si>
  <si>
    <t>Peugeot 207</t>
  </si>
  <si>
    <t xml:space="preserve">Aceite 10w40 </t>
  </si>
  <si>
    <t>PAMI</t>
  </si>
  <si>
    <t>Ricardo Fiore</t>
  </si>
  <si>
    <t>TOYOTA</t>
  </si>
  <si>
    <t>Crapodina embrague toyota china</t>
  </si>
  <si>
    <t>Crapodina NSK Original</t>
  </si>
  <si>
    <t>Original Toyota</t>
  </si>
  <si>
    <t>Sacar caja de velocidad, placa de disco de embrague, limpieza.</t>
  </si>
  <si>
    <t>Sopletear. Armado total con crapodina nueva.</t>
  </si>
  <si>
    <t>Capelletti Lliana</t>
  </si>
  <si>
    <t>Peugeot 308 HDI</t>
  </si>
  <si>
    <t>Liquido refrigerante + agua destilada</t>
  </si>
  <si>
    <t>y correa poliv.</t>
  </si>
  <si>
    <t>Kit distribución c/ bomba</t>
  </si>
  <si>
    <t>Enrria Daniel</t>
  </si>
  <si>
    <t>Peugeot 208 3 cilindros</t>
  </si>
  <si>
    <t>Scheffer Alberto</t>
  </si>
  <si>
    <t>S10 200CB</t>
  </si>
  <si>
    <t>Correa poliv. Refrigerante.</t>
  </si>
  <si>
    <t>Liquido refrigerante + agua destilada.</t>
  </si>
  <si>
    <t>Kit distribución original</t>
  </si>
  <si>
    <t>Gonzalez Gastón</t>
  </si>
  <si>
    <t>Ford Ka</t>
  </si>
  <si>
    <t>Cambio de ambos amortiguaderos delanteros.</t>
  </si>
  <si>
    <t>Cambio de espirales con cazoletas y topes.</t>
  </si>
  <si>
    <t>Espirales</t>
  </si>
  <si>
    <t>Cazoletas</t>
  </si>
  <si>
    <t>Topes</t>
  </si>
  <si>
    <t xml:space="preserve">Regular convergencia. </t>
  </si>
  <si>
    <t>Cipolla Miren</t>
  </si>
  <si>
    <t>Gol trend</t>
  </si>
  <si>
    <t>Guevara Mario</t>
  </si>
  <si>
    <t>Gol</t>
  </si>
  <si>
    <t>Cambiar Crapodina</t>
  </si>
  <si>
    <t>Crapodina</t>
  </si>
  <si>
    <t>Pizarro Jorge</t>
  </si>
  <si>
    <t>Siena 1.4</t>
  </si>
  <si>
    <t>Control del vehículo. Armado total.</t>
  </si>
  <si>
    <t>Desarmar distribución completa con bomba y correa poliv.</t>
  </si>
  <si>
    <t xml:space="preserve">Filtro aire </t>
  </si>
  <si>
    <t>Lola Manfredi</t>
  </si>
  <si>
    <t>FORD FIESTA KINETIC</t>
  </si>
  <si>
    <t>s10</t>
  </si>
  <si>
    <t>Gutierrez Rodolfo</t>
  </si>
  <si>
    <t>OTA304</t>
  </si>
  <si>
    <t>FORD ECOSPORT</t>
  </si>
  <si>
    <t>Cambiar correa poliv y Liquido refrigerante.</t>
  </si>
  <si>
    <t>Bomba de agua.</t>
  </si>
  <si>
    <t>Líquido refrigerante</t>
  </si>
  <si>
    <t>Rosas Pitu</t>
  </si>
  <si>
    <t>Peugeot 2208</t>
  </si>
  <si>
    <t>Kit filtros</t>
  </si>
  <si>
    <t>Control general del vehículo.</t>
  </si>
  <si>
    <t>Ovando Omar</t>
  </si>
  <si>
    <t>Duster 2020</t>
  </si>
  <si>
    <t>Cambio de Liquido refrigerante.</t>
  </si>
  <si>
    <t>Cambiar kit distribución con  bomba de agua y correa poliv.</t>
  </si>
  <si>
    <t>Liquido refrigernte + agua destilada</t>
  </si>
  <si>
    <t>bujias</t>
  </si>
  <si>
    <t>Cambio de bujias</t>
  </si>
  <si>
    <t>Paola Monasterio</t>
  </si>
  <si>
    <t>Onix</t>
  </si>
  <si>
    <t>Fernandez Heber</t>
  </si>
  <si>
    <t>Chevrolet Cobal</t>
  </si>
  <si>
    <t>Cambio kit distribuciíon completo.</t>
  </si>
  <si>
    <t>Correa poly v</t>
  </si>
  <si>
    <t>Cambiar ambos precap, dirección parrilla con rótula incorporado inferior izquierdo.</t>
  </si>
  <si>
    <t>Sacar semi eje lado izquierdo. Limpieza cambiar reten salida de caja mismo lado. Trazbazado caja velocidad y cambiar retén. Armado total y alineado.</t>
  </si>
  <si>
    <t>Precap</t>
  </si>
  <si>
    <t>Parrilla</t>
  </si>
  <si>
    <t>Reten semi eje</t>
  </si>
  <si>
    <t>Kit distribución con bomba</t>
  </si>
  <si>
    <t>Issetta Eva</t>
  </si>
  <si>
    <t>Anes Jorge</t>
  </si>
  <si>
    <t>Lavado del motor. Se controlan mas de 70 puntos en el vehículo.</t>
  </si>
  <si>
    <t>Graciela Salinas</t>
  </si>
  <si>
    <t>Cambiar parrilla inferior derecha. Cambiar bolillero de rueda delantera derecha. Cambiar ambos bujes de barra estabilizadora. Alineado del tren delantero</t>
  </si>
  <si>
    <t>Parrilla inferior derecha completa (rotula)</t>
  </si>
  <si>
    <t>Bolillero rueda delantera derecha</t>
  </si>
  <si>
    <t>Bujes de barra estabilizadora</t>
  </si>
  <si>
    <t>Javier Medina</t>
  </si>
  <si>
    <t>Toyota Corolla</t>
  </si>
  <si>
    <t>Service completo del vehiculo</t>
  </si>
  <si>
    <t>Filtro de aceite</t>
  </si>
  <si>
    <t>Ines Lopez</t>
  </si>
  <si>
    <t>Peugeot 208</t>
  </si>
  <si>
    <t>Lucas</t>
  </si>
  <si>
    <t>Focus motor sigma 1.6</t>
  </si>
  <si>
    <t xml:space="preserve">Service completo del vehiculo. </t>
  </si>
  <si>
    <t xml:space="preserve">                                                                        El servicio abarca el control de mas de 70 puntos del automovil.</t>
  </si>
  <si>
    <t>Transporte Palloni</t>
  </si>
  <si>
    <t>Distribucion Master</t>
  </si>
  <si>
    <t>Chatas chicas</t>
  </si>
  <si>
    <t>Cambio de A y F Fiorino</t>
  </si>
  <si>
    <t>Cambio de A y F Kangoo</t>
  </si>
  <si>
    <t>Cambio de A y F Partner</t>
  </si>
  <si>
    <t>Distribucion 8 valvulas</t>
  </si>
  <si>
    <t>Chatas grandes</t>
  </si>
  <si>
    <t>Cambio de A y F Master</t>
  </si>
  <si>
    <t>Cambio de A y F Boxer</t>
  </si>
  <si>
    <t>Cambio de A y F Dukato</t>
  </si>
  <si>
    <t>Cambio de A y F Sprinter</t>
  </si>
  <si>
    <t>Cambio de A y F Tranci</t>
  </si>
  <si>
    <t>Distribucion 16 valvulas</t>
  </si>
  <si>
    <t>Cambio de aceite y filtros. Distribucion                                                                      Precios a Dólar Blue</t>
  </si>
  <si>
    <t>Cambio de aceite y filtros. Distribucion                                                                                    Precios a dólar Blue</t>
  </si>
  <si>
    <t>Transporte palloni</t>
  </si>
  <si>
    <t>Cambio kit de distribucion</t>
  </si>
  <si>
    <t>K4M</t>
  </si>
  <si>
    <t>Fiorino 1.4</t>
  </si>
  <si>
    <t>Fiorino 1.3</t>
  </si>
  <si>
    <t>Renault Master</t>
  </si>
  <si>
    <t>Cambio kit de filtros</t>
  </si>
  <si>
    <t>Master 2.3</t>
  </si>
  <si>
    <t>Master g9u</t>
  </si>
  <si>
    <t>Emanuel Pico</t>
  </si>
  <si>
    <t>Service completo del vehiculo.                                                                                                                                                                                                                                                                                                                              El valor del servicio abarca el control de mas de 70 puntos del automovil</t>
  </si>
  <si>
    <t>Ameri Rodrigo</t>
  </si>
  <si>
    <t>Service completo del vehiculo.                                                                                                                                                           El valor del servicio abarca el control de mas de 70 puntos del automovil</t>
  </si>
  <si>
    <t>Aceite 15w40</t>
  </si>
  <si>
    <t>Gladys Ghidela Guerrieri</t>
  </si>
  <si>
    <t>AB744KG</t>
  </si>
  <si>
    <t>Chevrolet tracker FWD LTZ</t>
  </si>
  <si>
    <t>Faro auxiliar trasero izq original</t>
  </si>
  <si>
    <t>Faro auxiliar tras. Izq. alternativo</t>
  </si>
  <si>
    <t>Paragolpe trasero alternativo</t>
  </si>
  <si>
    <t>Faro trasero izq. Original</t>
  </si>
  <si>
    <t>Faro antiniebla tras. Izq original</t>
  </si>
  <si>
    <t>Peugeot Partner</t>
  </si>
  <si>
    <t>Santiago Dellafiori</t>
  </si>
  <si>
    <t xml:space="preserve">Ford Focus Exe </t>
  </si>
  <si>
    <t>Service completo del vehiculo.                                                                                                                                                 El valor del servicio abarca el control de mas de 50 puntos del automovil.</t>
  </si>
  <si>
    <t>Aceite motor 5w40</t>
  </si>
  <si>
    <t>Walter Rodriguez</t>
  </si>
  <si>
    <t>Fiat Punto 1.4</t>
  </si>
  <si>
    <t>Lucero Claudio</t>
  </si>
  <si>
    <t>Peugeot 308</t>
  </si>
  <si>
    <t>Service completo del vehiculo.</t>
  </si>
  <si>
    <t>Boschiaso Antonella</t>
  </si>
  <si>
    <t>JWE950</t>
  </si>
  <si>
    <t>VW Vento 2.5</t>
  </si>
  <si>
    <t>Service completo del vehiculo.                                                                                                                                                      El valor del servicio abarca el control de mas de 50 puntos del automovil.</t>
  </si>
  <si>
    <t xml:space="preserve">Kit de filtros </t>
  </si>
  <si>
    <t>Quaglia Claudio</t>
  </si>
  <si>
    <t>AE358SB</t>
  </si>
  <si>
    <t>Amarok 2.0</t>
  </si>
  <si>
    <t>Service completo del vehiculo.                                                                                                                                                         El valor del servicio abarca el control de mas de 50 puntos del automovil.</t>
  </si>
  <si>
    <t>Aceite motor 0w30</t>
  </si>
  <si>
    <t>Berlingo HDI</t>
  </si>
  <si>
    <t>Desarmar tren delantero lado derecho. Cambiar parrilla de suspension. Cambiar portamasa. Cambiar extremo de direccion. Cambiar precap de direccion. Sacar semieje y reparar con trinseta nueva. Engrase. Armado total. Cambiar llanta y cubierta. Balanceo de las mismas. Alineado del tren delantero. Presupuesto sujeto a cambios si es necesario emplear repuestos inesperados.</t>
  </si>
  <si>
    <t>Cliente</t>
  </si>
  <si>
    <t>Service completo del vehiculo.                                                                                                                                                                 El valor del servicio abarca el control de mas de 50 puntos del automovil.</t>
  </si>
  <si>
    <t>Alonso</t>
  </si>
  <si>
    <t>Polo Diesel 2007</t>
  </si>
  <si>
    <t>Bolileros delanteros</t>
  </si>
  <si>
    <t>Kit bolilleros ruedas traseras</t>
  </si>
  <si>
    <t>Manguera de gaseo</t>
  </si>
  <si>
    <t>Sella grietas Wurth</t>
  </si>
  <si>
    <t>Escobilla limpia parabrisas</t>
  </si>
  <si>
    <t>Cambio de bolilleros de ruedas delanteras. Cambio de bolilleros de ruedas traseras. Cambiar manguera de gaseo. Cambiar buje de barra estabilizadora izquierda. Sellar grietas. Cambiar escobilla limpia parabrisas. Control general del vehiculo para viaje.</t>
  </si>
  <si>
    <t xml:space="preserve">Buje de barra estabilizadora </t>
  </si>
  <si>
    <t>Magra Ignacio</t>
  </si>
  <si>
    <t>Sandero Stepway</t>
  </si>
  <si>
    <t>Cambio de distribucion</t>
  </si>
  <si>
    <t>Kit de distribucion</t>
  </si>
  <si>
    <t>Correa poly-v</t>
  </si>
  <si>
    <t>Liq refrigerante + agua destilada</t>
  </si>
  <si>
    <t>Cuello Federico</t>
  </si>
  <si>
    <t>Fiat Cronos 1.8</t>
  </si>
  <si>
    <t>Aceite motor 0w20</t>
  </si>
  <si>
    <t>Natasha Torres</t>
  </si>
  <si>
    <t>Cambiar cilindro mayor, liquido de freno y purgar.</t>
  </si>
  <si>
    <t>Cilindro mayor SKF (Lbye)</t>
  </si>
  <si>
    <t>Cilindro mayor original (Rio IV)</t>
  </si>
  <si>
    <t xml:space="preserve">(+) Comision </t>
  </si>
  <si>
    <t>Pereyra Daniel</t>
  </si>
  <si>
    <t>Service completo del vehiculo.                                                                                                                                                     El valor del servicio abarca el control de mas de 50 puntos del automovil.</t>
  </si>
  <si>
    <t>Aceite motor 5w30 castrol edge</t>
  </si>
  <si>
    <t>Pico Gabriel</t>
  </si>
  <si>
    <t>Ford Ka 1.5</t>
  </si>
  <si>
    <t>Liq refrigerante +  agua destilada</t>
  </si>
  <si>
    <t>Cambio kit de distribución completo.</t>
  </si>
  <si>
    <t>AA669MM</t>
  </si>
  <si>
    <t>Cambio kit distribución completo.</t>
  </si>
  <si>
    <t>Kit distribucion</t>
  </si>
  <si>
    <t>Monge Natalia</t>
  </si>
  <si>
    <t>Corsa Classic</t>
  </si>
  <si>
    <t>Cambio kit distribucion, bomba de agua, correa poly-v, liquido refrigerante. Purgado circuito de refrigeracion. Puesta a punto. Armado total. Cambio oring parte trasera de arbol de levas.</t>
  </si>
  <si>
    <t>Martinengo Mario</t>
  </si>
  <si>
    <t>Chevrolet Tracker</t>
  </si>
  <si>
    <t>Cambio kit distribucion, bomba de agua, correa poly-v, liquido refrigerante. Service completo. Cambio de aceite y filtros.</t>
  </si>
  <si>
    <t>Carrara Luis</t>
  </si>
  <si>
    <t>C4 Lange HDI</t>
  </si>
  <si>
    <t>Service completo. Cambio de aceite y filtros.</t>
  </si>
  <si>
    <t>Magliano Barbara</t>
  </si>
  <si>
    <t>VW Suran</t>
  </si>
  <si>
    <t>Reten salida de caja</t>
  </si>
  <si>
    <t xml:space="preserve">Desarmar suspension lado derecho. Sacar semieje. Cambio reten salida de caja lado derecho. Trasbasado de aceite de caja de velocidad. Completar nivel. Sacar tapa de carter. Sementar. Limpieza y colocacion. Cambiar kit de oring de gasificador. </t>
  </si>
  <si>
    <t>Velazquez Rocio</t>
  </si>
  <si>
    <t>Quaglia Dario</t>
  </si>
  <si>
    <t>Chevrolet Onix</t>
  </si>
  <si>
    <t>Service completo. Cambio de aceite y filtros. Control general del vehiculo.</t>
  </si>
  <si>
    <t>VW Fox</t>
  </si>
  <si>
    <t>NPQ924</t>
  </si>
  <si>
    <t>Pastillas de freno</t>
  </si>
  <si>
    <t>Fiat Palio 1.6</t>
  </si>
  <si>
    <t>Aceite motor 15w40</t>
  </si>
  <si>
    <t>Dimarco Sebastian</t>
  </si>
  <si>
    <t>Olmedo Diego</t>
  </si>
  <si>
    <t>Desarmar distribucion completa. Cambio kit de distribucion, bomba de agua, correa poly-v y liquido refrigerante. Purgado del circuito de refrigeracion. Armado total</t>
  </si>
  <si>
    <t>liq refrigerante + destilada</t>
  </si>
  <si>
    <t>Constructora Guiar SRL</t>
  </si>
  <si>
    <t>Renault Kangoo</t>
  </si>
  <si>
    <t>Kit distribucion con bomba y tapones</t>
  </si>
  <si>
    <t>Reten arbol de levas</t>
  </si>
  <si>
    <t>Juego 16 valvulas</t>
  </si>
  <si>
    <t>Junta tapa de cilindros</t>
  </si>
  <si>
    <t>OKA658</t>
  </si>
  <si>
    <t>Sacar tapa de cilindros. Limpieza. Cambio de valvulas. Control juego en guias de valvulas. Hacer asiento de valvulas. Cambio retenes de valvulas. Armado total. Cambio kit distribucion con bomba de agua y tapones. Cambio liquido refrigerante. Purgado del circuito de refrigeracion. Puesta a punto. Sacar y colocar alternador. Cambiar correa poly-v. Puesta en marcha.</t>
  </si>
  <si>
    <t>Ford Ranger 3.2</t>
  </si>
  <si>
    <t>Aranda Pablo</t>
  </si>
  <si>
    <t>Ferreiro Jose</t>
  </si>
  <si>
    <t>Clio 1.2</t>
  </si>
  <si>
    <t>Canepa Carlos</t>
  </si>
  <si>
    <t>Eco Sport 1.5</t>
  </si>
  <si>
    <t>Principi Gabriela</t>
  </si>
  <si>
    <t>Sandero Steepway</t>
  </si>
  <si>
    <t>Desarmar distribucion completa. Cambio kit de distribucion, bomba de agua, correa poly-v y liquido refrigerante. Purgado del circuito de refrigeracion. Armado total. Service completo. Cambio de aceite y filtros. Control general del vehiculo.</t>
  </si>
  <si>
    <t>Paz Jose Maria</t>
  </si>
  <si>
    <t>GSC096</t>
  </si>
  <si>
    <t>Chevrolet S10</t>
  </si>
  <si>
    <t>Rotula inferior</t>
  </si>
  <si>
    <t>Rotula superior</t>
  </si>
  <si>
    <t>Aceite de direccion hidraulica</t>
  </si>
  <si>
    <t>Sacar ambas campanas de frenos traseros. Control, limpieza y regulacion de los mismos. Control del tren delantero. Ambas rotulas lado derecho rotas. Rotula inferior izquierda rota. Sacar manguera de toma de aire. Limpieza. Agregar aceite de direccion hidraulica. Chequear perdidas de agua. Cambiar rotulas derechas inferior y superior. Cambiar rotula izquierda inferior. Regulacion de convergencia. Medir alineacion.</t>
  </si>
  <si>
    <t>Kit de distribucion con bomba</t>
  </si>
  <si>
    <t>Peugeot 2008</t>
  </si>
  <si>
    <t>Rosas Alfredo</t>
  </si>
  <si>
    <t>Service completo. Cambio de aceite y filtros. Control general del vehiculo. Desarmar distribucion completa. Cambio kit de distribucion, bomba de agua, correa poly-v y liquido refrigerante. Purgado del circuito de refrigeracion. Puesta a punto. Armado total.</t>
  </si>
  <si>
    <t>Raul Trivigno</t>
  </si>
  <si>
    <t>taller</t>
  </si>
  <si>
    <t>Perotti Luciano</t>
  </si>
  <si>
    <t>Fiat Strada</t>
  </si>
  <si>
    <t>Bassino Ruben</t>
  </si>
  <si>
    <t>Onix 1.0 turbo</t>
  </si>
  <si>
    <t>Gimenez Agustina</t>
  </si>
  <si>
    <t>Gol Trend</t>
  </si>
  <si>
    <t>Cambio de aceite y filtros. Control limitado del vehiculo.</t>
  </si>
  <si>
    <t xml:space="preserve">Service completo. Cambio de aceite y filtros. Control general de mas de 60 puntos del vehiculo. </t>
  </si>
  <si>
    <t>VW Amarok</t>
  </si>
  <si>
    <t>Desarmar distribucion completa. Cambiar kit, bomba de agua, correa poly-v y liquido refrigerante. Purgado del circuito de refrigeracion. Puesta a punto. Armado total.</t>
  </si>
  <si>
    <t>Kit distribucion con bomba</t>
  </si>
  <si>
    <t>Liquido refrigerante</t>
  </si>
  <si>
    <t>Agua destilada</t>
  </si>
  <si>
    <t>Emder David</t>
  </si>
  <si>
    <t>Renault Captur</t>
  </si>
  <si>
    <t>Manassero Fanny</t>
  </si>
  <si>
    <t>Peugeot 307</t>
  </si>
  <si>
    <t>Cambiar fuelle semieje izquierdo lado caja.</t>
  </si>
  <si>
    <t>Fuelle semieje</t>
  </si>
  <si>
    <t>Castro Juan Pablo</t>
  </si>
  <si>
    <t>Peugeot 307 1.6</t>
  </si>
  <si>
    <t>Juego de aros</t>
  </si>
  <si>
    <t>Juego reten de valvulas</t>
  </si>
  <si>
    <t>Juego de tapa de cilindros</t>
  </si>
  <si>
    <t>Retenes arbol de levas</t>
  </si>
  <si>
    <t>Juego de cojinete de biela</t>
  </si>
  <si>
    <t>Sacar tapa de clindros. Desarmar integra. Controlar guias de valvulas. Esmerilar asientos de valvulas. Cambiar retenes de vavulas. Cambiar retenes de arbol de levas. Armado total de tapa. Sacar carter, pistones. Control de cilindros. Brunido de cilindros. Limpieza de pistones. Controlar pernos (ajuste). Controlar cojinetes de biela. En su defecto, cambiar. Armado con aros nuevos. Armado total del motor. Colocar aceite y filtro de aceite nuevo. Puesta en marcha.</t>
  </si>
  <si>
    <t>Curti Carlos</t>
  </si>
  <si>
    <t>Fox Cross</t>
  </si>
  <si>
    <t>Kit de filtos</t>
  </si>
  <si>
    <t>Cambio de aceite y filtros. Control de pastillas de freno. Control de cubiertas.</t>
  </si>
  <si>
    <t>Depascuale Carolina</t>
  </si>
  <si>
    <t>Sacar caja de velocidad, placa de disco y volante motor. Limpieza completa de la zona. Cambio de reten de bancada. Puesta a punto con herramienta especifica. Armado total. Puesta en marcha</t>
  </si>
  <si>
    <t xml:space="preserve">Reten de bancada </t>
  </si>
  <si>
    <t>Pucca Veronica</t>
  </si>
  <si>
    <t xml:space="preserve">Gol </t>
  </si>
  <si>
    <t>Cambiar ambos amortiguadores traseros. Sacar amb as parrilas de suspension. Reparar con bujes nuevos. Armado total. Regular convergencia.</t>
  </si>
  <si>
    <t>Amortiguadores traseros</t>
  </si>
  <si>
    <t>Bujes de parrila</t>
  </si>
  <si>
    <t>Topes de amortiguadores traseros</t>
  </si>
  <si>
    <t>Uretta Agustin</t>
  </si>
  <si>
    <t>VW Vento</t>
  </si>
  <si>
    <t>Service completo. Cambio de aceite y filtros. Control general de mas de 50 puntos del vehiculo.</t>
  </si>
  <si>
    <t>Stap Calos</t>
  </si>
  <si>
    <t>Ford Ranger 2.2</t>
  </si>
  <si>
    <t>Aceite motor 5W40</t>
  </si>
  <si>
    <t>Ferrari Colo</t>
  </si>
  <si>
    <t>Clemente Jose Luis</t>
  </si>
  <si>
    <t>Ford Fiesta</t>
  </si>
  <si>
    <t>Amoriguadores traseros</t>
  </si>
  <si>
    <t>Topes amortiguadores traseros con fuelle</t>
  </si>
  <si>
    <t>Cambiar amortiguadores traseros.</t>
  </si>
  <si>
    <t>Cambiar rotula inferior izquierda. Regular convergencia.</t>
  </si>
  <si>
    <t>Rotula inferior izquierda</t>
  </si>
  <si>
    <t>Peugeot 301</t>
  </si>
  <si>
    <t>Barral Juan</t>
  </si>
  <si>
    <t>Martin Maria Elena</t>
  </si>
  <si>
    <t>KXH134</t>
  </si>
  <si>
    <t>Citroen C3 1.4</t>
  </si>
  <si>
    <t>Extremo de direccion</t>
  </si>
  <si>
    <t>Cuna bajo motor</t>
  </si>
  <si>
    <t>Bieleta de barra estabilizadora</t>
  </si>
  <si>
    <t>Semieje derecho completo</t>
  </si>
  <si>
    <t>Cazoletas de suspensión completas</t>
  </si>
  <si>
    <t>Parrilla de suspension completa</t>
  </si>
  <si>
    <t>Honorarios confeccion presupuesto</t>
  </si>
  <si>
    <t>Cambiar cuna bajo motor. Cambiar ambas parrillas de suspensión. Cambiar ambos amortiguadores delanteros. Cambiar ambas bieletas de barra estabilizadora. Alineación del tren delantero. Cambiar ambos precap y ambos extremos de dirección. Cambiar radiador de agua. Agregar liquido refrigerante. Purgado del circuito de refrigeración.</t>
  </si>
  <si>
    <t>Razón social:</t>
  </si>
  <si>
    <t>Vehiculo:</t>
  </si>
  <si>
    <t>Diagnóstico:</t>
  </si>
  <si>
    <t>Toyota Hilux 3.0</t>
  </si>
  <si>
    <t>Filtro aceite Mahle OC988</t>
  </si>
  <si>
    <t>Filtro habitaculo HK953</t>
  </si>
  <si>
    <t>Filtro combustible KX268D</t>
  </si>
  <si>
    <t>Filtro aire Bosch</t>
  </si>
  <si>
    <t>Ramanzin Enrique</t>
  </si>
  <si>
    <t>Palloni Sergio Gustavo</t>
  </si>
  <si>
    <t>AE008SG</t>
  </si>
  <si>
    <t>Desarmar frente del vehiculo. Sacar marco porta radiadores completo. Limpieza del mismo. Armar con radiador de agua, de aire acondicionado y electroventilador nuevos. Colocar liquido refrigerante. Purgar circuito de refrigeracion. Borrar fallo motor con escaner debido al mal funcionamiento de electroventilador y al desprendimiento de fichas electronicas correspondientes al frente del vehiculo. Armado total. Puesta en marcha.</t>
  </si>
  <si>
    <t xml:space="preserve">Mercedes Benz Vito 111 CDI Furgón </t>
  </si>
  <si>
    <t>Rodriguez Mauricio</t>
  </si>
  <si>
    <t>HUD623</t>
  </si>
  <si>
    <t>Renault Sandero</t>
  </si>
  <si>
    <t>Desarmar tapa tarsera de caja de velocidad. Reemplazar kit de quinta. Dar ajustes al mismo. Armado total. Trasbasado de aceite de caja de velocidad. (Posible suma de repuestos fuera del presupuesto a la hora de intervenir el vehiculo).</t>
  </si>
  <si>
    <t>Engranaje</t>
  </si>
  <si>
    <t>Desplazable</t>
  </si>
  <si>
    <t>Anillo sincronizado</t>
  </si>
  <si>
    <t>Horquilla</t>
  </si>
  <si>
    <t>Rosende Gerardo</t>
  </si>
  <si>
    <t>Filtro combustible Mahle KL583</t>
  </si>
  <si>
    <t>Filtro aceite Mahle OX339</t>
  </si>
  <si>
    <t>Filtro aire Mahle LX1451</t>
  </si>
  <si>
    <t>Filtro habitaculo HK359</t>
  </si>
  <si>
    <t>Avila Edgardo</t>
  </si>
  <si>
    <t>Fernandez Martin</t>
  </si>
  <si>
    <t>AD687OR</t>
  </si>
  <si>
    <t xml:space="preserve">Toyota Hilux 2.8 </t>
  </si>
  <si>
    <t>Aceite motor 5w30 Dexo 2</t>
  </si>
  <si>
    <t>AR997KB</t>
  </si>
  <si>
    <t>Renault Kangoo 1.6 Furgon</t>
  </si>
  <si>
    <t>Sabaini Ignacio</t>
  </si>
  <si>
    <t>Citroen Berlingo HDI</t>
  </si>
  <si>
    <t>AA971WQ</t>
  </si>
  <si>
    <t>Filtro aire Mahle LX2995</t>
  </si>
  <si>
    <t>Filtro aceite Mahle OX171/2D</t>
  </si>
  <si>
    <t>Kit distribucion con bomba Original</t>
  </si>
  <si>
    <t>Correa poly-v Dayco 6PK1700</t>
  </si>
  <si>
    <t>Polea fija poly-v SKF</t>
  </si>
  <si>
    <t>Taco de motor</t>
  </si>
  <si>
    <t>Juego de aros de rectificacion</t>
  </si>
  <si>
    <t>Juego de retenes de valvulas VR</t>
  </si>
  <si>
    <t>Junta de tapa de cilindros</t>
  </si>
  <si>
    <t>Reparacion turbo</t>
  </si>
  <si>
    <t xml:space="preserve">Desarme íntegro de motor. Sacar tapa de cilindros. Dejar en remojo con descarbonizante. Lavar al brillo. Controlar valvulas. Realizar asientos. Cambiar retenes. Sacar pistones. Controlar bielas y cojinetes. Cambiar aros y rearmar. Desarmar distribucion completa. Cambiar kit, bomba de agua, correa poly-v, polea fija poly-v y liquido refrigerante. Purgado del circuito de refrigeracion. Puesta a punto. Armado total. Cambio de filtros de aceite y aire. Agregar aceite motor. Cambiar taco motor. Lavado motor. Reparacion de turbo. </t>
  </si>
  <si>
    <t>Comprob:</t>
  </si>
  <si>
    <t xml:space="preserve">Desarmar suspension completa delantera lado izquierdo. Cambiar amortiguador, maza, portamaza, extremo y precap. Alineado del tren delantero. </t>
  </si>
  <si>
    <t>Dellafiori Santiago Martin</t>
  </si>
  <si>
    <t>JNB146</t>
  </si>
  <si>
    <t>Ford Focus Exe Trend 2.0</t>
  </si>
  <si>
    <t>Digenaro Julio</t>
  </si>
  <si>
    <t>IWY797</t>
  </si>
  <si>
    <t>Fusibles varios</t>
  </si>
  <si>
    <t>Reten de arbol de levas</t>
  </si>
  <si>
    <t>Reparacion de cremallera</t>
  </si>
  <si>
    <t>Irrazabal Miguel</t>
  </si>
  <si>
    <t>Chevrolet Cruze</t>
  </si>
  <si>
    <t>Filtro aceite Mahle OC1421</t>
  </si>
  <si>
    <t>Filtro aire Mahle LX3015/14</t>
  </si>
  <si>
    <t>Filtro habitaculo Mahle LA1123</t>
  </si>
  <si>
    <t>Medina Javier</t>
  </si>
  <si>
    <t>Bujias Bosch</t>
  </si>
  <si>
    <t>Bateria 12v 65Amp</t>
  </si>
  <si>
    <t>Bomba de nafta</t>
  </si>
  <si>
    <t>Service completo. Cambio de aceite y filtros. Control general de mas de 50 puntos del vehiculo. Control de estado de bomba de nafta. Escaneo del vehiculo. Solucionar averia de falta de corriente en cableado a bomba de nafta. Desarmar distribucion. Sacar tapa de valvulas, arboles de levas. Limpieza profunda de la zona. Cambiar retenes de arbol de levas. Cementar correctamente tapa de valvulas. Eliminar perdidas de aceite. Sacar y colocar cremallera de direccion. Cambiar bateria. Sacar aforador en tanque de combustible. Reparar con bomba de nafta electrica nueva. Armado total. Puesta en marcha</t>
  </si>
  <si>
    <t>Morales Ariel</t>
  </si>
  <si>
    <t>VW Voyage</t>
  </si>
  <si>
    <t>Cambiar amortiguadores delanteros y traseros. Regular convergencia.</t>
  </si>
  <si>
    <t>Amoertiguadores delanteros</t>
  </si>
  <si>
    <t>Topes de amortiguadores</t>
  </si>
  <si>
    <t>Lang Gustavo</t>
  </si>
  <si>
    <t>Cometto Franco</t>
  </si>
  <si>
    <t>Filtro aceite Mahle OC309</t>
  </si>
  <si>
    <t>Filtro aire Mahle LX773</t>
  </si>
  <si>
    <t>Berdus Silvio</t>
  </si>
  <si>
    <t>Chevrolet Aveo</t>
  </si>
  <si>
    <t>Sacar tapa de cilindros, carter y pistones. Limpieza profunda. Bruñir cilindros. Control de estados de pistones y pernos de pistones. Cambiar aros, coginetes de biela. Armado total.</t>
  </si>
  <si>
    <t>Junta de carter</t>
  </si>
  <si>
    <t>Coginetes de biela</t>
  </si>
  <si>
    <t>Tosello Gaston</t>
  </si>
  <si>
    <t>Cuerpo de termostato</t>
  </si>
  <si>
    <t>Topes de amortigadores</t>
  </si>
  <si>
    <t>Cambiar cuerpo de termostato. Cambiar bieleta de barra estabilizadora lado derecho. Cambiar juego de bujias. Cambiar topes de amortiguadores traseros. Dar ajuste a bolilleros de ruedas traseras. Engrasar los mismos. Colocar liquido refrigerante. Purgado del circuito de refrigeracion. Armado total.</t>
  </si>
  <si>
    <t>Greco Fer</t>
  </si>
  <si>
    <t>Desarmar distribucion completa. Cambiar kit, bomba de agua, correas poly-v y liquido refrigerante. Purgado del circuito de refrigeracion. Puesta a punto. Armado total.</t>
  </si>
  <si>
    <t>Kit distribucion con bomba y correas</t>
  </si>
  <si>
    <t>Lopez Yanina</t>
  </si>
  <si>
    <t>Oviedo Jose Luis</t>
  </si>
  <si>
    <t>Renault Duster</t>
  </si>
  <si>
    <t>Service completo. Cambio de aceite y filtros. Control general de mas de 50 puntos del vehiculo. Desarmar distribucion completa. Cambiar kit, bomba de agua, correa poly-v y liquido refrigerante. Purgado del circuito de refrigeracion. Puesta a punto. Armado total.</t>
  </si>
  <si>
    <t>Chevrolet Agile</t>
  </si>
  <si>
    <t>Properzi Juan Carlos</t>
  </si>
  <si>
    <t>Renault Logan</t>
  </si>
  <si>
    <t>Fernandez Abril</t>
  </si>
  <si>
    <t>DMZ628</t>
  </si>
  <si>
    <t>Cambiar radiador de agua y termostato completo. Completar con liquido refrigerante. Purgado del circuito de refrigeración. Sacar caja de velocidad. Cambiar kit de embrague y crapodina hidraulica. Purgado del circuito de embrague. Carga de líquido de freno.</t>
  </si>
  <si>
    <t>Tonello Pedro</t>
  </si>
  <si>
    <t>Prisma Joy</t>
  </si>
  <si>
    <t>Juego de bujias</t>
  </si>
  <si>
    <t>Service completo. Cambio de aceite y filtros. Control general de mas de 50 puntos del vehiculo. Cambiar juego de bujias.</t>
  </si>
  <si>
    <t>Ezequiel</t>
  </si>
  <si>
    <t>Correa poly-v 1200 elastica</t>
  </si>
  <si>
    <t>Correa poly-v 3pk elastica</t>
  </si>
  <si>
    <t>Axial</t>
  </si>
  <si>
    <t>Suarez Carlos</t>
  </si>
  <si>
    <t>Chevrolet Prisma</t>
  </si>
  <si>
    <t>Correa poly-v alternador</t>
  </si>
  <si>
    <t>Correa poly-v compresor de aire</t>
  </si>
  <si>
    <t>Caño de agua Original Chevrolet</t>
  </si>
  <si>
    <t>Desarmar distribucion completa. Cambiar kit, bomba de agua, correas poly-v, termostato, caño de agua y liquido refrigerante. Purgado del circuito de refrigeracion. Puesta a punto. Armado total.</t>
  </si>
  <si>
    <t>Garcia Franco</t>
  </si>
  <si>
    <t>Audi A4</t>
  </si>
  <si>
    <t>Agregar liquido desincrustante para limpieza del interior de circuito de refrigerante. Enjuagar circuito de refrigeracion. Cambiar liquido refrigerante. Purgado del circuito de refrigeracion. Amado total.</t>
  </si>
  <si>
    <t>Service. Cambio de aceite y filtros.</t>
  </si>
  <si>
    <t>Guerrieri Gladys</t>
  </si>
  <si>
    <t xml:space="preserve">Correa poly-v </t>
  </si>
  <si>
    <t>Etios</t>
  </si>
  <si>
    <t>Sfarcich Daniel</t>
  </si>
  <si>
    <t>Maan Constructora</t>
  </si>
  <si>
    <t>VW Saveiro</t>
  </si>
  <si>
    <t>Desarmar distribucion completa. Cambiar kit, bomba de agua, ambas correa poly-v y liquido refrigerante. Purgado del circuito de refrigeracion. Puesta a punto. Armado total.</t>
  </si>
  <si>
    <t xml:space="preserve">Aceite motor 5w30 </t>
  </si>
  <si>
    <t>Palloni Florencia</t>
  </si>
  <si>
    <t>Durán</t>
  </si>
  <si>
    <t>VW Virtus</t>
  </si>
  <si>
    <t>Karina Anconetani</t>
  </si>
  <si>
    <t>Cambiar correa poly-v. Cambiar precap de direccion.</t>
  </si>
  <si>
    <t>Precap de direccion</t>
  </si>
  <si>
    <t>Carlos Stap</t>
  </si>
  <si>
    <t>Filtro aceite Mahle OX834D</t>
  </si>
  <si>
    <t>Service. Cambio de aceite y filtro de aceite. Control general del vehiculo. Cambiar sensor de arbol de levas.</t>
  </si>
  <si>
    <t>Sensor de arbol de levas</t>
  </si>
  <si>
    <t>Ristorto Ester</t>
  </si>
  <si>
    <t>Peuegot 206</t>
  </si>
  <si>
    <t>Barnard Martin</t>
  </si>
  <si>
    <t>Vw Siroco</t>
  </si>
  <si>
    <t>Aceite motor 5w30 Castrol Edge</t>
  </si>
  <si>
    <t>Gallo Pepe</t>
  </si>
  <si>
    <t>Busso Sergio</t>
  </si>
  <si>
    <t>Toyota Corolla Cross</t>
  </si>
  <si>
    <t>Aceite motor  5w30 Castrol Edge</t>
  </si>
  <si>
    <t>Carabetta Noelia</t>
  </si>
  <si>
    <t>Este presupuesto tiene validez por 15 días.</t>
  </si>
  <si>
    <t>AA217XH</t>
  </si>
  <si>
    <t>Romero Damian</t>
  </si>
  <si>
    <t>Vw Up</t>
  </si>
  <si>
    <t>AC248LK</t>
  </si>
  <si>
    <t>Digenaro</t>
  </si>
  <si>
    <t>Gol Trend MSI</t>
  </si>
  <si>
    <t>Gomez Lucas</t>
  </si>
  <si>
    <t>Fiat Uno S 1.3</t>
  </si>
  <si>
    <t>DHR499</t>
  </si>
  <si>
    <t>Llantas</t>
  </si>
  <si>
    <t>Cubiertas 175/70/13</t>
  </si>
  <si>
    <t>Parrillas de suspension inferior trasera</t>
  </si>
  <si>
    <t>1/2 escape parte trasera</t>
  </si>
  <si>
    <t>Tasa de rueda</t>
  </si>
  <si>
    <t>Amortiguador delantero derecho</t>
  </si>
  <si>
    <t>Slovoyañoch Maria Jose</t>
  </si>
  <si>
    <t>AD135TT</t>
  </si>
  <si>
    <t>Toyota Hilux 4x2</t>
  </si>
  <si>
    <t xml:space="preserve">Auxilio a corralon de secuestro de vehiculos. Desarmar frente del vehiculo. Cambiar radiador de agua, radiador de intercooler, condensador de aire acondicionado, embocador de ventilador. Armado total. Agregar liquido refrigerante. Purgado del circuito de refrigeracion. Puesta en marcha. </t>
  </si>
  <si>
    <t>Condensador</t>
  </si>
  <si>
    <t>Intercooler</t>
  </si>
  <si>
    <t>Deflector de radiador</t>
  </si>
  <si>
    <t>Desarmar suspension trasera de ambos lados. Cambiar ambas parrillas de suspension y ambos amortiguadores. Alinear eje trasero. Cambiar amortiguador delantero derecho. Regulacion de convergencia. Cambiar radiador de agua. Completar con liquido refrigerante. Purgado del circuito de refrigeracion. Colocacion de medio escape. Armado de cubiertas en llantas.</t>
  </si>
  <si>
    <t>Vw Voyage</t>
  </si>
  <si>
    <t>Toyota Hilux 4X2</t>
  </si>
  <si>
    <t>Soporte de cerradura de capot original</t>
  </si>
  <si>
    <t>Bisagra de capot original</t>
  </si>
  <si>
    <t>Traversa superior de frente original</t>
  </si>
  <si>
    <t>Cerradura de capot original</t>
  </si>
  <si>
    <t>Radiador</t>
  </si>
  <si>
    <t>Vallejos Cristian</t>
  </si>
  <si>
    <t>Peugeot 408 HDI</t>
  </si>
  <si>
    <t>Paragolpe delantero</t>
  </si>
  <si>
    <t>Optica izquierda original</t>
  </si>
  <si>
    <t>Optica derecha original</t>
  </si>
  <si>
    <t>Ford Focus</t>
  </si>
  <si>
    <t>Chavez Daniel</t>
  </si>
  <si>
    <t>Jugeo de bujias</t>
  </si>
  <si>
    <t>Pra Adolfo</t>
  </si>
  <si>
    <t>Barnard Agostina</t>
  </si>
  <si>
    <t>Peugeot 408 THP</t>
  </si>
  <si>
    <t>Desarmar frente del vehiculo. Sacar multiple de escape, catalizador, base de filtro de aceite. Cambiar juego de oring a intercambiador de calor. Limpieza. Armado total.</t>
  </si>
  <si>
    <t xml:space="preserve">Juego de oring </t>
  </si>
  <si>
    <t>Rivas Enzo</t>
  </si>
  <si>
    <t>Cerioli Monica</t>
  </si>
  <si>
    <t>Renault Duster F4R</t>
  </si>
  <si>
    <t>Kit distribucion original</t>
  </si>
  <si>
    <t>Bomba de agua original</t>
  </si>
  <si>
    <t>Nave Diego</t>
  </si>
  <si>
    <t>Vw Amarok</t>
  </si>
  <si>
    <t>Sr Dale</t>
  </si>
  <si>
    <t>Control general del vehiculo para tecnica.</t>
  </si>
  <si>
    <t>Gallo Walter</t>
  </si>
  <si>
    <t>Polanco Andres</t>
  </si>
  <si>
    <t>Parrilla de frente</t>
  </si>
  <si>
    <t>Emblema grilla radiador</t>
  </si>
  <si>
    <t>Deflector radiador derecho</t>
  </si>
  <si>
    <t>Deflector radiador izquierdo</t>
  </si>
  <si>
    <t>Rios Diego</t>
  </si>
  <si>
    <t>Picco Miguel</t>
  </si>
  <si>
    <t>Raso Julia</t>
  </si>
  <si>
    <t>Control del tren delantero. Cambiar ambas rotulas inferiores. Cambiar precap de direccion lado izquierdo. Cambiar extremo de direccion lado derecho. Regulacion de convergencia.</t>
  </si>
  <si>
    <t>Rotulas</t>
  </si>
  <si>
    <t>Tosello Carlos</t>
  </si>
  <si>
    <t>Fiat Cronos</t>
  </si>
  <si>
    <t>Control de circuito de correa poly-v. Cambiar correa poly-v y polea tensora de tensor movil.</t>
  </si>
  <si>
    <t>Polea tensora 60mm</t>
  </si>
  <si>
    <t>LZU901</t>
  </si>
  <si>
    <t>Aranda Federico</t>
  </si>
  <si>
    <t>Slovoyañoch Cristian</t>
  </si>
  <si>
    <t>Toyota Hilux</t>
  </si>
  <si>
    <t>Filtro gasoil alta presion</t>
  </si>
  <si>
    <t>Foco luz de cortecia y pocision delantero izquierdo 2500</t>
  </si>
  <si>
    <t>focos de guiño delanteros 2 naranjas</t>
  </si>
  <si>
    <t>Loeiro Daniel</t>
  </si>
  <si>
    <t>Fernandez Jorge</t>
  </si>
  <si>
    <t>Vw Gol</t>
  </si>
  <si>
    <t>Cambiar radiador de agua. Cambiar termostato completo.</t>
  </si>
  <si>
    <t>Blanco Maria Elena</t>
  </si>
  <si>
    <t>Chevrolet Corsa Classic</t>
  </si>
  <si>
    <t>Service completo. Cambio de aceite y filtros. Control general del vehiculo. Desarmar distribucion completa. Cambio kit, bomba de agua, correa poly-v y liquido refrigerante. Purgado del circuito de refrigeracion. Puesta a punto. Armado total</t>
  </si>
  <si>
    <t>Kit distribucion con bomba y correa</t>
  </si>
  <si>
    <t>Reyes Mirta</t>
  </si>
  <si>
    <t>Renault Clio</t>
  </si>
  <si>
    <t>Vergara Marcelo</t>
  </si>
  <si>
    <t>Sacar caja de velocidad, placa disco y volante motor. Cambiar reten de bancada. Armado total.</t>
  </si>
  <si>
    <t>Reten de bancada</t>
  </si>
  <si>
    <t>Carrara Sandra</t>
  </si>
  <si>
    <t>Reten distribucion</t>
  </si>
  <si>
    <t xml:space="preserve">Oring bomba </t>
  </si>
  <si>
    <t>Junta tapa de valvulas</t>
  </si>
  <si>
    <t>Sacar ambos amortiguadores delanteros. Cambiar topes fuelles.  Sacar ambos amortiguadores traseros. Colocar espirales en correcta posicion. Lavado de motor resaltando en parte inferior de motor para control de perdidas de aceite.</t>
  </si>
  <si>
    <t>Topes fuelles de amortiguadores delanteros</t>
  </si>
  <si>
    <t>Principi Carlos</t>
  </si>
  <si>
    <t>Ford Ka 1.6</t>
  </si>
  <si>
    <t>Mendizabal Alicia</t>
  </si>
  <si>
    <t>Avila Patricia</t>
  </si>
  <si>
    <t>Fiat Qubo</t>
  </si>
  <si>
    <t>Flores Carlos</t>
  </si>
  <si>
    <t>Peugeot 3008</t>
  </si>
  <si>
    <t>Zallocco Belen</t>
  </si>
  <si>
    <t>Bengolea Even</t>
  </si>
  <si>
    <t xml:space="preserve">Ford Fiesta </t>
  </si>
  <si>
    <t>Desarmar distribucion completa. Cambiar kit, bomba de agua, correa poly-v y liquido refrigerante. Purgado del circuito de refrigeracion. Puesta a punto. Armado total. Cambiar juego de bujias.</t>
  </si>
  <si>
    <t>Pastillas de frenos traseras</t>
  </si>
  <si>
    <t>Pastillas de frenos delanteras</t>
  </si>
  <si>
    <t>KFA171</t>
  </si>
  <si>
    <t>Service completo. Cambio de aceite y filtros. Control general de mas de 50 puntos del vehiculo. Cambiar pastillas de frenos delanteras y traseras.</t>
  </si>
  <si>
    <t>Borello Matias</t>
  </si>
  <si>
    <t>Fiat Uno</t>
  </si>
  <si>
    <t xml:space="preserve">Desarmar distribucion completa. Cambiar kit, bomba de agua, correa poly-v y liquido refrigerante. Purgado del circuito de refrigeracion. Puesta a punto. Armado total. </t>
  </si>
  <si>
    <t>Correas poly-v</t>
  </si>
  <si>
    <t>Perafan Andrea</t>
  </si>
  <si>
    <t>Termostato completo</t>
  </si>
  <si>
    <t>Service completo. Cambio de aceite y filtros. Control general del vehiculo. Cambiar termostato completo. Desarmar distribucion completa. Cambio kit, bomba de agua, correa poly-v y liquido refrigerante. Purgado del circuito de refrigeracion. Puesta a punto. Armado total</t>
  </si>
  <si>
    <t>Acotto Santiago</t>
  </si>
  <si>
    <t>Vw Vento MSI</t>
  </si>
  <si>
    <t>Cambiar kit de embrague completo. Cambiar retenes salida de caja.</t>
  </si>
  <si>
    <t>Rosales Alexis</t>
  </si>
  <si>
    <t>Toyota Etios</t>
  </si>
  <si>
    <t>Chavez Fabian</t>
  </si>
  <si>
    <t>Fantini Antonio</t>
  </si>
  <si>
    <t>Amortiguadores</t>
  </si>
  <si>
    <t>Monasterio Paola</t>
  </si>
  <si>
    <t>Control del tren delantero. Cambiar ambos precap de direccion. Cambiar bujes de parrilla. Cambiar correa poly-v. Cambiar tensor completo de correa poly-v.</t>
  </si>
  <si>
    <t>Bujes de parrilla</t>
  </si>
  <si>
    <t>Tensor completo de correa poly-v</t>
  </si>
  <si>
    <t>Barzola Julio</t>
  </si>
  <si>
    <t>Vw Saveiro</t>
  </si>
  <si>
    <t xml:space="preserve">Ford Focus </t>
  </si>
  <si>
    <t xml:space="preserve">Kit distribucion con bomba </t>
  </si>
  <si>
    <t>Gullino Andrea</t>
  </si>
  <si>
    <t>Citroen C3</t>
  </si>
  <si>
    <t>Control del tren delantero. Cambiar dos bujes de parrilla inferiores. Cambiar bieleta de barra estabilizadora lado derecho. Cambiar amortiguador delantero derecho. Colocar tope y fuelle nuevo. Regulacion de convergencia.</t>
  </si>
  <si>
    <t>Amortiguador</t>
  </si>
  <si>
    <t>Bieleta</t>
  </si>
  <si>
    <t>Tope y fuelle</t>
  </si>
  <si>
    <t>Moretti Renato</t>
  </si>
  <si>
    <t>Reparacion cremallera</t>
  </si>
  <si>
    <t>Valvula alta presion</t>
  </si>
  <si>
    <t>Lopez Ines</t>
  </si>
  <si>
    <t>Peugeot 208 Feline</t>
  </si>
  <si>
    <t>Service completo. Cambio de aceite y filtros. Control general de mas de 50 puntos al vehiculo. Desarmar distribucion completa. Cambiar kit, bomba de agua, correa poly-v y liquido refrigerante. Purgado del circuito de refrigeracion. Puesta a punto. Armado total.</t>
  </si>
  <si>
    <t>Moro Sebastian</t>
  </si>
  <si>
    <t>Chevrolet S10 High Country</t>
  </si>
  <si>
    <t>Aceite motor 5w30 AML</t>
  </si>
  <si>
    <t xml:space="preserve">Cambiar ambos amortiguadores traseros. Colocar topes nuevos y fuelles. Armado total. Regular convergencia. </t>
  </si>
  <si>
    <t>Juego retenes de valvulas</t>
  </si>
  <si>
    <t>Jgo jta descarbonizacion y tapa de cilindros</t>
  </si>
  <si>
    <t>Sacar tapa de cilindros completa. Desarmar integra. Cambiar valvulas de admision y de escape. Rectificar asientos de las mismas en tapa (esmerilado). Controlar guias de valvulas. Cambiar junta tapa de cilindros, retenes de valvulas y de arboles de levas. Cambiar kit de distribucion con bomba de agua, correa poly-v. Puesta a punto. Armado total. Limpieza.</t>
  </si>
  <si>
    <t>Paez Ruben</t>
  </si>
  <si>
    <t>Barovero Diego</t>
  </si>
  <si>
    <t>Salas Jesus</t>
  </si>
  <si>
    <t>Manzuino Alberto</t>
  </si>
  <si>
    <t xml:space="preserve">Cambiar ambos amortiguadores traseros. Colocar topes y fuelles nuevos. Armado total. Regular convergencia. </t>
  </si>
  <si>
    <t>Lucero Silvana</t>
  </si>
  <si>
    <t>Manito Roxana</t>
  </si>
  <si>
    <t>Desarmar distribucion completa. Cambiar kit, bomba de agua, correa poly-v y liquido refrigerante. Purgado del circuito de refrigeracion. Puesta a punto. Armado total. Control del tren delantero. Cambiar rotulas.</t>
  </si>
  <si>
    <t>Grich Claudia</t>
  </si>
  <si>
    <t>Fiat Siena</t>
  </si>
  <si>
    <t>Sr Calderon</t>
  </si>
  <si>
    <t>Fiat Palio</t>
  </si>
  <si>
    <t xml:space="preserve">Cambiar ambos amortiguadores traseros y delanteros. Colocar topes y fuelles nuevos. Armado total. Regular convergencia. </t>
  </si>
  <si>
    <t>Service completo. Cambio de aceite y filtros. Control general del vehiculo. Desarmar distribucion completa. Cambiar kit, bomba de agua, correa poly-v y liquido refrigerante. Purgado del circuito de refrigeracion. Puesta a punto. Armado total.</t>
  </si>
  <si>
    <t>Ford Transit</t>
  </si>
  <si>
    <t>Kit de filtros original Ford</t>
  </si>
  <si>
    <t>Municipalidad Laboulaye</t>
  </si>
  <si>
    <t>AF678IT</t>
  </si>
  <si>
    <t>Fossano Ana Paula</t>
  </si>
  <si>
    <t>Escaneo del vehiculo. Control de valvula reguladora de presion de combustible. Sacar inyectores. Enviar a reparar a Rio IV. Fresar apoyo de inyectores en tapa de cilindros. Limpieza. Colocar inyectores. Cambiar filtro de combustible. Armado total. Puesta en marcha.</t>
  </si>
  <si>
    <t>Reparacion por inyector</t>
  </si>
  <si>
    <t>Filtro de gasoil</t>
  </si>
  <si>
    <t>Comision Rio IV</t>
  </si>
  <si>
    <t>LTE128</t>
  </si>
  <si>
    <t>Andrada Horacio</t>
  </si>
  <si>
    <t>Luciano Napoli</t>
  </si>
  <si>
    <t xml:space="preserve">Service completo. Cambio de aceite y filtros. Control general de mas de 50 puntos del vehiculo. </t>
  </si>
  <si>
    <t>Lampara H7</t>
  </si>
  <si>
    <t>Desarmar suspension de ambos lados. Sacar ambos amortiguadores completos. Reparar con cazoletas nuevas. Armado total. Regulacion de convergencia.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</si>
</sst>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44" formatCode="_-&quot;$&quot;\ * #,##0.00_-;\-&quot;$&quot;\ * #,##0.00_-;_-&quot;$&quot;\ * &quot;-&quot;??_-;_-@_-"/>
  </numFmts>
  <fonts count="16" x14ac:knownFonts="1">
    <font>
      <sz val="12"/>
      <color theme="1"/>
      <name val="Calibri"/>
      <family val="2"/>
      <scheme val="minor"/>
    </font>
    <font>
      <sz val="12"/>
      <color theme="1"/>
      <name val="Calibri"/>
      <family val="2"/>
      <scheme val="minor"/>
    </font>
    <font>
      <b/>
      <sz val="12"/>
      <color theme="0"/>
      <name val="Calibri"/>
      <family val="2"/>
      <scheme val="minor"/>
    </font>
    <font>
      <b/>
      <sz val="12"/>
      <color theme="1"/>
      <name val="Calibri"/>
      <family val="2"/>
      <scheme val="minor"/>
    </font>
    <font>
      <b/>
      <sz val="12"/>
      <color theme="1" tint="0.34998626667073579"/>
      <name val="Calibri"/>
      <family val="2"/>
      <scheme val="minor"/>
    </font>
    <font>
      <u/>
      <sz val="12"/>
      <color theme="10"/>
      <name val="Calibri"/>
      <family val="2"/>
      <scheme val="minor"/>
    </font>
    <font>
      <u/>
      <sz val="12"/>
      <color theme="11"/>
      <name val="Calibri"/>
      <family val="2"/>
      <scheme val="minor"/>
    </font>
    <font>
      <b/>
      <i/>
      <sz val="12"/>
      <color theme="1"/>
      <name val="Calibri"/>
      <family val="2"/>
      <scheme val="minor"/>
    </font>
    <font>
      <sz val="8"/>
      <name val="Calibri"/>
      <family val="2"/>
      <scheme val="minor"/>
    </font>
    <font>
      <b/>
      <sz val="10"/>
      <name val="Arial"/>
      <family val="2"/>
    </font>
    <font>
      <i/>
      <sz val="12"/>
      <color theme="1"/>
      <name val="Calibri"/>
      <family val="2"/>
      <scheme val="minor"/>
    </font>
    <font>
      <sz val="12"/>
      <color theme="0"/>
      <name val="Calibri"/>
      <family val="2"/>
      <scheme val="minor"/>
    </font>
    <font>
      <sz val="12"/>
      <name val="Calibri"/>
      <family val="2"/>
      <scheme val="minor"/>
    </font>
    <font>
      <b/>
      <sz val="11"/>
      <color theme="1"/>
      <name val="Calibri"/>
      <family val="2"/>
      <scheme val="minor"/>
    </font>
    <font>
      <b/>
      <sz val="16"/>
      <color rgb="FFFF0000"/>
      <name val="Calibri"/>
      <family val="2"/>
      <scheme val="minor"/>
    </font>
    <font>
      <b/>
      <sz val="18"/>
      <color rgb="FFFFFF00"/>
      <name val="Calibri"/>
      <family val="2"/>
      <scheme val="minor"/>
    </font>
  </fonts>
  <fills count="8">
    <fill>
      <patternFill patternType="none"/>
    </fill>
    <fill>
      <patternFill patternType="gray125"/>
    </fill>
    <fill>
      <patternFill patternType="solid">
        <fgColor theme="6" tint="0.79998168889431442"/>
        <bgColor indexed="64"/>
      </patternFill>
    </fill>
    <fill>
      <patternFill patternType="solid">
        <fgColor theme="3" tint="0.79998168889431442"/>
        <bgColor indexed="64"/>
      </patternFill>
    </fill>
    <fill>
      <patternFill patternType="solid">
        <fgColor theme="3" tint="0.39997558519241921"/>
        <bgColor indexed="64"/>
      </patternFill>
    </fill>
    <fill>
      <patternFill patternType="solid">
        <fgColor indexed="22"/>
        <bgColor indexed="64"/>
      </patternFill>
    </fill>
    <fill>
      <patternFill patternType="solid">
        <fgColor theme="0" tint="-4.9989318521683403E-2"/>
        <bgColor indexed="64"/>
      </patternFill>
    </fill>
    <fill>
      <patternFill patternType="solid">
        <fgColor theme="9" tint="-0.249977111117893"/>
        <bgColor indexed="64"/>
      </patternFill>
    </fill>
  </fills>
  <borders count="5">
    <border>
      <left/>
      <right/>
      <top/>
      <bottom/>
      <diagonal/>
    </border>
    <border>
      <left/>
      <right/>
      <top/>
      <bottom style="double">
        <color auto="1"/>
      </bottom>
      <diagonal/>
    </border>
    <border>
      <left/>
      <right/>
      <top/>
      <bottom style="medium">
        <color auto="1"/>
      </bottom>
      <diagonal/>
    </border>
    <border>
      <left style="thin">
        <color indexed="8"/>
      </left>
      <right style="thin">
        <color indexed="8"/>
      </right>
      <top style="thin">
        <color indexed="8"/>
      </top>
      <bottom style="thin">
        <color indexed="8"/>
      </bottom>
      <diagonal/>
    </border>
    <border>
      <left/>
      <right style="thin">
        <color auto="1"/>
      </right>
      <top/>
      <bottom/>
      <diagonal/>
    </border>
  </borders>
  <cellStyleXfs count="113">
    <xf numFmtId="0" fontId="0" fillId="0" borderId="0"/>
    <xf numFmtId="44" fontId="1" fillId="0" borderId="0" applyFont="0" applyFill="0" applyBorder="0" applyAlignment="0" applyProtection="0"/>
    <xf numFmtId="9" fontId="1" fillId="0" borderId="0" applyFon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cellStyleXfs>
  <cellXfs count="62">
    <xf numFmtId="0" fontId="0" fillId="0" borderId="0" xfId="0"/>
    <xf numFmtId="44" fontId="0" fillId="0" borderId="0" xfId="1" applyFont="1"/>
    <xf numFmtId="0" fontId="9" fillId="5" borderId="3" xfId="0" applyFont="1" applyFill="1" applyBorder="1" applyAlignment="1">
      <alignment horizontal="center"/>
    </xf>
    <xf numFmtId="9" fontId="0" fillId="0" borderId="0" xfId="0" applyNumberFormat="1"/>
    <xf numFmtId="0" fontId="3" fillId="3" borderId="0" xfId="0" applyFont="1" applyFill="1" applyAlignment="1">
      <alignment horizontal="center" vertical="center"/>
    </xf>
    <xf numFmtId="9" fontId="0" fillId="0" borderId="0" xfId="0" applyNumberFormat="1" applyAlignment="1">
      <alignment horizontal="right"/>
    </xf>
    <xf numFmtId="0" fontId="0" fillId="0" borderId="0" xfId="0" applyProtection="1">
      <protection locked="0"/>
    </xf>
    <xf numFmtId="44" fontId="0" fillId="0" borderId="0" xfId="1" applyFont="1" applyProtection="1">
      <protection locked="0"/>
    </xf>
    <xf numFmtId="14" fontId="0" fillId="0" borderId="0" xfId="0" applyNumberFormat="1"/>
    <xf numFmtId="0" fontId="0" fillId="0" borderId="1" xfId="0" applyBorder="1"/>
    <xf numFmtId="0" fontId="3" fillId="0" borderId="0" xfId="0" applyFont="1"/>
    <xf numFmtId="0" fontId="7" fillId="0" borderId="0" xfId="0" applyFont="1"/>
    <xf numFmtId="0" fontId="0" fillId="0" borderId="2" xfId="0" applyBorder="1"/>
    <xf numFmtId="0" fontId="0" fillId="0" borderId="0" xfId="0" applyAlignment="1">
      <alignment horizontal="center"/>
    </xf>
    <xf numFmtId="44" fontId="0" fillId="0" borderId="0" xfId="1" applyFont="1" applyProtection="1"/>
    <xf numFmtId="0" fontId="0" fillId="0" borderId="2" xfId="0" applyBorder="1" applyAlignment="1">
      <alignment horizontal="center"/>
    </xf>
    <xf numFmtId="0" fontId="3" fillId="0" borderId="0" xfId="0" applyFont="1" applyAlignment="1">
      <alignment horizontal="right"/>
    </xf>
    <xf numFmtId="44" fontId="0" fillId="0" borderId="0" xfId="0" applyNumberFormat="1"/>
    <xf numFmtId="44" fontId="0" fillId="0" borderId="0" xfId="1" applyFont="1" applyBorder="1" applyProtection="1">
      <protection locked="0"/>
    </xf>
    <xf numFmtId="9" fontId="0" fillId="0" borderId="0" xfId="2" applyFont="1" applyBorder="1" applyProtection="1">
      <protection locked="0"/>
    </xf>
    <xf numFmtId="0" fontId="4" fillId="3" borderId="0" xfId="0" applyFont="1" applyFill="1" applyProtection="1">
      <protection locked="0"/>
    </xf>
    <xf numFmtId="0" fontId="4" fillId="3" borderId="4" xfId="0" applyFont="1" applyFill="1" applyBorder="1" applyProtection="1">
      <protection locked="0"/>
    </xf>
    <xf numFmtId="44" fontId="4" fillId="2" borderId="0" xfId="1" applyFont="1" applyFill="1" applyBorder="1" applyProtection="1">
      <protection locked="0"/>
    </xf>
    <xf numFmtId="9" fontId="4" fillId="2" borderId="0" xfId="2" applyFont="1" applyFill="1" applyBorder="1" applyProtection="1">
      <protection locked="0"/>
    </xf>
    <xf numFmtId="44" fontId="4" fillId="3" borderId="0" xfId="1" applyFont="1" applyFill="1" applyProtection="1">
      <protection locked="0"/>
    </xf>
    <xf numFmtId="14" fontId="0" fillId="0" borderId="0" xfId="0" applyNumberFormat="1" applyProtection="1">
      <protection locked="0"/>
    </xf>
    <xf numFmtId="0" fontId="0" fillId="0" borderId="4" xfId="0" applyBorder="1" applyProtection="1">
      <protection locked="0"/>
    </xf>
    <xf numFmtId="0" fontId="0" fillId="0" borderId="0" xfId="2" applyNumberFormat="1" applyFont="1" applyBorder="1" applyProtection="1">
      <protection locked="0"/>
    </xf>
    <xf numFmtId="0" fontId="2" fillId="4" borderId="0" xfId="0" applyFont="1" applyFill="1" applyAlignment="1" applyProtection="1">
      <alignment vertical="center"/>
      <protection locked="0"/>
    </xf>
    <xf numFmtId="0" fontId="2" fillId="4" borderId="0" xfId="0" applyFont="1" applyFill="1" applyAlignment="1">
      <alignment vertical="center"/>
    </xf>
    <xf numFmtId="0" fontId="4" fillId="6" borderId="0" xfId="0" applyFont="1" applyFill="1"/>
    <xf numFmtId="0" fontId="0" fillId="6" borderId="0" xfId="0" applyFill="1"/>
    <xf numFmtId="44" fontId="0" fillId="0" borderId="0" xfId="1" applyFont="1" applyBorder="1" applyProtection="1"/>
    <xf numFmtId="44" fontId="4" fillId="2" borderId="0" xfId="1" applyFont="1" applyFill="1" applyBorder="1" applyProtection="1"/>
    <xf numFmtId="44" fontId="0" fillId="6" borderId="0" xfId="1" applyFont="1" applyFill="1" applyBorder="1" applyProtection="1"/>
    <xf numFmtId="44" fontId="4" fillId="2" borderId="4" xfId="1" applyFont="1" applyFill="1" applyBorder="1" applyProtection="1"/>
    <xf numFmtId="44" fontId="0" fillId="6" borderId="4" xfId="1" applyFont="1" applyFill="1" applyBorder="1" applyProtection="1"/>
    <xf numFmtId="44" fontId="0" fillId="0" borderId="4" xfId="1" applyFont="1" applyBorder="1" applyProtection="1"/>
    <xf numFmtId="44" fontId="4" fillId="2" borderId="0" xfId="1" applyFont="1" applyFill="1" applyProtection="1"/>
    <xf numFmtId="44" fontId="0" fillId="6" borderId="0" xfId="1" applyFont="1" applyFill="1" applyProtection="1"/>
    <xf numFmtId="44" fontId="4" fillId="6" borderId="0" xfId="1" applyFont="1" applyFill="1" applyProtection="1"/>
    <xf numFmtId="44" fontId="0" fillId="6" borderId="0" xfId="0" applyNumberFormat="1" applyFill="1"/>
    <xf numFmtId="0" fontId="10" fillId="0" borderId="0" xfId="0" applyFont="1"/>
    <xf numFmtId="0" fontId="11" fillId="0" borderId="0" xfId="0" applyFont="1"/>
    <xf numFmtId="0" fontId="2" fillId="4" borderId="0" xfId="0" applyFont="1" applyFill="1" applyAlignment="1">
      <alignment horizontal="center" vertical="center"/>
    </xf>
    <xf numFmtId="0" fontId="2" fillId="4" borderId="0" xfId="0" applyFont="1" applyFill="1" applyAlignment="1" applyProtection="1">
      <alignment horizontal="center" vertical="center"/>
      <protection locked="0"/>
    </xf>
    <xf numFmtId="0" fontId="4" fillId="3" borderId="0" xfId="0" applyFont="1" applyFill="1" applyAlignment="1" applyProtection="1">
      <alignment horizontal="center"/>
      <protection locked="0"/>
    </xf>
    <xf numFmtId="0" fontId="0" fillId="0" borderId="0" xfId="0" applyAlignment="1" applyProtection="1">
      <alignment horizontal="center"/>
      <protection locked="0"/>
    </xf>
    <xf numFmtId="14" fontId="0" fillId="0" borderId="0" xfId="0" applyNumberFormat="1" applyAlignment="1" applyProtection="1">
      <alignment horizontal="center"/>
      <protection locked="0"/>
    </xf>
    <xf numFmtId="1" fontId="0" fillId="0" borderId="0" xfId="2" applyNumberFormat="1" applyFont="1" applyBorder="1" applyProtection="1">
      <protection locked="0"/>
    </xf>
    <xf numFmtId="0" fontId="12" fillId="0" borderId="0" xfId="0" applyFont="1" applyProtection="1">
      <protection locked="0"/>
    </xf>
    <xf numFmtId="0" fontId="13" fillId="0" borderId="0" xfId="0" applyFont="1" applyProtection="1">
      <protection locked="0"/>
    </xf>
    <xf numFmtId="0" fontId="13" fillId="0" borderId="0" xfId="0" applyFont="1"/>
    <xf numFmtId="0" fontId="14" fillId="0" borderId="0" xfId="0" applyFont="1" applyAlignment="1" applyProtection="1">
      <alignment vertical="center"/>
      <protection locked="0"/>
    </xf>
    <xf numFmtId="0" fontId="0" fillId="0" borderId="0" xfId="0" applyAlignment="1" applyProtection="1">
      <alignment horizontal="center" wrapText="1"/>
      <protection locked="0"/>
    </xf>
    <xf numFmtId="0" fontId="15" fillId="4" borderId="0" xfId="0" applyFont="1" applyFill="1" applyAlignment="1" applyProtection="1">
      <alignment horizontal="center" vertical="top"/>
      <protection locked="0"/>
    </xf>
    <xf numFmtId="0" fontId="0" fillId="0" borderId="0" xfId="0" applyAlignment="1">
      <alignment horizontal="left" vertical="top" wrapText="1"/>
    </xf>
    <xf numFmtId="0" fontId="0" fillId="0" borderId="2" xfId="0" applyBorder="1" applyAlignment="1">
      <alignment horizontal="left" vertical="top" wrapText="1"/>
    </xf>
    <xf numFmtId="0" fontId="2" fillId="7" borderId="1" xfId="0" applyFont="1" applyFill="1" applyBorder="1" applyAlignment="1" applyProtection="1">
      <alignment horizontal="center" vertical="center"/>
      <protection locked="0"/>
    </xf>
    <xf numFmtId="44" fontId="0" fillId="0" borderId="0" xfId="0" applyNumberFormat="1" applyAlignment="1">
      <alignment horizontal="left"/>
    </xf>
    <xf numFmtId="0" fontId="7" fillId="0" borderId="0" xfId="0" applyFont="1" applyAlignment="1">
      <alignment horizontal="center"/>
    </xf>
    <xf numFmtId="0" fontId="2" fillId="4" borderId="1" xfId="0" applyFont="1" applyFill="1" applyBorder="1" applyAlignment="1">
      <alignment horizontal="center" vertical="center"/>
    </xf>
  </cellXfs>
  <cellStyles count="113">
    <cellStyle name="Hipervínculo" xfId="3" builtinId="8" hidden="1"/>
    <cellStyle name="Hipervínculo" xfId="5" builtinId="8" hidden="1"/>
    <cellStyle name="Hipervínculo" xfId="7" builtinId="8" hidden="1"/>
    <cellStyle name="Hipervínculo" xfId="9" builtinId="8" hidden="1"/>
    <cellStyle name="Hipervínculo" xfId="11" builtinId="8" hidden="1"/>
    <cellStyle name="Hipervínculo" xfId="13" builtinId="8" hidden="1"/>
    <cellStyle name="Hipervínculo" xfId="15" builtinId="8" hidden="1"/>
    <cellStyle name="Hipervínculo" xfId="17" builtinId="8" hidden="1"/>
    <cellStyle name="Hipervínculo" xfId="19" builtinId="8" hidden="1"/>
    <cellStyle name="Hipervínculo" xfId="21" builtinId="8" hidden="1"/>
    <cellStyle name="Hipervínculo" xfId="23" builtinId="8" hidden="1"/>
    <cellStyle name="Hipervínculo" xfId="25" builtinId="8" hidden="1"/>
    <cellStyle name="Hipervínculo" xfId="27" builtinId="8" hidden="1"/>
    <cellStyle name="Hipervínculo" xfId="29" builtinId="8" hidden="1"/>
    <cellStyle name="Hipervínculo" xfId="31" builtinId="8" hidden="1"/>
    <cellStyle name="Hipervínculo" xfId="33" builtinId="8" hidden="1"/>
    <cellStyle name="Hipervínculo" xfId="35" builtinId="8" hidden="1"/>
    <cellStyle name="Hipervínculo" xfId="37" builtinId="8" hidden="1"/>
    <cellStyle name="Hipervínculo" xfId="39" builtinId="8" hidden="1"/>
    <cellStyle name="Hipervínculo" xfId="41" builtinId="8" hidden="1"/>
    <cellStyle name="Hipervínculo" xfId="43" builtinId="8" hidden="1"/>
    <cellStyle name="Hipervínculo" xfId="45" builtinId="8" hidden="1"/>
    <cellStyle name="Hipervínculo" xfId="47" builtinId="8" hidden="1"/>
    <cellStyle name="Hipervínculo" xfId="49" builtinId="8" hidden="1"/>
    <cellStyle name="Hipervínculo" xfId="51" builtinId="8" hidden="1"/>
    <cellStyle name="Hipervínculo" xfId="53" builtinId="8" hidden="1"/>
    <cellStyle name="Hipervínculo" xfId="55" builtinId="8" hidden="1"/>
    <cellStyle name="Hipervínculo" xfId="57" builtinId="8" hidden="1"/>
    <cellStyle name="Hipervínculo" xfId="59" builtinId="8" hidden="1"/>
    <cellStyle name="Hipervínculo" xfId="61" builtinId="8" hidden="1"/>
    <cellStyle name="Hipervínculo" xfId="63" builtinId="8" hidden="1"/>
    <cellStyle name="Hipervínculo" xfId="65" builtinId="8" hidden="1"/>
    <cellStyle name="Hipervínculo" xfId="67" builtinId="8" hidden="1"/>
    <cellStyle name="Hipervínculo" xfId="69" builtinId="8" hidden="1"/>
    <cellStyle name="Hipervínculo" xfId="71" builtinId="8" hidden="1"/>
    <cellStyle name="Hipervínculo" xfId="73" builtinId="8" hidden="1"/>
    <cellStyle name="Hipervínculo" xfId="75" builtinId="8" hidden="1"/>
    <cellStyle name="Hipervínculo" xfId="77" builtinId="8" hidden="1"/>
    <cellStyle name="Hipervínculo" xfId="79" builtinId="8" hidden="1"/>
    <cellStyle name="Hipervínculo" xfId="81" builtinId="8" hidden="1"/>
    <cellStyle name="Hipervínculo" xfId="83" builtinId="8" hidden="1"/>
    <cellStyle name="Hipervínculo" xfId="85" builtinId="8" hidden="1"/>
    <cellStyle name="Hipervínculo" xfId="87" builtinId="8" hidden="1"/>
    <cellStyle name="Hipervínculo" xfId="89" builtinId="8" hidden="1"/>
    <cellStyle name="Hipervínculo" xfId="91" builtinId="8" hidden="1"/>
    <cellStyle name="Hipervínculo" xfId="93" builtinId="8" hidden="1"/>
    <cellStyle name="Hipervínculo" xfId="95" builtinId="8" hidden="1"/>
    <cellStyle name="Hipervínculo" xfId="97" builtinId="8" hidden="1"/>
    <cellStyle name="Hipervínculo" xfId="99" builtinId="8" hidden="1"/>
    <cellStyle name="Hipervínculo" xfId="101" builtinId="8" hidden="1"/>
    <cellStyle name="Hipervínculo" xfId="103" builtinId="8" hidden="1"/>
    <cellStyle name="Hipervínculo" xfId="105" builtinId="8" hidden="1"/>
    <cellStyle name="Hipervínculo" xfId="107" builtinId="8" hidden="1"/>
    <cellStyle name="Hipervínculo" xfId="109" builtinId="8" hidden="1"/>
    <cellStyle name="Hipervínculo" xfId="111" builtinId="8" hidden="1"/>
    <cellStyle name="Hipervínculo visitado" xfId="4" builtinId="9" hidden="1"/>
    <cellStyle name="Hipervínculo visitado" xfId="6" builtinId="9" hidden="1"/>
    <cellStyle name="Hipervínculo visitado" xfId="8" builtinId="9" hidden="1"/>
    <cellStyle name="Hipervínculo visitado" xfId="10" builtinId="9" hidden="1"/>
    <cellStyle name="Hipervínculo visitado" xfId="12" builtinId="9" hidden="1"/>
    <cellStyle name="Hipervínculo visitado" xfId="14" builtinId="9" hidden="1"/>
    <cellStyle name="Hipervínculo visitado" xfId="16" builtinId="9" hidden="1"/>
    <cellStyle name="Hipervínculo visitado" xfId="18" builtinId="9" hidden="1"/>
    <cellStyle name="Hipervínculo visitado" xfId="20" builtinId="9" hidden="1"/>
    <cellStyle name="Hipervínculo visitado" xfId="22" builtinId="9" hidden="1"/>
    <cellStyle name="Hipervínculo visitado" xfId="24" builtinId="9" hidden="1"/>
    <cellStyle name="Hipervínculo visitado" xfId="26" builtinId="9" hidden="1"/>
    <cellStyle name="Hipervínculo visitado" xfId="28" builtinId="9" hidden="1"/>
    <cellStyle name="Hipervínculo visitado" xfId="30" builtinId="9" hidden="1"/>
    <cellStyle name="Hipervínculo visitado" xfId="32" builtinId="9" hidden="1"/>
    <cellStyle name="Hipervínculo visitado" xfId="34" builtinId="9" hidden="1"/>
    <cellStyle name="Hipervínculo visitado" xfId="36" builtinId="9" hidden="1"/>
    <cellStyle name="Hipervínculo visitado" xfId="38" builtinId="9" hidden="1"/>
    <cellStyle name="Hipervínculo visitado" xfId="40" builtinId="9" hidden="1"/>
    <cellStyle name="Hipervínculo visitado" xfId="42" builtinId="9" hidden="1"/>
    <cellStyle name="Hipervínculo visitado" xfId="44" builtinId="9" hidden="1"/>
    <cellStyle name="Hipervínculo visitado" xfId="46" builtinId="9" hidden="1"/>
    <cellStyle name="Hipervínculo visitado" xfId="48" builtinId="9" hidden="1"/>
    <cellStyle name="Hipervínculo visitado" xfId="50" builtinId="9" hidden="1"/>
    <cellStyle name="Hipervínculo visitado" xfId="52" builtinId="9" hidden="1"/>
    <cellStyle name="Hipervínculo visitado" xfId="54" builtinId="9" hidden="1"/>
    <cellStyle name="Hipervínculo visitado" xfId="56" builtinId="9" hidden="1"/>
    <cellStyle name="Hipervínculo visitado" xfId="58" builtinId="9" hidden="1"/>
    <cellStyle name="Hipervínculo visitado" xfId="60" builtinId="9" hidden="1"/>
    <cellStyle name="Hipervínculo visitado" xfId="62" builtinId="9" hidden="1"/>
    <cellStyle name="Hipervínculo visitado" xfId="64" builtinId="9" hidden="1"/>
    <cellStyle name="Hipervínculo visitado" xfId="66" builtinId="9" hidden="1"/>
    <cellStyle name="Hipervínculo visitado" xfId="68" builtinId="9" hidden="1"/>
    <cellStyle name="Hipervínculo visitado" xfId="70" builtinId="9" hidden="1"/>
    <cellStyle name="Hipervínculo visitado" xfId="72" builtinId="9" hidden="1"/>
    <cellStyle name="Hipervínculo visitado" xfId="74" builtinId="9" hidden="1"/>
    <cellStyle name="Hipervínculo visitado" xfId="76" builtinId="9" hidden="1"/>
    <cellStyle name="Hipervínculo visitado" xfId="78" builtinId="9" hidden="1"/>
    <cellStyle name="Hipervínculo visitado" xfId="80" builtinId="9" hidden="1"/>
    <cellStyle name="Hipervínculo visitado" xfId="82" builtinId="9" hidden="1"/>
    <cellStyle name="Hipervínculo visitado" xfId="84" builtinId="9" hidden="1"/>
    <cellStyle name="Hipervínculo visitado" xfId="86" builtinId="9" hidden="1"/>
    <cellStyle name="Hipervínculo visitado" xfId="88" builtinId="9" hidden="1"/>
    <cellStyle name="Hipervínculo visitado" xfId="90" builtinId="9" hidden="1"/>
    <cellStyle name="Hipervínculo visitado" xfId="92" builtinId="9" hidden="1"/>
    <cellStyle name="Hipervínculo visitado" xfId="94" builtinId="9" hidden="1"/>
    <cellStyle name="Hipervínculo visitado" xfId="96" builtinId="9" hidden="1"/>
    <cellStyle name="Hipervínculo visitado" xfId="98" builtinId="9" hidden="1"/>
    <cellStyle name="Hipervínculo visitado" xfId="100" builtinId="9" hidden="1"/>
    <cellStyle name="Hipervínculo visitado" xfId="102" builtinId="9" hidden="1"/>
    <cellStyle name="Hipervínculo visitado" xfId="104" builtinId="9" hidden="1"/>
    <cellStyle name="Hipervínculo visitado" xfId="106" builtinId="9" hidden="1"/>
    <cellStyle name="Hipervínculo visitado" xfId="108" builtinId="9" hidden="1"/>
    <cellStyle name="Hipervínculo visitado" xfId="110" builtinId="9" hidden="1"/>
    <cellStyle name="Hipervínculo visitado" xfId="112" builtinId="9" hidden="1"/>
    <cellStyle name="Moneda" xfId="1" builtinId="4"/>
    <cellStyle name="Normal" xfId="0" builtinId="0"/>
    <cellStyle name="Porcentaje" xfId="2" builtinId="5"/>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12700</xdr:colOff>
      <xdr:row>0</xdr:row>
      <xdr:rowOff>0</xdr:rowOff>
    </xdr:from>
    <xdr:to>
      <xdr:col>1</xdr:col>
      <xdr:colOff>0</xdr:colOff>
      <xdr:row>1</xdr:row>
      <xdr:rowOff>445794</xdr:rowOff>
    </xdr:to>
    <xdr:pic>
      <xdr:nvPicPr>
        <xdr:cNvPr id="2" name="Imagen 1" descr="Logo.jpe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2700" y="0"/>
          <a:ext cx="1346200" cy="63629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78738</xdr:colOff>
      <xdr:row>2</xdr:row>
      <xdr:rowOff>14606</xdr:rowOff>
    </xdr:from>
    <xdr:to>
      <xdr:col>4</xdr:col>
      <xdr:colOff>956945</xdr:colOff>
      <xdr:row>4</xdr:row>
      <xdr:rowOff>33227</xdr:rowOff>
    </xdr:to>
    <xdr:pic>
      <xdr:nvPicPr>
        <xdr:cNvPr id="2" name="Imagen 1" descr="Logo.jpeg">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088888" y="424181"/>
          <a:ext cx="878207" cy="428196"/>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1152"/>
  <sheetViews>
    <sheetView tabSelected="1" workbookViewId="0">
      <pane xSplit="1" ySplit="4" topLeftCell="H298" activePane="bottomRight" state="frozen"/>
      <selection activeCell="C24" sqref="C24"/>
      <selection pane="topRight" activeCell="C24" sqref="C24"/>
      <selection pane="bottomLeft" activeCell="C24" sqref="C24"/>
      <selection pane="bottomRight" activeCell="Q785" sqref="Q785"/>
    </sheetView>
  </sheetViews>
  <sheetFormatPr baseColWidth="10" defaultColWidth="10.875" defaultRowHeight="15.75" x14ac:dyDescent="0.25"/>
  <cols>
    <col min="1" max="1" width="17.875" style="47" customWidth="1"/>
    <col min="2" max="2" width="12.125" hidden="1" customWidth="1"/>
    <col min="3" max="3" width="11.125" style="47" bestFit="1" customWidth="1"/>
    <col min="4" max="4" width="23.375" style="47" customWidth="1"/>
    <col min="5" max="5" width="17.875" hidden="1" customWidth="1"/>
    <col min="6" max="6" width="16.875" style="47" customWidth="1"/>
    <col min="7" max="7" width="32" style="47" customWidth="1"/>
    <col min="8" max="8" width="20.625" style="26" customWidth="1"/>
    <col min="9" max="9" width="6.5" hidden="1" customWidth="1"/>
    <col min="10" max="10" width="9.625" style="6" customWidth="1"/>
    <col min="11" max="11" width="32.625" style="26" customWidth="1"/>
    <col min="12" max="12" width="13.625" style="6" customWidth="1"/>
    <col min="13" max="13" width="16.875" style="18" customWidth="1"/>
    <col min="14" max="14" width="12.5" style="18" customWidth="1"/>
    <col min="15" max="16" width="12.5" style="19" customWidth="1"/>
    <col min="17" max="17" width="14.5" style="32" customWidth="1"/>
    <col min="18" max="18" width="14.5" style="37" customWidth="1"/>
    <col min="19" max="19" width="10.875" style="6"/>
    <col min="20" max="20" width="15.5" style="7" customWidth="1"/>
    <col min="21" max="21" width="17.375" style="14" customWidth="1"/>
    <col min="22" max="22" width="14.375" hidden="1" customWidth="1"/>
    <col min="23" max="16384" width="10.875" style="6"/>
  </cols>
  <sheetData>
    <row r="1" spans="1:22" x14ac:dyDescent="0.25">
      <c r="A1" s="44"/>
      <c r="B1" s="29"/>
      <c r="C1" s="45"/>
      <c r="D1" s="44"/>
      <c r="E1" s="29"/>
      <c r="F1" s="44"/>
      <c r="G1" s="44"/>
      <c r="H1" s="29"/>
      <c r="I1" s="29"/>
      <c r="J1" s="29"/>
      <c r="K1" s="29"/>
      <c r="L1" s="29"/>
      <c r="M1" s="29"/>
      <c r="N1" s="29"/>
      <c r="O1" s="29"/>
      <c r="P1" s="29"/>
      <c r="Q1" s="29"/>
      <c r="R1" s="29"/>
      <c r="S1" s="29"/>
      <c r="T1" s="29"/>
      <c r="U1" s="29"/>
      <c r="V1" s="42"/>
    </row>
    <row r="2" spans="1:22" ht="36" customHeight="1" x14ac:dyDescent="0.25">
      <c r="A2" s="45"/>
      <c r="B2" s="29"/>
      <c r="C2" s="45"/>
      <c r="D2" s="55" t="s">
        <v>24</v>
      </c>
      <c r="E2" s="29"/>
      <c r="F2" s="45"/>
      <c r="G2" s="45"/>
      <c r="H2" s="28"/>
      <c r="I2" s="29"/>
      <c r="J2" s="28"/>
      <c r="K2" s="28"/>
      <c r="L2" s="28"/>
      <c r="M2" s="28"/>
      <c r="N2" s="28"/>
      <c r="O2" s="28"/>
      <c r="P2" s="28"/>
      <c r="Q2" s="29"/>
      <c r="R2" s="29"/>
      <c r="S2" s="28"/>
      <c r="T2" s="28"/>
      <c r="U2" s="29"/>
      <c r="V2" s="29"/>
    </row>
    <row r="3" spans="1:22" x14ac:dyDescent="0.25">
      <c r="A3" s="46" t="s">
        <v>14</v>
      </c>
      <c r="B3" s="30" t="s">
        <v>17</v>
      </c>
      <c r="C3" s="46" t="s">
        <v>0</v>
      </c>
      <c r="D3" s="46" t="s">
        <v>307</v>
      </c>
      <c r="E3" s="30"/>
      <c r="F3" s="46" t="s">
        <v>41</v>
      </c>
      <c r="G3" s="46" t="s">
        <v>9</v>
      </c>
      <c r="H3" s="21" t="s">
        <v>1</v>
      </c>
      <c r="I3" s="30"/>
      <c r="J3" s="20" t="s">
        <v>15</v>
      </c>
      <c r="K3" s="21" t="s">
        <v>2</v>
      </c>
      <c r="L3" s="22" t="s">
        <v>47</v>
      </c>
      <c r="M3" s="22" t="s">
        <v>46</v>
      </c>
      <c r="N3" s="22" t="s">
        <v>8</v>
      </c>
      <c r="O3" s="23" t="s">
        <v>6</v>
      </c>
      <c r="P3" s="23" t="s">
        <v>11</v>
      </c>
      <c r="Q3" s="33" t="s">
        <v>7</v>
      </c>
      <c r="R3" s="35" t="s">
        <v>29</v>
      </c>
      <c r="S3" s="20" t="s">
        <v>4</v>
      </c>
      <c r="T3" s="24" t="s">
        <v>5</v>
      </c>
      <c r="U3" s="38" t="s">
        <v>3</v>
      </c>
      <c r="V3" s="40" t="s">
        <v>16</v>
      </c>
    </row>
    <row r="4" spans="1:22" x14ac:dyDescent="0.25">
      <c r="A4" s="47">
        <v>9</v>
      </c>
      <c r="B4" s="31">
        <v>1</v>
      </c>
      <c r="C4" s="48">
        <v>45131</v>
      </c>
      <c r="D4" s="47" t="s">
        <v>51</v>
      </c>
      <c r="E4" s="31" t="str">
        <f t="shared" ref="E4:E15" si="0">CONCATENATE(A4,D4,B4)</f>
        <v>9Saturnino Santa Cruz1</v>
      </c>
      <c r="G4" s="47" t="s">
        <v>49</v>
      </c>
      <c r="H4" s="26" t="s">
        <v>55</v>
      </c>
      <c r="I4" s="31" t="str">
        <f>H4</f>
        <v>Service y Distribución.</v>
      </c>
      <c r="K4" s="26" t="s">
        <v>56</v>
      </c>
      <c r="P4" s="27">
        <v>1</v>
      </c>
      <c r="Q4" s="34">
        <v>22000</v>
      </c>
      <c r="R4" s="36">
        <f t="shared" ref="R4:R27" si="1">Q4*P4</f>
        <v>22000</v>
      </c>
      <c r="S4" s="6">
        <v>1</v>
      </c>
      <c r="T4" s="7">
        <v>60000</v>
      </c>
      <c r="U4" s="39">
        <f t="shared" ref="U4:U67" si="2">+T4*S4</f>
        <v>60000</v>
      </c>
      <c r="V4" s="41">
        <f>U4</f>
        <v>60000</v>
      </c>
    </row>
    <row r="5" spans="1:22" x14ac:dyDescent="0.25">
      <c r="A5" s="47">
        <v>10</v>
      </c>
      <c r="B5" s="31">
        <f t="shared" ref="B5:B68" si="3">IF(A5=A4,B4+1,1)</f>
        <v>1</v>
      </c>
      <c r="C5" s="48" t="str">
        <f>IF(A5=A4,C4,"")</f>
        <v/>
      </c>
      <c r="D5" s="47" t="str">
        <f>IF(A5=A4,D4,"")</f>
        <v/>
      </c>
      <c r="E5" s="31" t="str">
        <f t="shared" si="0"/>
        <v>101</v>
      </c>
      <c r="I5" s="31">
        <f t="shared" ref="I5:I15" si="4">IF(A5=A4,CONCATENATE(I4," ",H5),H5)</f>
        <v>0</v>
      </c>
      <c r="K5" s="26" t="s">
        <v>52</v>
      </c>
      <c r="P5" s="27">
        <v>1</v>
      </c>
      <c r="Q5" s="34">
        <v>14520</v>
      </c>
      <c r="R5" s="36">
        <f t="shared" si="1"/>
        <v>14520</v>
      </c>
      <c r="U5" s="39">
        <f t="shared" si="2"/>
        <v>0</v>
      </c>
      <c r="V5" s="41">
        <f t="shared" ref="V5:V15" si="5">IF(A5=A4,V4+U5,U5)</f>
        <v>0</v>
      </c>
    </row>
    <row r="6" spans="1:22" x14ac:dyDescent="0.25">
      <c r="A6" s="47">
        <v>10</v>
      </c>
      <c r="B6" s="31">
        <f t="shared" si="3"/>
        <v>2</v>
      </c>
      <c r="C6" s="48" t="str">
        <f>IF(A6=A5,C5,"")</f>
        <v/>
      </c>
      <c r="D6" s="47" t="str">
        <f>IF(A6=A5,D5,"")</f>
        <v/>
      </c>
      <c r="E6" s="31" t="str">
        <f t="shared" si="0"/>
        <v>102</v>
      </c>
      <c r="I6" s="31" t="str">
        <f t="shared" si="4"/>
        <v xml:space="preserve">0 </v>
      </c>
      <c r="K6" s="26" t="s">
        <v>53</v>
      </c>
      <c r="P6" s="27">
        <v>1</v>
      </c>
      <c r="Q6" s="34">
        <v>63800</v>
      </c>
      <c r="R6" s="36">
        <f t="shared" si="1"/>
        <v>63800</v>
      </c>
      <c r="U6" s="39">
        <f t="shared" si="2"/>
        <v>0</v>
      </c>
      <c r="V6" s="41">
        <f t="shared" si="5"/>
        <v>0</v>
      </c>
    </row>
    <row r="7" spans="1:22" x14ac:dyDescent="0.25">
      <c r="A7" s="47">
        <v>10</v>
      </c>
      <c r="B7" s="31">
        <f t="shared" si="3"/>
        <v>3</v>
      </c>
      <c r="C7" s="48" t="str">
        <f>IF(A7=A6,C6,"")</f>
        <v/>
      </c>
      <c r="D7" s="47" t="str">
        <f>IF(A7=A6,D6,"")</f>
        <v/>
      </c>
      <c r="E7" s="31" t="str">
        <f t="shared" si="0"/>
        <v>103</v>
      </c>
      <c r="I7" s="31" t="str">
        <f t="shared" si="4"/>
        <v xml:space="preserve">0  </v>
      </c>
      <c r="K7" s="26" t="s">
        <v>54</v>
      </c>
      <c r="P7" s="27">
        <v>1</v>
      </c>
      <c r="Q7" s="34">
        <v>7000</v>
      </c>
      <c r="R7" s="36">
        <f t="shared" si="1"/>
        <v>7000</v>
      </c>
      <c r="U7" s="39">
        <f t="shared" si="2"/>
        <v>0</v>
      </c>
      <c r="V7" s="41">
        <f t="shared" si="5"/>
        <v>0</v>
      </c>
    </row>
    <row r="8" spans="1:22" x14ac:dyDescent="0.25">
      <c r="A8" s="47">
        <v>11</v>
      </c>
      <c r="B8" s="31">
        <f t="shared" si="3"/>
        <v>1</v>
      </c>
      <c r="C8" s="48">
        <v>45132</v>
      </c>
      <c r="D8" s="47" t="s">
        <v>57</v>
      </c>
      <c r="E8" s="31" t="str">
        <f t="shared" si="0"/>
        <v>11OCA LOG S.A1</v>
      </c>
      <c r="F8" s="47">
        <v>297</v>
      </c>
      <c r="G8" s="47" t="s">
        <v>58</v>
      </c>
      <c r="H8" s="26" t="s">
        <v>59</v>
      </c>
      <c r="I8" s="31" t="str">
        <f t="shared" si="4"/>
        <v>Limpieza circuito refrigeración.</v>
      </c>
      <c r="K8" s="26" t="s">
        <v>61</v>
      </c>
      <c r="P8" s="27">
        <v>1</v>
      </c>
      <c r="Q8" s="34">
        <v>4000</v>
      </c>
      <c r="R8" s="36">
        <f t="shared" si="1"/>
        <v>4000</v>
      </c>
      <c r="U8" s="39">
        <f t="shared" si="2"/>
        <v>0</v>
      </c>
      <c r="V8" s="41">
        <f t="shared" si="5"/>
        <v>0</v>
      </c>
    </row>
    <row r="9" spans="1:22" x14ac:dyDescent="0.25">
      <c r="A9" s="47">
        <v>11</v>
      </c>
      <c r="B9" s="31">
        <f t="shared" si="3"/>
        <v>2</v>
      </c>
      <c r="C9" s="48">
        <f>IF(A9=A8,C8,"")</f>
        <v>45132</v>
      </c>
      <c r="D9" s="47" t="str">
        <f>IF(A9=A8,D8,"")</f>
        <v>OCA LOG S.A</v>
      </c>
      <c r="E9" s="31" t="str">
        <f t="shared" si="0"/>
        <v>11OCA LOG S.A2</v>
      </c>
      <c r="H9" s="26" t="s">
        <v>60</v>
      </c>
      <c r="I9" s="31" t="str">
        <f t="shared" si="4"/>
        <v>Limpieza circuito refrigeración. Cambio refrigerante y purgado del circuito.</v>
      </c>
      <c r="K9" s="26" t="s">
        <v>62</v>
      </c>
      <c r="P9" s="27">
        <v>1</v>
      </c>
      <c r="Q9" s="34">
        <v>7000</v>
      </c>
      <c r="R9" s="36">
        <f t="shared" si="1"/>
        <v>7000</v>
      </c>
      <c r="S9" s="6">
        <v>1</v>
      </c>
      <c r="T9" s="7">
        <v>10000</v>
      </c>
      <c r="U9" s="39">
        <f t="shared" si="2"/>
        <v>10000</v>
      </c>
      <c r="V9" s="41">
        <f t="shared" si="5"/>
        <v>10000</v>
      </c>
    </row>
    <row r="10" spans="1:22" x14ac:dyDescent="0.25">
      <c r="A10" s="47">
        <v>11</v>
      </c>
      <c r="B10" s="31">
        <f t="shared" si="3"/>
        <v>3</v>
      </c>
      <c r="C10" s="48">
        <f>IF(A10=A9,C9,"")</f>
        <v>45132</v>
      </c>
      <c r="D10" s="47" t="str">
        <f>IF(A10=A9,D9,"")</f>
        <v>OCA LOG S.A</v>
      </c>
      <c r="E10" s="31" t="str">
        <f t="shared" si="0"/>
        <v>11OCA LOG S.A3</v>
      </c>
      <c r="H10" s="26" t="s">
        <v>63</v>
      </c>
      <c r="I10" s="31" t="str">
        <f t="shared" si="4"/>
        <v>Limpieza circuito refrigeración. Cambio refrigerante y purgado del circuito. Lavado interior del block.</v>
      </c>
      <c r="P10" s="27"/>
      <c r="Q10" s="34"/>
      <c r="R10" s="36">
        <f t="shared" si="1"/>
        <v>0</v>
      </c>
      <c r="U10" s="39">
        <f t="shared" si="2"/>
        <v>0</v>
      </c>
      <c r="V10" s="41">
        <f t="shared" si="5"/>
        <v>10000</v>
      </c>
    </row>
    <row r="11" spans="1:22" x14ac:dyDescent="0.25">
      <c r="A11" s="47">
        <v>12</v>
      </c>
      <c r="B11" s="31">
        <f t="shared" si="3"/>
        <v>1</v>
      </c>
      <c r="C11" s="48">
        <v>45133</v>
      </c>
      <c r="D11" s="47" t="s">
        <v>64</v>
      </c>
      <c r="E11" s="31" t="str">
        <f t="shared" si="0"/>
        <v>12Bastianelli1</v>
      </c>
      <c r="G11" s="47" t="s">
        <v>65</v>
      </c>
      <c r="H11" s="26" t="s">
        <v>99</v>
      </c>
      <c r="I11" s="31" t="str">
        <f t="shared" si="4"/>
        <v>Cambiar kit de distribución.</v>
      </c>
      <c r="K11" s="26" t="s">
        <v>53</v>
      </c>
      <c r="P11" s="27">
        <v>1</v>
      </c>
      <c r="Q11" s="34">
        <v>28000</v>
      </c>
      <c r="R11" s="36">
        <f t="shared" si="1"/>
        <v>28000</v>
      </c>
      <c r="U11" s="39">
        <f t="shared" si="2"/>
        <v>0</v>
      </c>
      <c r="V11" s="41">
        <f t="shared" si="5"/>
        <v>0</v>
      </c>
    </row>
    <row r="12" spans="1:22" x14ac:dyDescent="0.25">
      <c r="A12" s="47">
        <v>12</v>
      </c>
      <c r="B12" s="31">
        <f t="shared" si="3"/>
        <v>2</v>
      </c>
      <c r="C12" s="48">
        <f>IF(A12=A11,C11,"")</f>
        <v>45133</v>
      </c>
      <c r="D12" s="47" t="str">
        <f>IF(A12=A11,D11,"")</f>
        <v>Bastianelli</v>
      </c>
      <c r="E12" s="31" t="str">
        <f t="shared" si="0"/>
        <v>12Bastianelli2</v>
      </c>
      <c r="H12" s="26" t="s">
        <v>67</v>
      </c>
      <c r="I12" s="31" t="str">
        <f t="shared" si="4"/>
        <v>Cambiar kit de distribución. Cambiar correa poliv.</v>
      </c>
      <c r="K12" s="26" t="s">
        <v>68</v>
      </c>
      <c r="P12" s="27">
        <v>1</v>
      </c>
      <c r="Q12" s="34">
        <v>9000</v>
      </c>
      <c r="R12" s="36">
        <f t="shared" si="1"/>
        <v>9000</v>
      </c>
      <c r="U12" s="39">
        <f t="shared" si="2"/>
        <v>0</v>
      </c>
      <c r="V12" s="41">
        <f t="shared" si="5"/>
        <v>0</v>
      </c>
    </row>
    <row r="13" spans="1:22" x14ac:dyDescent="0.25">
      <c r="A13" s="47">
        <v>12</v>
      </c>
      <c r="B13" s="31">
        <f t="shared" si="3"/>
        <v>3</v>
      </c>
      <c r="C13" s="48">
        <f>IF(A13=A12,C12,"")</f>
        <v>45133</v>
      </c>
      <c r="D13" s="47" t="str">
        <f>IF(A13=A12,D12,"")</f>
        <v>Bastianelli</v>
      </c>
      <c r="E13" s="31" t="str">
        <f t="shared" si="0"/>
        <v>12Bastianelli3</v>
      </c>
      <c r="H13" s="26" t="s">
        <v>66</v>
      </c>
      <c r="I13" s="31" t="str">
        <f t="shared" si="4"/>
        <v>Cambiar kit de distribución. Cambiar correa poliv. Cambiar bomba de agua.</v>
      </c>
      <c r="K13" s="26" t="s">
        <v>69</v>
      </c>
      <c r="P13" s="27">
        <v>1</v>
      </c>
      <c r="Q13" s="34">
        <v>15800</v>
      </c>
      <c r="R13" s="36">
        <f t="shared" si="1"/>
        <v>15800</v>
      </c>
      <c r="U13" s="39">
        <f t="shared" si="2"/>
        <v>0</v>
      </c>
      <c r="V13" s="41">
        <f t="shared" si="5"/>
        <v>0</v>
      </c>
    </row>
    <row r="14" spans="1:22" x14ac:dyDescent="0.25">
      <c r="A14" s="47">
        <v>12</v>
      </c>
      <c r="B14" s="31">
        <f t="shared" si="3"/>
        <v>4</v>
      </c>
      <c r="C14" s="48">
        <f>IF(A14=A13,C13,"")</f>
        <v>45133</v>
      </c>
      <c r="D14" s="47" t="str">
        <f>IF(A14=A13,D13,"")</f>
        <v>Bastianelli</v>
      </c>
      <c r="E14" s="31" t="str">
        <f t="shared" si="0"/>
        <v>12Bastianelli4</v>
      </c>
      <c r="I14" s="31" t="str">
        <f t="shared" si="4"/>
        <v xml:space="preserve">Cambiar kit de distribución. Cambiar correa poliv. Cambiar bomba de agua. </v>
      </c>
      <c r="K14" s="26" t="s">
        <v>70</v>
      </c>
      <c r="P14" s="27">
        <v>1</v>
      </c>
      <c r="Q14" s="34">
        <v>7000</v>
      </c>
      <c r="R14" s="36">
        <f t="shared" si="1"/>
        <v>7000</v>
      </c>
      <c r="S14" s="6">
        <v>1</v>
      </c>
      <c r="T14" s="7">
        <v>38000</v>
      </c>
      <c r="U14" s="39">
        <f t="shared" si="2"/>
        <v>38000</v>
      </c>
      <c r="V14" s="41">
        <f t="shared" si="5"/>
        <v>38000</v>
      </c>
    </row>
    <row r="15" spans="1:22" x14ac:dyDescent="0.25">
      <c r="A15" s="47">
        <v>12</v>
      </c>
      <c r="B15" s="31">
        <f t="shared" si="3"/>
        <v>5</v>
      </c>
      <c r="C15" s="48">
        <f>IF(A15=A14,C14,"")</f>
        <v>45133</v>
      </c>
      <c r="D15" s="47" t="str">
        <f>IF(A15=A14,D14,"")</f>
        <v>Bastianelli</v>
      </c>
      <c r="E15" s="31" t="str">
        <f t="shared" si="0"/>
        <v>12Bastianelli5</v>
      </c>
      <c r="I15" s="31" t="str">
        <f t="shared" si="4"/>
        <v xml:space="preserve">Cambiar kit de distribución. Cambiar correa poliv. Cambiar bomba de agua.  </v>
      </c>
      <c r="K15" s="26" t="s">
        <v>71</v>
      </c>
      <c r="P15" s="27"/>
      <c r="Q15" s="34"/>
      <c r="R15" s="36">
        <f t="shared" si="1"/>
        <v>0</v>
      </c>
      <c r="U15" s="39">
        <f t="shared" si="2"/>
        <v>0</v>
      </c>
      <c r="V15" s="41">
        <f t="shared" si="5"/>
        <v>38000</v>
      </c>
    </row>
    <row r="16" spans="1:22" x14ac:dyDescent="0.25">
      <c r="A16" s="47">
        <v>13</v>
      </c>
      <c r="B16" s="31">
        <f t="shared" si="3"/>
        <v>1</v>
      </c>
      <c r="C16" s="48">
        <v>45139</v>
      </c>
      <c r="D16" s="47" t="s">
        <v>57</v>
      </c>
      <c r="E16" s="31" t="str">
        <f>CONCATENATE(A18,D16,B16)</f>
        <v>13OCA LOG S.A1</v>
      </c>
      <c r="F16" s="47">
        <v>297</v>
      </c>
      <c r="G16" s="47" t="s">
        <v>58</v>
      </c>
      <c r="H16" s="26" t="s">
        <v>72</v>
      </c>
      <c r="I16" s="31" t="str">
        <f>IF(A18=A15,CONCATENATE(I15," ",H16),H16)</f>
        <v>Sacar turbo multiple de escape.</v>
      </c>
      <c r="P16" s="27"/>
      <c r="Q16" s="34"/>
      <c r="R16" s="36">
        <f t="shared" si="1"/>
        <v>0</v>
      </c>
      <c r="S16" s="6">
        <v>1</v>
      </c>
      <c r="T16" s="7">
        <v>35000</v>
      </c>
      <c r="U16" s="39">
        <f t="shared" si="2"/>
        <v>35000</v>
      </c>
      <c r="V16" s="41">
        <f>IF(A18=A15,V15+U16,U16)</f>
        <v>35000</v>
      </c>
    </row>
    <row r="17" spans="1:22" x14ac:dyDescent="0.25">
      <c r="A17" s="47">
        <v>13</v>
      </c>
      <c r="B17" s="31">
        <f t="shared" si="3"/>
        <v>2</v>
      </c>
      <c r="C17" s="48">
        <v>45139</v>
      </c>
      <c r="D17" s="47" t="s">
        <v>57</v>
      </c>
      <c r="E17" s="31" t="str">
        <f t="shared" ref="E17:E80" si="6">CONCATENATE(A17,D17,B17)</f>
        <v>13OCA LOG S.A2</v>
      </c>
      <c r="H17" s="26" t="s">
        <v>73</v>
      </c>
      <c r="I17" s="31" t="str">
        <f>IF(A17=A18,CONCATENATE(I16," ",H17),H17)</f>
        <v>Sacar turbo multiple de escape. Cambiar tapones de block lado izquierdo. Armado total.</v>
      </c>
      <c r="P17" s="27"/>
      <c r="Q17" s="34"/>
      <c r="R17" s="36">
        <f t="shared" si="1"/>
        <v>0</v>
      </c>
      <c r="U17" s="39">
        <f t="shared" si="2"/>
        <v>0</v>
      </c>
      <c r="V17" s="41">
        <f>IF(A17=A18,V16+U17,U17)</f>
        <v>35000</v>
      </c>
    </row>
    <row r="18" spans="1:22" x14ac:dyDescent="0.25">
      <c r="A18" s="47">
        <v>13</v>
      </c>
      <c r="B18" s="31">
        <f t="shared" si="3"/>
        <v>3</v>
      </c>
      <c r="C18" s="48">
        <v>45139</v>
      </c>
      <c r="D18" s="47" t="s">
        <v>57</v>
      </c>
      <c r="E18" s="31" t="str">
        <f t="shared" si="6"/>
        <v>13OCA LOG S.A3</v>
      </c>
      <c r="I18" s="31" t="e">
        <f>IF(#REF!=A17,CONCATENATE(I17," ",H18),H18)</f>
        <v>#REF!</v>
      </c>
      <c r="P18" s="27"/>
      <c r="Q18" s="34"/>
      <c r="R18" s="36">
        <f t="shared" si="1"/>
        <v>0</v>
      </c>
      <c r="U18" s="39">
        <f t="shared" si="2"/>
        <v>0</v>
      </c>
      <c r="V18" s="41" t="e">
        <f>IF(#REF!=A17,V17+U18,U18)</f>
        <v>#REF!</v>
      </c>
    </row>
    <row r="19" spans="1:22" x14ac:dyDescent="0.25">
      <c r="A19" s="47">
        <v>14</v>
      </c>
      <c r="B19" s="31">
        <f t="shared" si="3"/>
        <v>1</v>
      </c>
      <c r="C19" s="48">
        <v>45140</v>
      </c>
      <c r="D19" s="47" t="s">
        <v>74</v>
      </c>
      <c r="E19" s="31" t="str">
        <f t="shared" si="6"/>
        <v>14Moreno Orlando1</v>
      </c>
      <c r="G19" s="47" t="s">
        <v>75</v>
      </c>
      <c r="H19" s="26" t="s">
        <v>76</v>
      </c>
      <c r="I19" s="31" t="e">
        <f>IF(A19=#REF!,CONCATENATE(I18," ",H19),H19)</f>
        <v>#REF!</v>
      </c>
      <c r="K19" s="26" t="s">
        <v>77</v>
      </c>
      <c r="P19" s="27">
        <v>1</v>
      </c>
      <c r="Q19" s="34">
        <v>170000</v>
      </c>
      <c r="R19" s="36">
        <f t="shared" si="1"/>
        <v>170000</v>
      </c>
      <c r="S19" s="6">
        <v>1</v>
      </c>
      <c r="T19" s="7">
        <v>40000</v>
      </c>
      <c r="U19" s="39">
        <f t="shared" si="2"/>
        <v>40000</v>
      </c>
      <c r="V19" s="41" t="e">
        <f>IF(A19=#REF!,V18+U19,U19)</f>
        <v>#REF!</v>
      </c>
    </row>
    <row r="20" spans="1:22" x14ac:dyDescent="0.25">
      <c r="A20" s="47">
        <v>14</v>
      </c>
      <c r="B20" s="31">
        <f t="shared" si="3"/>
        <v>2</v>
      </c>
      <c r="C20" s="48">
        <f>IF(A20=A19,C19,"")</f>
        <v>45140</v>
      </c>
      <c r="D20" s="47" t="str">
        <f>IF(A20=A19,D19,"")</f>
        <v>Moreno Orlando</v>
      </c>
      <c r="E20" s="31" t="str">
        <f t="shared" si="6"/>
        <v>14Moreno Orlando2</v>
      </c>
      <c r="H20" s="26" t="s">
        <v>79</v>
      </c>
      <c r="I20" s="31" t="e">
        <f t="shared" ref="I20:I83" si="7">IF(A20=A19,CONCATENATE(I19," ",H20),H20)</f>
        <v>#REF!</v>
      </c>
      <c r="K20" s="26" t="s">
        <v>78</v>
      </c>
      <c r="P20" s="27">
        <v>1</v>
      </c>
      <c r="Q20" s="34">
        <v>8000</v>
      </c>
      <c r="R20" s="36">
        <f t="shared" si="1"/>
        <v>8000</v>
      </c>
      <c r="U20" s="39">
        <f t="shared" si="2"/>
        <v>0</v>
      </c>
      <c r="V20" s="41" t="e">
        <f t="shared" ref="V20:V83" si="8">IF(A20=A19,V19+U20,U20)</f>
        <v>#REF!</v>
      </c>
    </row>
    <row r="21" spans="1:22" x14ac:dyDescent="0.25">
      <c r="A21" s="47">
        <v>14</v>
      </c>
      <c r="B21" s="31">
        <f t="shared" si="3"/>
        <v>3</v>
      </c>
      <c r="C21" s="48">
        <f>IF(A21=A20,C20,"")</f>
        <v>45140</v>
      </c>
      <c r="D21" s="47" t="str">
        <f>IF(A21=A20,D20,"")</f>
        <v>Moreno Orlando</v>
      </c>
      <c r="E21" s="31" t="str">
        <f t="shared" si="6"/>
        <v>14Moreno Orlando3</v>
      </c>
      <c r="I21" s="31" t="e">
        <f t="shared" si="7"/>
        <v>#REF!</v>
      </c>
      <c r="K21" s="26" t="s">
        <v>81</v>
      </c>
      <c r="P21" s="27">
        <v>1</v>
      </c>
      <c r="Q21" s="34">
        <v>9800</v>
      </c>
      <c r="R21" s="36">
        <f t="shared" si="1"/>
        <v>9800</v>
      </c>
      <c r="U21" s="39">
        <f t="shared" si="2"/>
        <v>0</v>
      </c>
      <c r="V21" s="41" t="e">
        <f t="shared" si="8"/>
        <v>#REF!</v>
      </c>
    </row>
    <row r="22" spans="1:22" x14ac:dyDescent="0.25">
      <c r="A22" s="47">
        <v>14</v>
      </c>
      <c r="B22" s="31">
        <f t="shared" si="3"/>
        <v>4</v>
      </c>
      <c r="C22" s="48">
        <f>IF(A22=A21,C21,"")</f>
        <v>45140</v>
      </c>
      <c r="D22" s="47" t="str">
        <f>IF(A22=A21,D21,"")</f>
        <v>Moreno Orlando</v>
      </c>
      <c r="E22" s="31" t="str">
        <f t="shared" si="6"/>
        <v>14Moreno Orlando4</v>
      </c>
      <c r="H22" s="26" t="s">
        <v>80</v>
      </c>
      <c r="I22" s="31" t="e">
        <f t="shared" si="7"/>
        <v>#REF!</v>
      </c>
      <c r="K22" s="26" t="s">
        <v>82</v>
      </c>
      <c r="P22" s="27">
        <v>6</v>
      </c>
      <c r="Q22" s="34">
        <v>6500</v>
      </c>
      <c r="R22" s="36">
        <f t="shared" si="1"/>
        <v>39000</v>
      </c>
      <c r="S22" s="6">
        <v>1</v>
      </c>
      <c r="T22" s="7">
        <v>30000</v>
      </c>
      <c r="U22" s="39">
        <f t="shared" si="2"/>
        <v>30000</v>
      </c>
      <c r="V22" s="41" t="e">
        <f t="shared" si="8"/>
        <v>#REF!</v>
      </c>
    </row>
    <row r="23" spans="1:22" x14ac:dyDescent="0.25">
      <c r="A23" s="47">
        <v>14</v>
      </c>
      <c r="B23" s="31">
        <f t="shared" si="3"/>
        <v>5</v>
      </c>
      <c r="C23" s="48">
        <f>IF(A23=A22,C22,"")</f>
        <v>45140</v>
      </c>
      <c r="D23" s="47" t="str">
        <f>IF(A23=A22,D22,"")</f>
        <v>Moreno Orlando</v>
      </c>
      <c r="E23" s="31" t="str">
        <f t="shared" si="6"/>
        <v>14Moreno Orlando5</v>
      </c>
      <c r="I23" s="31" t="e">
        <f t="shared" si="7"/>
        <v>#REF!</v>
      </c>
      <c r="K23" s="26" t="s">
        <v>83</v>
      </c>
      <c r="P23" s="27">
        <v>1</v>
      </c>
      <c r="Q23" s="34">
        <v>39000</v>
      </c>
      <c r="R23" s="36">
        <f t="shared" si="1"/>
        <v>39000</v>
      </c>
      <c r="U23" s="39">
        <f t="shared" si="2"/>
        <v>0</v>
      </c>
      <c r="V23" s="41" t="e">
        <f t="shared" si="8"/>
        <v>#REF!</v>
      </c>
    </row>
    <row r="24" spans="1:22" x14ac:dyDescent="0.25">
      <c r="A24" s="47">
        <v>15</v>
      </c>
      <c r="B24" s="31">
        <f t="shared" si="3"/>
        <v>1</v>
      </c>
      <c r="C24" s="48">
        <v>45140</v>
      </c>
      <c r="D24" s="47" t="s">
        <v>84</v>
      </c>
      <c r="E24" s="31" t="str">
        <f t="shared" si="6"/>
        <v>15Beriani Nazarena1</v>
      </c>
      <c r="G24" s="47" t="s">
        <v>85</v>
      </c>
      <c r="H24" s="26" t="s">
        <v>86</v>
      </c>
      <c r="I24" s="31" t="str">
        <f t="shared" si="7"/>
        <v>Reparar eje trasero y engrasar</v>
      </c>
      <c r="K24" s="26" t="s">
        <v>87</v>
      </c>
      <c r="P24" s="27">
        <v>1</v>
      </c>
      <c r="Q24" s="34">
        <v>9800</v>
      </c>
      <c r="R24" s="36">
        <f t="shared" si="1"/>
        <v>9800</v>
      </c>
      <c r="S24" s="6">
        <v>1</v>
      </c>
      <c r="T24" s="7">
        <v>35000</v>
      </c>
      <c r="U24" s="39">
        <f t="shared" si="2"/>
        <v>35000</v>
      </c>
      <c r="V24" s="41">
        <f t="shared" si="8"/>
        <v>35000</v>
      </c>
    </row>
    <row r="25" spans="1:22" x14ac:dyDescent="0.25">
      <c r="A25" s="47">
        <v>16</v>
      </c>
      <c r="B25" s="31">
        <f t="shared" si="3"/>
        <v>1</v>
      </c>
      <c r="C25" s="48">
        <v>45140</v>
      </c>
      <c r="D25" s="47" t="s">
        <v>74</v>
      </c>
      <c r="E25" s="31" t="str">
        <f t="shared" si="6"/>
        <v>16Moreno Orlando1</v>
      </c>
      <c r="G25" s="47" t="s">
        <v>75</v>
      </c>
      <c r="H25" s="26" t="s">
        <v>76</v>
      </c>
      <c r="I25" s="31" t="str">
        <f t="shared" si="7"/>
        <v>Cambiar kit distribución con bomba de agua.</v>
      </c>
      <c r="K25" s="26" t="s">
        <v>77</v>
      </c>
      <c r="P25" s="27">
        <v>1</v>
      </c>
      <c r="Q25" s="34">
        <v>170000</v>
      </c>
      <c r="R25" s="36">
        <f t="shared" si="1"/>
        <v>170000</v>
      </c>
      <c r="S25" s="6">
        <v>1</v>
      </c>
      <c r="T25" s="7">
        <v>40000</v>
      </c>
      <c r="U25" s="39">
        <f t="shared" si="2"/>
        <v>40000</v>
      </c>
      <c r="V25" s="41">
        <f t="shared" si="8"/>
        <v>40000</v>
      </c>
    </row>
    <row r="26" spans="1:22" x14ac:dyDescent="0.25">
      <c r="A26" s="47">
        <v>16</v>
      </c>
      <c r="B26" s="31">
        <f t="shared" si="3"/>
        <v>2</v>
      </c>
      <c r="C26" s="48">
        <f>IF(A26=A25,C25,"")</f>
        <v>45140</v>
      </c>
      <c r="D26" s="47" t="str">
        <f>IF(A26=A25,D25,"")</f>
        <v>Moreno Orlando</v>
      </c>
      <c r="E26" s="31" t="str">
        <f t="shared" si="6"/>
        <v>16Moreno Orlando2</v>
      </c>
      <c r="H26" s="26" t="s">
        <v>89</v>
      </c>
      <c r="I26" s="31" t="str">
        <f t="shared" si="7"/>
        <v>Cambiar kit distribución con bomba de agua. Polea de dirección hidráulica y correa poliv.</v>
      </c>
      <c r="K26" s="26" t="s">
        <v>88</v>
      </c>
      <c r="P26" s="27">
        <v>1</v>
      </c>
      <c r="Q26" s="34">
        <v>8200</v>
      </c>
      <c r="R26" s="36">
        <f t="shared" si="1"/>
        <v>8200</v>
      </c>
      <c r="U26" s="39">
        <f t="shared" si="2"/>
        <v>0</v>
      </c>
      <c r="V26" s="41">
        <f t="shared" si="8"/>
        <v>40000</v>
      </c>
    </row>
    <row r="27" spans="1:22" x14ac:dyDescent="0.25">
      <c r="A27" s="47">
        <v>16</v>
      </c>
      <c r="B27" s="31">
        <f t="shared" si="3"/>
        <v>3</v>
      </c>
      <c r="C27" s="48">
        <f>IF(A27=A26,C26,"")</f>
        <v>45140</v>
      </c>
      <c r="D27" s="47" t="str">
        <f>IF(A27=A26,D26,"")</f>
        <v>Moreno Orlando</v>
      </c>
      <c r="E27" s="31" t="str">
        <f t="shared" si="6"/>
        <v>16Moreno Orlando3</v>
      </c>
      <c r="I27" s="31" t="str">
        <f t="shared" si="7"/>
        <v xml:space="preserve">Cambiar kit distribución con bomba de agua. Polea de dirección hidráulica y correa poliv. </v>
      </c>
      <c r="K27" s="26" t="s">
        <v>81</v>
      </c>
      <c r="P27" s="27">
        <v>1</v>
      </c>
      <c r="Q27" s="34">
        <v>9800</v>
      </c>
      <c r="R27" s="36">
        <f t="shared" si="1"/>
        <v>9800</v>
      </c>
      <c r="U27" s="39">
        <f t="shared" si="2"/>
        <v>0</v>
      </c>
      <c r="V27" s="41">
        <f t="shared" si="8"/>
        <v>40000</v>
      </c>
    </row>
    <row r="28" spans="1:22" x14ac:dyDescent="0.25">
      <c r="A28" s="47">
        <v>16</v>
      </c>
      <c r="B28" s="31">
        <f t="shared" si="3"/>
        <v>4</v>
      </c>
      <c r="C28" s="48">
        <f>IF(A28=A27,C27,"")</f>
        <v>45140</v>
      </c>
      <c r="D28" s="47" t="str">
        <f>IF(A28=A27,D27,"")</f>
        <v>Moreno Orlando</v>
      </c>
      <c r="E28" s="31" t="str">
        <f t="shared" si="6"/>
        <v>16Moreno Orlando4</v>
      </c>
      <c r="I28" s="31" t="str">
        <f t="shared" si="7"/>
        <v xml:space="preserve">Cambiar kit distribución con bomba de agua. Polea de dirección hidráulica y correa poliv.  </v>
      </c>
      <c r="P28" s="27"/>
      <c r="Q28" s="34"/>
      <c r="R28" s="36"/>
      <c r="U28" s="39">
        <f t="shared" si="2"/>
        <v>0</v>
      </c>
      <c r="V28" s="41">
        <f t="shared" si="8"/>
        <v>40000</v>
      </c>
    </row>
    <row r="29" spans="1:22" x14ac:dyDescent="0.25">
      <c r="A29" s="47">
        <v>16</v>
      </c>
      <c r="B29" s="31">
        <f t="shared" si="3"/>
        <v>5</v>
      </c>
      <c r="C29" s="48">
        <f>IF(A29=A28,C28,"")</f>
        <v>45140</v>
      </c>
      <c r="D29" s="47" t="str">
        <f>IF(A29=A28,D28,"")</f>
        <v>Moreno Orlando</v>
      </c>
      <c r="E29" s="31" t="str">
        <f t="shared" si="6"/>
        <v>16Moreno Orlando5</v>
      </c>
      <c r="I29" s="31" t="str">
        <f t="shared" si="7"/>
        <v xml:space="preserve">Cambiar kit distribución con bomba de agua. Polea de dirección hidráulica y correa poliv.   </v>
      </c>
      <c r="P29" s="27"/>
      <c r="Q29" s="34"/>
      <c r="R29" s="36"/>
      <c r="U29" s="39">
        <f t="shared" si="2"/>
        <v>0</v>
      </c>
      <c r="V29" s="41">
        <f t="shared" si="8"/>
        <v>40000</v>
      </c>
    </row>
    <row r="30" spans="1:22" x14ac:dyDescent="0.25">
      <c r="A30" s="47">
        <v>17</v>
      </c>
      <c r="B30" s="31">
        <f t="shared" si="3"/>
        <v>1</v>
      </c>
      <c r="C30" s="48">
        <v>45140</v>
      </c>
      <c r="D30" s="47">
        <v>8925</v>
      </c>
      <c r="E30" s="31" t="str">
        <f t="shared" si="6"/>
        <v>1789251</v>
      </c>
      <c r="G30" s="47" t="s">
        <v>75</v>
      </c>
      <c r="H30" s="26" t="s">
        <v>80</v>
      </c>
      <c r="I30" s="31" t="str">
        <f t="shared" si="7"/>
        <v>Service cambio de aceite y filtros.</v>
      </c>
      <c r="K30" s="26" t="s">
        <v>90</v>
      </c>
      <c r="P30" s="27">
        <v>6</v>
      </c>
      <c r="Q30" s="34">
        <v>6500</v>
      </c>
      <c r="R30" s="36">
        <f t="shared" ref="R30:R77" si="9">Q30*P30</f>
        <v>39000</v>
      </c>
      <c r="U30" s="39">
        <f t="shared" si="2"/>
        <v>0</v>
      </c>
      <c r="V30" s="41">
        <f t="shared" si="8"/>
        <v>0</v>
      </c>
    </row>
    <row r="31" spans="1:22" x14ac:dyDescent="0.25">
      <c r="A31" s="47">
        <v>17</v>
      </c>
      <c r="B31" s="31">
        <f t="shared" si="3"/>
        <v>2</v>
      </c>
      <c r="C31" s="48">
        <f>IF(A31=A30,C30,"")</f>
        <v>45140</v>
      </c>
      <c r="D31" s="47">
        <f>IF(A31=A30,D30,"")</f>
        <v>8925</v>
      </c>
      <c r="E31" s="31" t="str">
        <f t="shared" si="6"/>
        <v>1789252</v>
      </c>
      <c r="I31" s="31" t="str">
        <f t="shared" si="7"/>
        <v xml:space="preserve">Service cambio de aceite y filtros. </v>
      </c>
      <c r="K31" s="26" t="s">
        <v>91</v>
      </c>
      <c r="P31" s="27">
        <v>1</v>
      </c>
      <c r="Q31" s="34">
        <v>39000</v>
      </c>
      <c r="R31" s="36">
        <f t="shared" si="9"/>
        <v>39000</v>
      </c>
      <c r="S31" s="6">
        <v>1</v>
      </c>
      <c r="T31" s="7">
        <v>30000</v>
      </c>
      <c r="U31" s="39">
        <f t="shared" si="2"/>
        <v>30000</v>
      </c>
      <c r="V31" s="41">
        <f t="shared" si="8"/>
        <v>30000</v>
      </c>
    </row>
    <row r="32" spans="1:22" x14ac:dyDescent="0.25">
      <c r="A32" s="47">
        <v>18</v>
      </c>
      <c r="B32" s="31">
        <f t="shared" si="3"/>
        <v>1</v>
      </c>
      <c r="C32" s="48">
        <v>45140</v>
      </c>
      <c r="D32" s="47" t="s">
        <v>92</v>
      </c>
      <c r="E32" s="31" t="str">
        <f t="shared" si="6"/>
        <v>18Martina Nilda1</v>
      </c>
      <c r="I32" s="31">
        <f t="shared" si="7"/>
        <v>0</v>
      </c>
      <c r="K32" s="26" t="s">
        <v>93</v>
      </c>
      <c r="P32" s="27">
        <v>1</v>
      </c>
      <c r="Q32" s="34">
        <v>79800</v>
      </c>
      <c r="R32" s="36">
        <f t="shared" si="9"/>
        <v>79800</v>
      </c>
      <c r="U32" s="39">
        <f t="shared" si="2"/>
        <v>0</v>
      </c>
      <c r="V32" s="41">
        <f t="shared" si="8"/>
        <v>0</v>
      </c>
    </row>
    <row r="33" spans="1:22" x14ac:dyDescent="0.25">
      <c r="A33" s="47">
        <v>18</v>
      </c>
      <c r="B33" s="31">
        <f t="shared" si="3"/>
        <v>2</v>
      </c>
      <c r="C33" s="48">
        <f>IF(A33=A32,C32,"")</f>
        <v>45140</v>
      </c>
      <c r="D33" s="47" t="str">
        <f>IF(A33=A32,D32,"")</f>
        <v>Martina Nilda</v>
      </c>
      <c r="E33" s="31" t="str">
        <f t="shared" si="6"/>
        <v>18Martina Nilda2</v>
      </c>
      <c r="I33" s="31" t="str">
        <f t="shared" si="7"/>
        <v xml:space="preserve">0 </v>
      </c>
      <c r="K33" s="26" t="s">
        <v>94</v>
      </c>
      <c r="P33" s="27">
        <v>1</v>
      </c>
      <c r="Q33" s="34">
        <v>85500</v>
      </c>
      <c r="R33" s="36">
        <f t="shared" si="9"/>
        <v>85500</v>
      </c>
      <c r="U33" s="39">
        <f t="shared" si="2"/>
        <v>0</v>
      </c>
      <c r="V33" s="41">
        <f t="shared" si="8"/>
        <v>0</v>
      </c>
    </row>
    <row r="34" spans="1:22" x14ac:dyDescent="0.25">
      <c r="A34" s="47">
        <v>18</v>
      </c>
      <c r="B34" s="31">
        <f t="shared" si="3"/>
        <v>3</v>
      </c>
      <c r="C34" s="48">
        <f>IF(A34=A33,C33,"")</f>
        <v>45140</v>
      </c>
      <c r="D34" s="47" t="str">
        <f>IF(A34=A33,D33,"")</f>
        <v>Martina Nilda</v>
      </c>
      <c r="E34" s="31" t="str">
        <f t="shared" si="6"/>
        <v>18Martina Nilda3</v>
      </c>
      <c r="I34" s="31" t="str">
        <f t="shared" si="7"/>
        <v xml:space="preserve">0  </v>
      </c>
      <c r="K34" s="26" t="s">
        <v>95</v>
      </c>
      <c r="P34" s="27">
        <v>1</v>
      </c>
      <c r="Q34" s="34">
        <v>39900</v>
      </c>
      <c r="R34" s="36">
        <f t="shared" si="9"/>
        <v>39900</v>
      </c>
      <c r="U34" s="39">
        <f t="shared" si="2"/>
        <v>0</v>
      </c>
      <c r="V34" s="41">
        <f t="shared" si="8"/>
        <v>0</v>
      </c>
    </row>
    <row r="35" spans="1:22" x14ac:dyDescent="0.25">
      <c r="A35" s="47">
        <v>18</v>
      </c>
      <c r="B35" s="31">
        <f t="shared" si="3"/>
        <v>4</v>
      </c>
      <c r="C35" s="48">
        <f>IF(A35=A34,C34,"")</f>
        <v>45140</v>
      </c>
      <c r="D35" s="47" t="str">
        <f>IF(A35=A34,D34,"")</f>
        <v>Martina Nilda</v>
      </c>
      <c r="E35" s="31" t="str">
        <f t="shared" si="6"/>
        <v>18Martina Nilda4</v>
      </c>
      <c r="I35" s="31" t="str">
        <f t="shared" si="7"/>
        <v xml:space="preserve">0   </v>
      </c>
      <c r="K35" s="26" t="s">
        <v>96</v>
      </c>
      <c r="P35" s="27">
        <v>1</v>
      </c>
      <c r="Q35" s="34">
        <v>39900</v>
      </c>
      <c r="R35" s="36">
        <f t="shared" si="9"/>
        <v>39900</v>
      </c>
      <c r="S35" s="6">
        <v>1</v>
      </c>
      <c r="T35" s="7">
        <v>57000</v>
      </c>
      <c r="U35" s="39">
        <f t="shared" si="2"/>
        <v>57000</v>
      </c>
      <c r="V35" s="41">
        <f t="shared" si="8"/>
        <v>57000</v>
      </c>
    </row>
    <row r="36" spans="1:22" x14ac:dyDescent="0.25">
      <c r="A36" s="47">
        <v>18</v>
      </c>
      <c r="B36" s="31">
        <f t="shared" si="3"/>
        <v>5</v>
      </c>
      <c r="C36" s="48">
        <f>IF(A36=A35,C35,"")</f>
        <v>45140</v>
      </c>
      <c r="D36" s="47" t="str">
        <f>IF(A36=A35,D35,"")</f>
        <v>Martina Nilda</v>
      </c>
      <c r="E36" s="31" t="str">
        <f t="shared" si="6"/>
        <v>18Martina Nilda5</v>
      </c>
      <c r="I36" s="31" t="str">
        <f t="shared" si="7"/>
        <v xml:space="preserve">0    </v>
      </c>
      <c r="K36" s="26" t="s">
        <v>97</v>
      </c>
      <c r="P36" s="27">
        <v>1</v>
      </c>
      <c r="Q36" s="34">
        <v>7000</v>
      </c>
      <c r="R36" s="36">
        <f t="shared" si="9"/>
        <v>7000</v>
      </c>
      <c r="U36" s="39">
        <f t="shared" si="2"/>
        <v>0</v>
      </c>
      <c r="V36" s="41">
        <f t="shared" si="8"/>
        <v>57000</v>
      </c>
    </row>
    <row r="37" spans="1:22" x14ac:dyDescent="0.25">
      <c r="A37" s="47">
        <v>18</v>
      </c>
      <c r="B37" s="31">
        <f t="shared" si="3"/>
        <v>6</v>
      </c>
      <c r="C37" s="48">
        <f>IF(A37=A36,C36,"")</f>
        <v>45140</v>
      </c>
      <c r="D37" s="47" t="str">
        <f>IF(A37=A36,D36,"")</f>
        <v>Martina Nilda</v>
      </c>
      <c r="E37" s="31" t="str">
        <f t="shared" si="6"/>
        <v>18Martina Nilda6</v>
      </c>
      <c r="I37" s="31" t="str">
        <f t="shared" si="7"/>
        <v xml:space="preserve">0     </v>
      </c>
      <c r="K37" s="26" t="s">
        <v>98</v>
      </c>
      <c r="P37" s="27">
        <v>1</v>
      </c>
      <c r="Q37" s="34">
        <v>39900</v>
      </c>
      <c r="R37" s="36">
        <f t="shared" si="9"/>
        <v>39900</v>
      </c>
      <c r="U37" s="39">
        <f t="shared" si="2"/>
        <v>0</v>
      </c>
      <c r="V37" s="41">
        <f t="shared" si="8"/>
        <v>57000</v>
      </c>
    </row>
    <row r="38" spans="1:22" x14ac:dyDescent="0.25">
      <c r="A38" s="47">
        <v>19</v>
      </c>
      <c r="B38" s="31">
        <f t="shared" si="3"/>
        <v>1</v>
      </c>
      <c r="C38" s="48">
        <v>45146</v>
      </c>
      <c r="D38" s="47" t="s">
        <v>100</v>
      </c>
      <c r="E38" s="31" t="str">
        <f t="shared" si="6"/>
        <v>19Calderon Daniel1</v>
      </c>
      <c r="H38" s="26" t="s">
        <v>103</v>
      </c>
      <c r="I38" s="31" t="str">
        <f t="shared" si="7"/>
        <v>Cambiar ambos amortiguadores.</v>
      </c>
      <c r="K38" s="26" t="s">
        <v>101</v>
      </c>
      <c r="P38" s="27">
        <v>2</v>
      </c>
      <c r="Q38" s="34">
        <v>32000</v>
      </c>
      <c r="R38" s="36">
        <f t="shared" si="9"/>
        <v>64000</v>
      </c>
      <c r="S38" s="6">
        <v>1</v>
      </c>
      <c r="T38" s="7">
        <v>23000</v>
      </c>
      <c r="U38" s="39">
        <f t="shared" si="2"/>
        <v>23000</v>
      </c>
      <c r="V38" s="41">
        <f t="shared" si="8"/>
        <v>23000</v>
      </c>
    </row>
    <row r="39" spans="1:22" x14ac:dyDescent="0.25">
      <c r="A39" s="47">
        <v>19</v>
      </c>
      <c r="B39" s="31">
        <f t="shared" si="3"/>
        <v>2</v>
      </c>
      <c r="C39" s="48">
        <f>IF(A39=A38,C38,"")</f>
        <v>45146</v>
      </c>
      <c r="D39" s="47" t="str">
        <f>IF(A39=A38,D38,"")</f>
        <v>Calderon Daniel</v>
      </c>
      <c r="E39" s="31" t="str">
        <f t="shared" si="6"/>
        <v>19Calderon Daniel2</v>
      </c>
      <c r="H39" s="26" t="s">
        <v>104</v>
      </c>
      <c r="I39" s="31" t="str">
        <f t="shared" si="7"/>
        <v>Cambiar ambos amortiguadores. Cambiar caño de agua.</v>
      </c>
      <c r="K39" s="26" t="s">
        <v>105</v>
      </c>
      <c r="P39" s="27">
        <v>2</v>
      </c>
      <c r="Q39" s="34">
        <v>14500</v>
      </c>
      <c r="R39" s="36">
        <f t="shared" si="9"/>
        <v>29000</v>
      </c>
      <c r="U39" s="39">
        <f t="shared" si="2"/>
        <v>0</v>
      </c>
      <c r="V39" s="41">
        <f t="shared" si="8"/>
        <v>23000</v>
      </c>
    </row>
    <row r="40" spans="1:22" x14ac:dyDescent="0.25">
      <c r="A40" s="47">
        <v>19</v>
      </c>
      <c r="B40" s="31">
        <f t="shared" si="3"/>
        <v>3</v>
      </c>
      <c r="C40" s="48">
        <f>IF(A40=A39,C39,"")</f>
        <v>45146</v>
      </c>
      <c r="D40" s="47" t="str">
        <f>IF(A40=A39,D39,"")</f>
        <v>Calderon Daniel</v>
      </c>
      <c r="E40" s="31" t="str">
        <f t="shared" si="6"/>
        <v>19Calderon Daniel3</v>
      </c>
      <c r="I40" s="31" t="str">
        <f t="shared" si="7"/>
        <v xml:space="preserve">Cambiar ambos amortiguadores. Cambiar caño de agua. </v>
      </c>
      <c r="K40" s="26" t="s">
        <v>102</v>
      </c>
      <c r="P40" s="27">
        <v>1</v>
      </c>
      <c r="Q40" s="34">
        <v>8000</v>
      </c>
      <c r="R40" s="36">
        <f t="shared" si="9"/>
        <v>8000</v>
      </c>
      <c r="U40" s="39">
        <f t="shared" si="2"/>
        <v>0</v>
      </c>
      <c r="V40" s="41">
        <f t="shared" si="8"/>
        <v>23000</v>
      </c>
    </row>
    <row r="41" spans="1:22" x14ac:dyDescent="0.25">
      <c r="A41" s="47">
        <v>20</v>
      </c>
      <c r="B41" s="31">
        <f t="shared" si="3"/>
        <v>1</v>
      </c>
      <c r="C41" s="48">
        <v>45152</v>
      </c>
      <c r="D41" s="47" t="s">
        <v>106</v>
      </c>
      <c r="E41" s="31" t="str">
        <f t="shared" si="6"/>
        <v>20Creativity S.A.S1</v>
      </c>
      <c r="G41" s="47" t="s">
        <v>113</v>
      </c>
      <c r="H41" s="26" t="s">
        <v>80</v>
      </c>
      <c r="I41" s="31" t="str">
        <f t="shared" si="7"/>
        <v>Service cambio de aceite y filtros.</v>
      </c>
      <c r="K41" s="26" t="s">
        <v>108</v>
      </c>
      <c r="P41" s="27">
        <v>4</v>
      </c>
      <c r="Q41" s="34">
        <v>3575</v>
      </c>
      <c r="R41" s="36">
        <f t="shared" si="9"/>
        <v>14300</v>
      </c>
      <c r="U41" s="39">
        <f t="shared" si="2"/>
        <v>0</v>
      </c>
      <c r="V41" s="41">
        <f t="shared" si="8"/>
        <v>0</v>
      </c>
    </row>
    <row r="42" spans="1:22" x14ac:dyDescent="0.25">
      <c r="A42" s="47">
        <v>20</v>
      </c>
      <c r="B42" s="31">
        <f t="shared" si="3"/>
        <v>2</v>
      </c>
      <c r="C42" s="48">
        <f>IF(A42=A41,C41,"")</f>
        <v>45152</v>
      </c>
      <c r="D42" s="47" t="str">
        <f>IF(A42=A41,D41,"")</f>
        <v>Creativity S.A.S</v>
      </c>
      <c r="E42" s="31" t="str">
        <f t="shared" si="6"/>
        <v>20Creativity S.A.S2</v>
      </c>
      <c r="H42" s="26" t="s">
        <v>107</v>
      </c>
      <c r="I42" s="31" t="str">
        <f t="shared" si="7"/>
        <v>Service cambio de aceite y filtros. Control del vehículo.</v>
      </c>
      <c r="K42" s="26" t="s">
        <v>109</v>
      </c>
      <c r="P42" s="27">
        <v>1</v>
      </c>
      <c r="Q42" s="34">
        <v>2800</v>
      </c>
      <c r="R42" s="36">
        <f t="shared" si="9"/>
        <v>2800</v>
      </c>
      <c r="U42" s="39">
        <f t="shared" si="2"/>
        <v>0</v>
      </c>
      <c r="V42" s="41">
        <f t="shared" si="8"/>
        <v>0</v>
      </c>
    </row>
    <row r="43" spans="1:22" x14ac:dyDescent="0.25">
      <c r="A43" s="47">
        <v>20</v>
      </c>
      <c r="B43" s="31">
        <f t="shared" si="3"/>
        <v>3</v>
      </c>
      <c r="C43" s="48">
        <f>IF(A43=A42,C42,"")</f>
        <v>45152</v>
      </c>
      <c r="D43" s="47" t="str">
        <f>IF(A43=A42,D42,"")</f>
        <v>Creativity S.A.S</v>
      </c>
      <c r="E43" s="31" t="str">
        <f t="shared" si="6"/>
        <v>20Creativity S.A.S3</v>
      </c>
      <c r="I43" s="31" t="str">
        <f t="shared" si="7"/>
        <v xml:space="preserve">Service cambio de aceite y filtros. Control del vehículo. </v>
      </c>
      <c r="K43" s="26" t="s">
        <v>110</v>
      </c>
      <c r="P43" s="27">
        <v>1</v>
      </c>
      <c r="Q43" s="34">
        <v>3900</v>
      </c>
      <c r="R43" s="36">
        <f t="shared" si="9"/>
        <v>3900</v>
      </c>
      <c r="S43" s="6">
        <v>1</v>
      </c>
      <c r="T43" s="7">
        <v>25000</v>
      </c>
      <c r="U43" s="39">
        <f t="shared" si="2"/>
        <v>25000</v>
      </c>
      <c r="V43" s="41">
        <f t="shared" si="8"/>
        <v>25000</v>
      </c>
    </row>
    <row r="44" spans="1:22" x14ac:dyDescent="0.25">
      <c r="A44" s="47">
        <v>20</v>
      </c>
      <c r="B44" s="31">
        <f t="shared" si="3"/>
        <v>4</v>
      </c>
      <c r="C44" s="48">
        <f>IF(A44=A43,C43,"")</f>
        <v>45152</v>
      </c>
      <c r="D44" s="47" t="str">
        <f>IF(A44=A43,D43,"")</f>
        <v>Creativity S.A.S</v>
      </c>
      <c r="E44" s="31" t="str">
        <f t="shared" si="6"/>
        <v>20Creativity S.A.S4</v>
      </c>
      <c r="I44" s="31" t="str">
        <f t="shared" si="7"/>
        <v xml:space="preserve">Service cambio de aceite y filtros. Control del vehículo.  </v>
      </c>
      <c r="K44" s="26" t="s">
        <v>111</v>
      </c>
      <c r="P44" s="27">
        <v>1</v>
      </c>
      <c r="Q44" s="34">
        <v>3400</v>
      </c>
      <c r="R44" s="36">
        <f t="shared" si="9"/>
        <v>3400</v>
      </c>
      <c r="U44" s="39">
        <f t="shared" si="2"/>
        <v>0</v>
      </c>
      <c r="V44" s="41">
        <f t="shared" si="8"/>
        <v>25000</v>
      </c>
    </row>
    <row r="45" spans="1:22" x14ac:dyDescent="0.25">
      <c r="A45" s="47">
        <v>20</v>
      </c>
      <c r="B45" s="31">
        <f t="shared" si="3"/>
        <v>5</v>
      </c>
      <c r="C45" s="48">
        <f>IF(A45=A44,C44,"")</f>
        <v>45152</v>
      </c>
      <c r="D45" s="47" t="str">
        <f>IF(A45=A44,D44,"")</f>
        <v>Creativity S.A.S</v>
      </c>
      <c r="E45" s="31" t="str">
        <f t="shared" si="6"/>
        <v>20Creativity S.A.S5</v>
      </c>
      <c r="I45" s="31" t="str">
        <f t="shared" si="7"/>
        <v xml:space="preserve">Service cambio de aceite y filtros. Control del vehículo.   </v>
      </c>
      <c r="K45" s="26" t="s">
        <v>112</v>
      </c>
      <c r="P45" s="27">
        <v>1</v>
      </c>
      <c r="Q45" s="34">
        <v>3000</v>
      </c>
      <c r="R45" s="36">
        <f t="shared" si="9"/>
        <v>3000</v>
      </c>
      <c r="U45" s="39">
        <f t="shared" si="2"/>
        <v>0</v>
      </c>
      <c r="V45" s="41">
        <f t="shared" si="8"/>
        <v>25000</v>
      </c>
    </row>
    <row r="46" spans="1:22" x14ac:dyDescent="0.25">
      <c r="A46" s="47">
        <v>21</v>
      </c>
      <c r="B46" s="31">
        <f t="shared" si="3"/>
        <v>1</v>
      </c>
      <c r="C46" s="48">
        <v>45152</v>
      </c>
      <c r="D46" s="47" t="s">
        <v>57</v>
      </c>
      <c r="E46" s="31" t="str">
        <f t="shared" si="6"/>
        <v>21OCA LOG S.A1</v>
      </c>
      <c r="I46" s="31">
        <f t="shared" si="7"/>
        <v>0</v>
      </c>
      <c r="K46" s="26" t="s">
        <v>114</v>
      </c>
      <c r="P46" s="27">
        <v>3</v>
      </c>
      <c r="Q46" s="34">
        <v>570</v>
      </c>
      <c r="R46" s="36">
        <f t="shared" si="9"/>
        <v>1710</v>
      </c>
      <c r="U46" s="39">
        <f t="shared" si="2"/>
        <v>0</v>
      </c>
      <c r="V46" s="41">
        <f t="shared" si="8"/>
        <v>0</v>
      </c>
    </row>
    <row r="47" spans="1:22" x14ac:dyDescent="0.25">
      <c r="A47" s="47">
        <v>21</v>
      </c>
      <c r="B47" s="31">
        <f t="shared" si="3"/>
        <v>2</v>
      </c>
      <c r="C47" s="48">
        <f>IF(A47=A46,C46,"")</f>
        <v>45152</v>
      </c>
      <c r="D47" s="47" t="str">
        <f>IF(A47=A46,D46,"")</f>
        <v>OCA LOG S.A</v>
      </c>
      <c r="E47" s="31" t="str">
        <f t="shared" si="6"/>
        <v>21OCA LOG S.A2</v>
      </c>
      <c r="F47" s="47">
        <v>297</v>
      </c>
      <c r="G47" s="47" t="s">
        <v>58</v>
      </c>
      <c r="I47" s="31" t="str">
        <f t="shared" si="7"/>
        <v xml:space="preserve">0 </v>
      </c>
      <c r="K47" s="26" t="s">
        <v>115</v>
      </c>
      <c r="P47" s="27">
        <v>1</v>
      </c>
      <c r="Q47" s="34">
        <v>14701.5</v>
      </c>
      <c r="R47" s="36">
        <f t="shared" si="9"/>
        <v>14701.5</v>
      </c>
      <c r="U47" s="39">
        <f t="shared" si="2"/>
        <v>0</v>
      </c>
      <c r="V47" s="41">
        <f t="shared" si="8"/>
        <v>0</v>
      </c>
    </row>
    <row r="48" spans="1:22" x14ac:dyDescent="0.25">
      <c r="A48" s="47">
        <v>22</v>
      </c>
      <c r="B48" s="31">
        <f t="shared" si="3"/>
        <v>1</v>
      </c>
      <c r="C48" s="48">
        <v>45153</v>
      </c>
      <c r="D48" s="47" t="s">
        <v>57</v>
      </c>
      <c r="E48" s="31" t="str">
        <f t="shared" si="6"/>
        <v>22OCA LOG S.A1</v>
      </c>
      <c r="F48" s="47">
        <v>297</v>
      </c>
      <c r="G48" s="47" t="s">
        <v>58</v>
      </c>
      <c r="H48" s="26" t="s">
        <v>116</v>
      </c>
      <c r="I48" s="31" t="str">
        <f t="shared" si="7"/>
        <v>Sacar radiador hacer destapar. Armado total</v>
      </c>
      <c r="K48" s="26" t="s">
        <v>120</v>
      </c>
      <c r="P48" s="27">
        <v>1</v>
      </c>
      <c r="Q48" s="34">
        <v>60000</v>
      </c>
      <c r="R48" s="36">
        <f t="shared" si="9"/>
        <v>60000</v>
      </c>
      <c r="S48" s="6">
        <v>1</v>
      </c>
      <c r="T48" s="7">
        <v>43000</v>
      </c>
      <c r="U48" s="39">
        <f t="shared" si="2"/>
        <v>43000</v>
      </c>
      <c r="V48" s="41">
        <f t="shared" si="8"/>
        <v>43000</v>
      </c>
    </row>
    <row r="49" spans="1:22" x14ac:dyDescent="0.25">
      <c r="A49" s="47">
        <v>22</v>
      </c>
      <c r="B49" s="31">
        <f t="shared" si="3"/>
        <v>2</v>
      </c>
      <c r="C49" s="48">
        <f>IF(A49=A48,C48,"")</f>
        <v>45153</v>
      </c>
      <c r="D49" s="47" t="str">
        <f>IF(A49=A48,D48,"")</f>
        <v>OCA LOG S.A</v>
      </c>
      <c r="E49" s="31" t="str">
        <f t="shared" si="6"/>
        <v>22OCA LOG S.A2</v>
      </c>
      <c r="H49" s="26" t="s">
        <v>117</v>
      </c>
      <c r="I49" s="31" t="str">
        <f t="shared" si="7"/>
        <v>Sacar radiador hacer destapar. Armado total Sacar termostato control del funcionamiento del mismo, armado total.</v>
      </c>
      <c r="P49" s="27"/>
      <c r="Q49" s="34"/>
      <c r="R49" s="36">
        <f t="shared" si="9"/>
        <v>0</v>
      </c>
      <c r="U49" s="39">
        <f t="shared" si="2"/>
        <v>0</v>
      </c>
      <c r="V49" s="41">
        <f t="shared" si="8"/>
        <v>43000</v>
      </c>
    </row>
    <row r="50" spans="1:22" x14ac:dyDescent="0.25">
      <c r="A50" s="47">
        <v>22</v>
      </c>
      <c r="B50" s="31">
        <f t="shared" si="3"/>
        <v>3</v>
      </c>
      <c r="C50" s="48">
        <f>IF(A50=A49,C49,"")</f>
        <v>45153</v>
      </c>
      <c r="D50" s="47" t="str">
        <f>IF(A50=A49,D49,"")</f>
        <v>OCA LOG S.A</v>
      </c>
      <c r="E50" s="31" t="str">
        <f t="shared" si="6"/>
        <v>22OCA LOG S.A3</v>
      </c>
      <c r="H50" s="26" t="s">
        <v>118</v>
      </c>
      <c r="I50" s="31" t="str">
        <f t="shared" si="7"/>
        <v>Sacar radiador hacer destapar. Armado total Sacar termostato control del funcionamiento del mismo, armado total. Trasbazado líquido refrigerante, purgado del circuito de refrigeración.</v>
      </c>
      <c r="P50" s="27"/>
      <c r="Q50" s="34"/>
      <c r="R50" s="36">
        <f t="shared" si="9"/>
        <v>0</v>
      </c>
      <c r="U50" s="39">
        <f t="shared" si="2"/>
        <v>0</v>
      </c>
      <c r="V50" s="41">
        <f t="shared" si="8"/>
        <v>43000</v>
      </c>
    </row>
    <row r="51" spans="1:22" x14ac:dyDescent="0.25">
      <c r="A51" s="47">
        <v>22</v>
      </c>
      <c r="B51" s="31">
        <f t="shared" si="3"/>
        <v>4</v>
      </c>
      <c r="C51" s="48">
        <f>IF(A51=A50,C50,"")</f>
        <v>45153</v>
      </c>
      <c r="D51" s="47" t="str">
        <f>IF(A51=A50,D50,"")</f>
        <v>OCA LOG S.A</v>
      </c>
      <c r="E51" s="31" t="str">
        <f t="shared" si="6"/>
        <v>22OCA LOG S.A4</v>
      </c>
      <c r="H51" s="26" t="s">
        <v>119</v>
      </c>
      <c r="I51" s="31" t="str">
        <f t="shared" si="7"/>
        <v>Sacar radiador hacer destapar. Armado total Sacar termostato control del funcionamiento del mismo, armado total. Trasbazado líquido refrigerante, purgado del circuito de refrigeración. Ajustar soporte de bomba de agua en block de motor.</v>
      </c>
      <c r="P51" s="27"/>
      <c r="Q51" s="34"/>
      <c r="R51" s="36">
        <f t="shared" si="9"/>
        <v>0</v>
      </c>
      <c r="U51" s="39">
        <f t="shared" si="2"/>
        <v>0</v>
      </c>
      <c r="V51" s="41">
        <f t="shared" si="8"/>
        <v>43000</v>
      </c>
    </row>
    <row r="52" spans="1:22" x14ac:dyDescent="0.25">
      <c r="A52" s="47">
        <v>22</v>
      </c>
      <c r="B52" s="31">
        <f t="shared" si="3"/>
        <v>5</v>
      </c>
      <c r="C52" s="48">
        <f>IF(A52=A51,C51,"")</f>
        <v>45153</v>
      </c>
      <c r="D52" s="47" t="str">
        <f>IF(A52=A51,D51,"")</f>
        <v>OCA LOG S.A</v>
      </c>
      <c r="E52" s="31" t="str">
        <f t="shared" si="6"/>
        <v>22OCA LOG S.A5</v>
      </c>
      <c r="H52" s="26" t="s">
        <v>121</v>
      </c>
      <c r="I52" s="31" t="str">
        <f t="shared" si="7"/>
        <v>Sacar radiador hacer destapar. Armado total Sacar termostato control del funcionamiento del mismo, armado total. Trasbazado líquido refrigerante, purgado del circuito de refrigeración. Ajustar soporte de bomba de agua en block de motor. (Va el precio del termostato por si hay que cambiarlo)</v>
      </c>
      <c r="P52" s="27"/>
      <c r="Q52" s="34"/>
      <c r="R52" s="36">
        <f t="shared" si="9"/>
        <v>0</v>
      </c>
      <c r="U52" s="39">
        <f t="shared" si="2"/>
        <v>0</v>
      </c>
      <c r="V52" s="41">
        <f t="shared" si="8"/>
        <v>43000</v>
      </c>
    </row>
    <row r="53" spans="1:22" x14ac:dyDescent="0.25">
      <c r="A53" s="47">
        <v>23</v>
      </c>
      <c r="B53" s="31">
        <f t="shared" si="3"/>
        <v>1</v>
      </c>
      <c r="C53" s="48">
        <v>45154</v>
      </c>
      <c r="D53" s="47" t="s">
        <v>122</v>
      </c>
      <c r="E53" s="31" t="str">
        <f t="shared" si="6"/>
        <v>23Ventura Marcelo1</v>
      </c>
      <c r="G53" s="47" t="s">
        <v>126</v>
      </c>
      <c r="H53" s="26" t="s">
        <v>80</v>
      </c>
      <c r="I53" s="31" t="str">
        <f t="shared" si="7"/>
        <v>Service cambio de aceite y filtros.</v>
      </c>
      <c r="K53" s="26" t="s">
        <v>90</v>
      </c>
      <c r="P53" s="27">
        <v>5</v>
      </c>
      <c r="Q53" s="34">
        <v>9000</v>
      </c>
      <c r="R53" s="36">
        <f t="shared" si="9"/>
        <v>45000</v>
      </c>
      <c r="U53" s="39">
        <f t="shared" si="2"/>
        <v>0</v>
      </c>
      <c r="V53" s="41">
        <f t="shared" si="8"/>
        <v>0</v>
      </c>
    </row>
    <row r="54" spans="1:22" x14ac:dyDescent="0.25">
      <c r="A54" s="47">
        <v>23</v>
      </c>
      <c r="B54" s="31">
        <f t="shared" si="3"/>
        <v>2</v>
      </c>
      <c r="C54" s="48">
        <f>IF(A54=A53,C53,"")</f>
        <v>45154</v>
      </c>
      <c r="D54" s="47" t="str">
        <f>IF(A54=A53,D53,"")</f>
        <v>Ventura Marcelo</v>
      </c>
      <c r="E54" s="31" t="str">
        <f t="shared" si="6"/>
        <v>23Ventura Marcelo2</v>
      </c>
      <c r="I54" s="31" t="str">
        <f t="shared" si="7"/>
        <v xml:space="preserve">Service cambio de aceite y filtros. </v>
      </c>
      <c r="K54" s="26" t="s">
        <v>109</v>
      </c>
      <c r="P54" s="27">
        <v>1</v>
      </c>
      <c r="Q54" s="34">
        <v>12560</v>
      </c>
      <c r="R54" s="36">
        <f t="shared" si="9"/>
        <v>12560</v>
      </c>
      <c r="U54" s="39">
        <f t="shared" si="2"/>
        <v>0</v>
      </c>
      <c r="V54" s="41">
        <f t="shared" si="8"/>
        <v>0</v>
      </c>
    </row>
    <row r="55" spans="1:22" x14ac:dyDescent="0.25">
      <c r="A55" s="47">
        <v>23</v>
      </c>
      <c r="B55" s="31">
        <f t="shared" si="3"/>
        <v>3</v>
      </c>
      <c r="C55" s="48">
        <f>IF(A55=A54,C54,"")</f>
        <v>45154</v>
      </c>
      <c r="D55" s="47" t="str">
        <f>IF(A55=A54,D54,"")</f>
        <v>Ventura Marcelo</v>
      </c>
      <c r="E55" s="31" t="str">
        <f t="shared" si="6"/>
        <v>23Ventura Marcelo3</v>
      </c>
      <c r="I55" s="31" t="str">
        <f t="shared" si="7"/>
        <v xml:space="preserve">Service cambio de aceite y filtros.  </v>
      </c>
      <c r="K55" s="26" t="s">
        <v>123</v>
      </c>
      <c r="P55" s="27">
        <v>1</v>
      </c>
      <c r="Q55" s="34">
        <v>11360</v>
      </c>
      <c r="R55" s="36">
        <f t="shared" si="9"/>
        <v>11360</v>
      </c>
      <c r="U55" s="39">
        <f t="shared" si="2"/>
        <v>0</v>
      </c>
      <c r="V55" s="41">
        <f t="shared" si="8"/>
        <v>0</v>
      </c>
    </row>
    <row r="56" spans="1:22" x14ac:dyDescent="0.25">
      <c r="A56" s="47">
        <v>23</v>
      </c>
      <c r="B56" s="31">
        <f t="shared" si="3"/>
        <v>4</v>
      </c>
      <c r="C56" s="48">
        <f>IF(A56=A55,C55,"")</f>
        <v>45154</v>
      </c>
      <c r="D56" s="47" t="str">
        <f>IF(A56=A55,D55,"")</f>
        <v>Ventura Marcelo</v>
      </c>
      <c r="E56" s="31" t="str">
        <f t="shared" si="6"/>
        <v>23Ventura Marcelo4</v>
      </c>
      <c r="I56" s="31" t="str">
        <f t="shared" si="7"/>
        <v xml:space="preserve">Service cambio de aceite y filtros.   </v>
      </c>
      <c r="K56" s="26" t="s">
        <v>124</v>
      </c>
      <c r="P56" s="27">
        <v>1</v>
      </c>
      <c r="Q56" s="34">
        <v>24960</v>
      </c>
      <c r="R56" s="36">
        <f t="shared" si="9"/>
        <v>24960</v>
      </c>
      <c r="U56" s="39">
        <f t="shared" si="2"/>
        <v>0</v>
      </c>
      <c r="V56" s="41">
        <f t="shared" si="8"/>
        <v>0</v>
      </c>
    </row>
    <row r="57" spans="1:22" x14ac:dyDescent="0.25">
      <c r="A57" s="47">
        <v>23</v>
      </c>
      <c r="B57" s="31">
        <f t="shared" si="3"/>
        <v>5</v>
      </c>
      <c r="C57" s="48">
        <f>IF(A57=A56,C56,"")</f>
        <v>45154</v>
      </c>
      <c r="D57" s="47" t="str">
        <f>IF(A57=A56,D56,"")</f>
        <v>Ventura Marcelo</v>
      </c>
      <c r="E57" s="31" t="str">
        <f t="shared" si="6"/>
        <v>23Ventura Marcelo5</v>
      </c>
      <c r="I57" s="31" t="str">
        <f t="shared" si="7"/>
        <v xml:space="preserve">Service cambio de aceite y filtros.    </v>
      </c>
      <c r="K57" s="26" t="s">
        <v>125</v>
      </c>
      <c r="P57" s="27">
        <v>1</v>
      </c>
      <c r="Q57" s="34">
        <v>12600</v>
      </c>
      <c r="R57" s="36">
        <f t="shared" si="9"/>
        <v>12600</v>
      </c>
      <c r="U57" s="39">
        <f t="shared" si="2"/>
        <v>0</v>
      </c>
      <c r="V57" s="41">
        <f t="shared" si="8"/>
        <v>0</v>
      </c>
    </row>
    <row r="58" spans="1:22" x14ac:dyDescent="0.25">
      <c r="A58" s="47">
        <v>24</v>
      </c>
      <c r="B58" s="31">
        <f t="shared" si="3"/>
        <v>1</v>
      </c>
      <c r="C58" s="48">
        <v>45155</v>
      </c>
      <c r="D58" s="47" t="s">
        <v>127</v>
      </c>
      <c r="E58" s="31" t="str">
        <f t="shared" si="6"/>
        <v>24Chumbita Juan1</v>
      </c>
      <c r="G58" s="47" t="s">
        <v>128</v>
      </c>
      <c r="H58" s="26" t="s">
        <v>132</v>
      </c>
      <c r="I58" s="31" t="str">
        <f t="shared" si="7"/>
        <v>Desarmar distribución , cambiar kit con bomba de agua y correas poliv.</v>
      </c>
      <c r="K58" s="26" t="s">
        <v>50</v>
      </c>
      <c r="P58" s="27">
        <v>1</v>
      </c>
      <c r="Q58" s="34">
        <v>78000</v>
      </c>
      <c r="R58" s="36">
        <f t="shared" si="9"/>
        <v>78000</v>
      </c>
      <c r="S58" s="6">
        <v>1</v>
      </c>
      <c r="T58" s="7">
        <v>50000</v>
      </c>
      <c r="U58" s="39">
        <f t="shared" si="2"/>
        <v>50000</v>
      </c>
      <c r="V58" s="41">
        <f t="shared" si="8"/>
        <v>50000</v>
      </c>
    </row>
    <row r="59" spans="1:22" x14ac:dyDescent="0.25">
      <c r="A59" s="47">
        <v>24</v>
      </c>
      <c r="B59" s="31">
        <f t="shared" si="3"/>
        <v>2</v>
      </c>
      <c r="C59" s="48">
        <f>IF(A59=A58,C58,"")</f>
        <v>45155</v>
      </c>
      <c r="D59" s="47" t="str">
        <f>IF(A59=A58,D58,"")</f>
        <v>Chumbita Juan</v>
      </c>
      <c r="E59" s="31" t="str">
        <f t="shared" si="6"/>
        <v>24Chumbita Juan2</v>
      </c>
      <c r="H59" s="26" t="s">
        <v>134</v>
      </c>
      <c r="I59" s="31" t="str">
        <f t="shared" si="7"/>
        <v>Desarmar distribución , cambiar kit con bomba de agua y correas poliv. Cambiar líquido refrigerante. Puesta a punto.</v>
      </c>
      <c r="K59" s="26" t="s">
        <v>130</v>
      </c>
      <c r="P59" s="27">
        <v>1</v>
      </c>
      <c r="Q59" s="34">
        <v>43200</v>
      </c>
      <c r="R59" s="36">
        <f t="shared" si="9"/>
        <v>43200</v>
      </c>
      <c r="U59" s="39">
        <f t="shared" si="2"/>
        <v>0</v>
      </c>
      <c r="V59" s="41">
        <f t="shared" si="8"/>
        <v>50000</v>
      </c>
    </row>
    <row r="60" spans="1:22" x14ac:dyDescent="0.25">
      <c r="A60" s="47">
        <v>24</v>
      </c>
      <c r="B60" s="31">
        <f t="shared" si="3"/>
        <v>3</v>
      </c>
      <c r="C60" s="48">
        <f>IF(A60=A59,C59,"")</f>
        <v>45155</v>
      </c>
      <c r="D60" s="47" t="str">
        <f>IF(A60=A59,D59,"")</f>
        <v>Chumbita Juan</v>
      </c>
      <c r="E60" s="31" t="str">
        <f t="shared" si="6"/>
        <v>24Chumbita Juan3</v>
      </c>
      <c r="I60" s="31" t="str">
        <f t="shared" si="7"/>
        <v xml:space="preserve">Desarmar distribución , cambiar kit con bomba de agua y correas poliv. Cambiar líquido refrigerante. Puesta a punto. </v>
      </c>
      <c r="K60" s="26" t="s">
        <v>131</v>
      </c>
      <c r="P60" s="27">
        <v>1</v>
      </c>
      <c r="Q60" s="34">
        <v>45360</v>
      </c>
      <c r="R60" s="36">
        <f t="shared" si="9"/>
        <v>45360</v>
      </c>
      <c r="U60" s="39">
        <f t="shared" si="2"/>
        <v>0</v>
      </c>
      <c r="V60" s="41">
        <f t="shared" si="8"/>
        <v>50000</v>
      </c>
    </row>
    <row r="61" spans="1:22" x14ac:dyDescent="0.25">
      <c r="A61" s="47">
        <v>24</v>
      </c>
      <c r="B61" s="31">
        <f t="shared" si="3"/>
        <v>4</v>
      </c>
      <c r="C61" s="48">
        <f>IF(A61=A60,C60,"")</f>
        <v>45155</v>
      </c>
      <c r="D61" s="47" t="str">
        <f>IF(A61=A60,D60,"")</f>
        <v>Chumbita Juan</v>
      </c>
      <c r="E61" s="31" t="str">
        <f t="shared" si="6"/>
        <v>24Chumbita Juan4</v>
      </c>
      <c r="I61" s="31" t="str">
        <f t="shared" si="7"/>
        <v xml:space="preserve">Desarmar distribución , cambiar kit con bomba de agua y correas poliv. Cambiar líquido refrigerante. Puesta a punto.  </v>
      </c>
      <c r="K61" s="26" t="s">
        <v>133</v>
      </c>
      <c r="P61" s="27">
        <v>1</v>
      </c>
      <c r="Q61" s="34">
        <v>8400</v>
      </c>
      <c r="R61" s="36">
        <f t="shared" si="9"/>
        <v>8400</v>
      </c>
      <c r="U61" s="39">
        <f t="shared" si="2"/>
        <v>0</v>
      </c>
      <c r="V61" s="41">
        <f t="shared" si="8"/>
        <v>50000</v>
      </c>
    </row>
    <row r="62" spans="1:22" x14ac:dyDescent="0.25">
      <c r="A62" s="47">
        <v>25</v>
      </c>
      <c r="B62" s="31">
        <f t="shared" si="3"/>
        <v>1</v>
      </c>
      <c r="C62" s="48">
        <v>45155</v>
      </c>
      <c r="D62" s="47" t="s">
        <v>127</v>
      </c>
      <c r="E62" s="31" t="str">
        <f t="shared" si="6"/>
        <v>25Chumbita Juan1</v>
      </c>
      <c r="G62" s="47" t="s">
        <v>128</v>
      </c>
      <c r="H62" s="26" t="s">
        <v>129</v>
      </c>
      <c r="I62" s="31" t="str">
        <f t="shared" si="7"/>
        <v>Sacar y colocar caja de velocidad.</v>
      </c>
      <c r="K62" s="26" t="s">
        <v>138</v>
      </c>
      <c r="P62" s="27">
        <v>1</v>
      </c>
      <c r="Q62" s="34">
        <v>172000</v>
      </c>
      <c r="R62" s="36">
        <f t="shared" si="9"/>
        <v>172000</v>
      </c>
      <c r="U62" s="39">
        <f t="shared" si="2"/>
        <v>0</v>
      </c>
      <c r="V62" s="41">
        <f t="shared" si="8"/>
        <v>0</v>
      </c>
    </row>
    <row r="63" spans="1:22" x14ac:dyDescent="0.25">
      <c r="A63" s="47">
        <v>25</v>
      </c>
      <c r="B63" s="31">
        <f t="shared" si="3"/>
        <v>2</v>
      </c>
      <c r="C63" s="48">
        <f>IF(A63=A62,C62,"")</f>
        <v>45155</v>
      </c>
      <c r="D63" s="47" t="str">
        <f>IF(A63=A62,D62,"")</f>
        <v>Chumbita Juan</v>
      </c>
      <c r="E63" s="31" t="str">
        <f t="shared" si="6"/>
        <v>25Chumbita Juan2</v>
      </c>
      <c r="H63" s="26" t="s">
        <v>135</v>
      </c>
      <c r="I63" s="31" t="str">
        <f t="shared" si="7"/>
        <v>Sacar y colocar caja de velocidad. Cambiar kit de embrague completo.</v>
      </c>
      <c r="P63" s="27"/>
      <c r="Q63" s="34"/>
      <c r="R63" s="36">
        <f t="shared" si="9"/>
        <v>0</v>
      </c>
      <c r="S63" s="6">
        <v>1</v>
      </c>
      <c r="T63" s="7">
        <v>80000</v>
      </c>
      <c r="U63" s="39">
        <f t="shared" si="2"/>
        <v>80000</v>
      </c>
      <c r="V63" s="41">
        <f t="shared" si="8"/>
        <v>80000</v>
      </c>
    </row>
    <row r="64" spans="1:22" x14ac:dyDescent="0.25">
      <c r="A64" s="47">
        <v>25</v>
      </c>
      <c r="B64" s="31">
        <f t="shared" si="3"/>
        <v>3</v>
      </c>
      <c r="C64" s="48">
        <f>IF(A64=A63,C63,"")</f>
        <v>45155</v>
      </c>
      <c r="D64" s="47" t="str">
        <f>IF(A64=A63,D63,"")</f>
        <v>Chumbita Juan</v>
      </c>
      <c r="E64" s="31" t="str">
        <f t="shared" si="6"/>
        <v>25Chumbita Juan3</v>
      </c>
      <c r="H64" s="26" t="s">
        <v>136</v>
      </c>
      <c r="I64" s="31" t="str">
        <f t="shared" si="7"/>
        <v>Sacar y colocar caja de velocidad. Cambiar kit de embrague completo. Regular convergencia. Puesta a punto.</v>
      </c>
      <c r="P64" s="27"/>
      <c r="Q64" s="34"/>
      <c r="R64" s="36">
        <f t="shared" si="9"/>
        <v>0</v>
      </c>
      <c r="U64" s="39">
        <f t="shared" si="2"/>
        <v>0</v>
      </c>
      <c r="V64" s="41">
        <f t="shared" si="8"/>
        <v>80000</v>
      </c>
    </row>
    <row r="65" spans="1:22" x14ac:dyDescent="0.25">
      <c r="A65" s="47">
        <v>25</v>
      </c>
      <c r="B65" s="31">
        <f t="shared" si="3"/>
        <v>4</v>
      </c>
      <c r="C65" s="48">
        <f>IF(A65=A64,C64,"")</f>
        <v>45155</v>
      </c>
      <c r="D65" s="47" t="str">
        <f>IF(A65=A64,D64,"")</f>
        <v>Chumbita Juan</v>
      </c>
      <c r="E65" s="31" t="str">
        <f t="shared" si="6"/>
        <v>25Chumbita Juan4</v>
      </c>
      <c r="H65" s="26" t="s">
        <v>137</v>
      </c>
      <c r="I65" s="31" t="str">
        <f t="shared" si="7"/>
        <v>Sacar y colocar caja de velocidad. Cambiar kit de embrague completo. Regular convergencia. Puesta a punto. Armado total.</v>
      </c>
      <c r="P65" s="27"/>
      <c r="Q65" s="34"/>
      <c r="R65" s="36">
        <f t="shared" si="9"/>
        <v>0</v>
      </c>
      <c r="U65" s="39">
        <f t="shared" si="2"/>
        <v>0</v>
      </c>
      <c r="V65" s="41">
        <f t="shared" si="8"/>
        <v>80000</v>
      </c>
    </row>
    <row r="66" spans="1:22" x14ac:dyDescent="0.25">
      <c r="A66" s="47">
        <v>26</v>
      </c>
      <c r="B66" s="31">
        <f t="shared" si="3"/>
        <v>1</v>
      </c>
      <c r="C66" s="48">
        <v>45160</v>
      </c>
      <c r="D66" s="47" t="s">
        <v>139</v>
      </c>
      <c r="E66" s="31" t="str">
        <f t="shared" si="6"/>
        <v>26Salgado Victor1</v>
      </c>
      <c r="G66" s="47" t="s">
        <v>85</v>
      </c>
      <c r="H66" s="26" t="s">
        <v>103</v>
      </c>
      <c r="I66" s="31" t="str">
        <f t="shared" si="7"/>
        <v>Cambiar ambos amortiguadores.</v>
      </c>
      <c r="K66" s="26" t="s">
        <v>142</v>
      </c>
      <c r="P66" s="27">
        <v>2</v>
      </c>
      <c r="Q66" s="34">
        <v>2250</v>
      </c>
      <c r="R66" s="36">
        <f t="shared" si="9"/>
        <v>4500</v>
      </c>
      <c r="U66" s="39">
        <f t="shared" si="2"/>
        <v>0</v>
      </c>
      <c r="V66" s="41">
        <f t="shared" si="8"/>
        <v>0</v>
      </c>
    </row>
    <row r="67" spans="1:22" x14ac:dyDescent="0.25">
      <c r="A67" s="47">
        <v>26</v>
      </c>
      <c r="B67" s="31">
        <f t="shared" si="3"/>
        <v>2</v>
      </c>
      <c r="C67" s="48">
        <v>45160</v>
      </c>
      <c r="D67" s="47" t="str">
        <f>IF(A67=A66,D66,"")</f>
        <v>Salgado Victor</v>
      </c>
      <c r="E67" s="31" t="str">
        <f t="shared" si="6"/>
        <v>26Salgado Victor2</v>
      </c>
      <c r="H67" s="26" t="s">
        <v>140</v>
      </c>
      <c r="I67" s="31" t="str">
        <f t="shared" si="7"/>
        <v>Cambiar ambos amortiguadores. Cambiar ambas cazoletas.</v>
      </c>
      <c r="K67" s="26" t="s">
        <v>143</v>
      </c>
      <c r="P67" s="27">
        <v>2</v>
      </c>
      <c r="Q67" s="34">
        <v>10931.25</v>
      </c>
      <c r="R67" s="36">
        <f t="shared" si="9"/>
        <v>21862.5</v>
      </c>
      <c r="S67" s="6">
        <v>1</v>
      </c>
      <c r="T67" s="7">
        <v>30000</v>
      </c>
      <c r="U67" s="39">
        <f t="shared" si="2"/>
        <v>30000</v>
      </c>
      <c r="V67" s="41">
        <f t="shared" si="8"/>
        <v>30000</v>
      </c>
    </row>
    <row r="68" spans="1:22" x14ac:dyDescent="0.25">
      <c r="A68" s="47">
        <v>26</v>
      </c>
      <c r="B68" s="31">
        <f t="shared" si="3"/>
        <v>3</v>
      </c>
      <c r="C68" s="48">
        <v>45160</v>
      </c>
      <c r="D68" s="47" t="str">
        <f>IF(A68=A67,D67,"")</f>
        <v>Salgado Victor</v>
      </c>
      <c r="E68" s="31" t="str">
        <f t="shared" si="6"/>
        <v>26Salgado Victor3</v>
      </c>
      <c r="H68" s="26" t="s">
        <v>141</v>
      </c>
      <c r="I68" s="31" t="str">
        <f t="shared" si="7"/>
        <v>Cambiar ambos amortiguadores. Cambiar ambas cazoletas. Regular topes, regular convergencia.</v>
      </c>
      <c r="K68" s="26" t="s">
        <v>144</v>
      </c>
      <c r="P68" s="27">
        <v>2</v>
      </c>
      <c r="Q68" s="34">
        <v>37329</v>
      </c>
      <c r="R68" s="36">
        <f t="shared" si="9"/>
        <v>74658</v>
      </c>
      <c r="U68" s="39">
        <f t="shared" ref="U68:U131" si="10">+T68*S68</f>
        <v>0</v>
      </c>
      <c r="V68" s="41">
        <f t="shared" si="8"/>
        <v>30000</v>
      </c>
    </row>
    <row r="69" spans="1:22" x14ac:dyDescent="0.25">
      <c r="A69" s="47">
        <v>26</v>
      </c>
      <c r="B69" s="31">
        <f t="shared" ref="B69:B132" si="11">IF(A69=A68,B68+1,1)</f>
        <v>4</v>
      </c>
      <c r="C69" s="48">
        <v>45160</v>
      </c>
      <c r="D69" s="47" t="str">
        <f>IF(A69=A68,D68,"")</f>
        <v>Salgado Victor</v>
      </c>
      <c r="E69" s="31" t="str">
        <f t="shared" si="6"/>
        <v>26Salgado Victor4</v>
      </c>
      <c r="I69" s="31" t="str">
        <f t="shared" si="7"/>
        <v xml:space="preserve">Cambiar ambos amortiguadores. Cambiar ambas cazoletas. Regular topes, regular convergencia. </v>
      </c>
      <c r="P69" s="27"/>
      <c r="Q69" s="34"/>
      <c r="R69" s="36">
        <f t="shared" si="9"/>
        <v>0</v>
      </c>
      <c r="U69" s="39">
        <f t="shared" si="10"/>
        <v>0</v>
      </c>
      <c r="V69" s="41">
        <f t="shared" si="8"/>
        <v>30000</v>
      </c>
    </row>
    <row r="70" spans="1:22" x14ac:dyDescent="0.25">
      <c r="A70" s="47">
        <v>27</v>
      </c>
      <c r="B70" s="31">
        <f t="shared" si="11"/>
        <v>1</v>
      </c>
      <c r="C70" s="48">
        <v>45160</v>
      </c>
      <c r="D70" s="47" t="s">
        <v>145</v>
      </c>
      <c r="E70" s="31" t="str">
        <f t="shared" si="6"/>
        <v>27Albarracin German1</v>
      </c>
      <c r="G70" s="47" t="s">
        <v>147</v>
      </c>
      <c r="H70" s="26" t="s">
        <v>80</v>
      </c>
      <c r="I70" s="31" t="str">
        <f t="shared" si="7"/>
        <v>Service cambio de aceite y filtros.</v>
      </c>
      <c r="K70" s="26" t="s">
        <v>152</v>
      </c>
      <c r="P70" s="27">
        <v>5</v>
      </c>
      <c r="Q70" s="34">
        <v>7865</v>
      </c>
      <c r="R70" s="36">
        <f t="shared" si="9"/>
        <v>39325</v>
      </c>
      <c r="U70" s="39">
        <f t="shared" si="10"/>
        <v>0</v>
      </c>
      <c r="V70" s="41">
        <f t="shared" si="8"/>
        <v>0</v>
      </c>
    </row>
    <row r="71" spans="1:22" x14ac:dyDescent="0.25">
      <c r="A71" s="47">
        <v>27</v>
      </c>
      <c r="B71" s="31">
        <f t="shared" si="11"/>
        <v>2</v>
      </c>
      <c r="C71" s="48">
        <v>45160</v>
      </c>
      <c r="D71" s="47" t="str">
        <f>IF(A71=A70,D70,"")</f>
        <v>Albarracin German</v>
      </c>
      <c r="E71" s="31" t="str">
        <f t="shared" si="6"/>
        <v>27Albarracin German2</v>
      </c>
      <c r="H71" s="26" t="s">
        <v>146</v>
      </c>
      <c r="I71" s="31" t="str">
        <f t="shared" si="7"/>
        <v>Service cambio de aceite y filtros. Rotación. Control del vehículo.</v>
      </c>
      <c r="K71" s="26" t="s">
        <v>109</v>
      </c>
      <c r="P71" s="27">
        <v>1</v>
      </c>
      <c r="Q71" s="34">
        <v>3000</v>
      </c>
      <c r="R71" s="36">
        <f t="shared" si="9"/>
        <v>3000</v>
      </c>
      <c r="S71" s="6">
        <v>1</v>
      </c>
      <c r="T71" s="7">
        <v>30500</v>
      </c>
      <c r="U71" s="39">
        <f t="shared" si="10"/>
        <v>30500</v>
      </c>
      <c r="V71" s="41">
        <f t="shared" si="8"/>
        <v>30500</v>
      </c>
    </row>
    <row r="72" spans="1:22" x14ac:dyDescent="0.25">
      <c r="A72" s="47">
        <v>27</v>
      </c>
      <c r="B72" s="31">
        <f t="shared" si="11"/>
        <v>3</v>
      </c>
      <c r="C72" s="48">
        <v>45160</v>
      </c>
      <c r="D72" s="47" t="str">
        <f>IF(A72=A71,D71,"")</f>
        <v>Albarracin German</v>
      </c>
      <c r="E72" s="31" t="str">
        <f t="shared" si="6"/>
        <v>27Albarracin German3</v>
      </c>
      <c r="I72" s="31" t="str">
        <f t="shared" si="7"/>
        <v xml:space="preserve">Service cambio de aceite y filtros. Rotación. Control del vehículo. </v>
      </c>
      <c r="K72" s="26" t="s">
        <v>110</v>
      </c>
      <c r="P72" s="27">
        <v>1</v>
      </c>
      <c r="Q72" s="34">
        <v>4200</v>
      </c>
      <c r="R72" s="36">
        <f t="shared" si="9"/>
        <v>4200</v>
      </c>
      <c r="U72" s="39">
        <f t="shared" si="10"/>
        <v>0</v>
      </c>
      <c r="V72" s="41">
        <f t="shared" si="8"/>
        <v>30500</v>
      </c>
    </row>
    <row r="73" spans="1:22" x14ac:dyDescent="0.25">
      <c r="A73" s="47">
        <v>27</v>
      </c>
      <c r="B73" s="31">
        <f t="shared" si="11"/>
        <v>4</v>
      </c>
      <c r="C73" s="48">
        <v>45160</v>
      </c>
      <c r="D73" s="47" t="str">
        <f>IF(A73=A72,D72,"")</f>
        <v>Albarracin German</v>
      </c>
      <c r="E73" s="31" t="str">
        <f t="shared" si="6"/>
        <v>27Albarracin German4</v>
      </c>
      <c r="I73" s="31" t="str">
        <f t="shared" si="7"/>
        <v xml:space="preserve">Service cambio de aceite y filtros. Rotación. Control del vehículo.  </v>
      </c>
      <c r="K73" s="26" t="s">
        <v>111</v>
      </c>
      <c r="P73" s="27">
        <v>1</v>
      </c>
      <c r="Q73" s="34">
        <v>3400</v>
      </c>
      <c r="R73" s="36">
        <f t="shared" si="9"/>
        <v>3400</v>
      </c>
      <c r="U73" s="39">
        <f t="shared" si="10"/>
        <v>0</v>
      </c>
      <c r="V73" s="41">
        <f t="shared" si="8"/>
        <v>30500</v>
      </c>
    </row>
    <row r="74" spans="1:22" x14ac:dyDescent="0.25">
      <c r="A74" s="47">
        <v>27</v>
      </c>
      <c r="B74" s="31">
        <f t="shared" si="11"/>
        <v>5</v>
      </c>
      <c r="C74" s="48">
        <v>45160</v>
      </c>
      <c r="D74" s="47" t="str">
        <f>IF(A74=A73,D73,"")</f>
        <v>Albarracin German</v>
      </c>
      <c r="E74" s="31" t="str">
        <f t="shared" si="6"/>
        <v>27Albarracin German5</v>
      </c>
      <c r="I74" s="31" t="str">
        <f t="shared" si="7"/>
        <v xml:space="preserve">Service cambio de aceite y filtros. Rotación. Control del vehículo.   </v>
      </c>
      <c r="K74" s="26" t="s">
        <v>112</v>
      </c>
      <c r="P74" s="27">
        <v>1</v>
      </c>
      <c r="Q74" s="34">
        <v>3000</v>
      </c>
      <c r="R74" s="36">
        <f t="shared" si="9"/>
        <v>3000</v>
      </c>
      <c r="U74" s="39">
        <f t="shared" si="10"/>
        <v>0</v>
      </c>
      <c r="V74" s="41">
        <f t="shared" si="8"/>
        <v>30500</v>
      </c>
    </row>
    <row r="75" spans="1:22" x14ac:dyDescent="0.25">
      <c r="A75" s="47">
        <v>28</v>
      </c>
      <c r="B75" s="31">
        <f t="shared" si="11"/>
        <v>1</v>
      </c>
      <c r="C75" s="48">
        <v>45160</v>
      </c>
      <c r="D75" s="47" t="s">
        <v>145</v>
      </c>
      <c r="E75" s="31" t="str">
        <f t="shared" si="6"/>
        <v>28Albarracin German1</v>
      </c>
      <c r="G75" s="47" t="s">
        <v>148</v>
      </c>
      <c r="H75" s="26" t="s">
        <v>80</v>
      </c>
      <c r="I75" s="31" t="str">
        <f t="shared" si="7"/>
        <v>Service cambio de aceite y filtros.</v>
      </c>
      <c r="K75" s="26" t="s">
        <v>149</v>
      </c>
      <c r="P75" s="27">
        <v>7.5</v>
      </c>
      <c r="Q75" s="34">
        <v>8000</v>
      </c>
      <c r="R75" s="36">
        <f t="shared" si="9"/>
        <v>60000</v>
      </c>
      <c r="U75" s="39">
        <f t="shared" si="10"/>
        <v>0</v>
      </c>
      <c r="V75" s="41">
        <f t="shared" si="8"/>
        <v>0</v>
      </c>
    </row>
    <row r="76" spans="1:22" x14ac:dyDescent="0.25">
      <c r="A76" s="47">
        <v>28</v>
      </c>
      <c r="B76" s="31">
        <f t="shared" si="11"/>
        <v>2</v>
      </c>
      <c r="C76" s="48">
        <f>IF(A76=A75,C75,"")</f>
        <v>45160</v>
      </c>
      <c r="D76" s="47" t="str">
        <f>IF(A76=A75,D75,"")</f>
        <v>Albarracin German</v>
      </c>
      <c r="E76" s="31" t="str">
        <f t="shared" si="6"/>
        <v>28Albarracin German2</v>
      </c>
      <c r="H76" s="26" t="s">
        <v>107</v>
      </c>
      <c r="I76" s="31" t="str">
        <f t="shared" si="7"/>
        <v>Service cambio de aceite y filtros. Control del vehículo.</v>
      </c>
      <c r="K76" s="26" t="s">
        <v>109</v>
      </c>
      <c r="P76" s="27">
        <v>1</v>
      </c>
      <c r="Q76" s="34">
        <v>8900</v>
      </c>
      <c r="R76" s="36">
        <f t="shared" si="9"/>
        <v>8900</v>
      </c>
      <c r="U76" s="39">
        <f t="shared" si="10"/>
        <v>0</v>
      </c>
      <c r="V76" s="41">
        <f t="shared" si="8"/>
        <v>0</v>
      </c>
    </row>
    <row r="77" spans="1:22" x14ac:dyDescent="0.25">
      <c r="A77" s="47">
        <v>28</v>
      </c>
      <c r="B77" s="31">
        <f t="shared" si="11"/>
        <v>3</v>
      </c>
      <c r="C77" s="48">
        <f>IF(A77=A76,C76,"")</f>
        <v>45160</v>
      </c>
      <c r="D77" s="47" t="str">
        <f>IF(A77=A76,D76,"")</f>
        <v>Albarracin German</v>
      </c>
      <c r="E77" s="31" t="str">
        <f t="shared" si="6"/>
        <v>28Albarracin German3</v>
      </c>
      <c r="I77" s="31" t="str">
        <f t="shared" si="7"/>
        <v xml:space="preserve">Service cambio de aceite y filtros. Control del vehículo. </v>
      </c>
      <c r="K77" s="26" t="s">
        <v>110</v>
      </c>
      <c r="P77" s="27">
        <v>1</v>
      </c>
      <c r="Q77" s="34">
        <v>9000</v>
      </c>
      <c r="R77" s="36">
        <f t="shared" si="9"/>
        <v>9000</v>
      </c>
      <c r="U77" s="39">
        <f t="shared" si="10"/>
        <v>0</v>
      </c>
      <c r="V77" s="41">
        <f t="shared" si="8"/>
        <v>0</v>
      </c>
    </row>
    <row r="78" spans="1:22" x14ac:dyDescent="0.25">
      <c r="A78" s="47">
        <v>28</v>
      </c>
      <c r="B78" s="31">
        <f t="shared" si="11"/>
        <v>4</v>
      </c>
      <c r="C78" s="48">
        <f>IF(A78=A77,C77,"")</f>
        <v>45160</v>
      </c>
      <c r="D78" s="47" t="str">
        <f>IF(A78=A77,D77,"")</f>
        <v>Albarracin German</v>
      </c>
      <c r="E78" s="31" t="str">
        <f t="shared" si="6"/>
        <v>28Albarracin German4</v>
      </c>
      <c r="I78" s="31" t="str">
        <f t="shared" si="7"/>
        <v xml:space="preserve">Service cambio de aceite y filtros. Control del vehículo.  </v>
      </c>
      <c r="K78" s="26" t="s">
        <v>151</v>
      </c>
      <c r="P78" s="27">
        <v>2</v>
      </c>
      <c r="Q78" s="34">
        <v>9400</v>
      </c>
      <c r="R78" s="36">
        <v>18800</v>
      </c>
      <c r="S78" s="6">
        <v>1</v>
      </c>
      <c r="T78" s="7">
        <v>40000</v>
      </c>
      <c r="U78" s="39">
        <f t="shared" si="10"/>
        <v>40000</v>
      </c>
      <c r="V78" s="41">
        <f t="shared" si="8"/>
        <v>40000</v>
      </c>
    </row>
    <row r="79" spans="1:22" x14ac:dyDescent="0.25">
      <c r="A79" s="47">
        <v>28</v>
      </c>
      <c r="B79" s="31">
        <f t="shared" si="11"/>
        <v>5</v>
      </c>
      <c r="C79" s="48">
        <f>IF(A79=A78,C78,"")</f>
        <v>45160</v>
      </c>
      <c r="D79" s="47" t="str">
        <f>IF(A79=A78,D78,"")</f>
        <v>Albarracin German</v>
      </c>
      <c r="E79" s="31" t="str">
        <f t="shared" si="6"/>
        <v>28Albarracin German5</v>
      </c>
      <c r="I79" s="31" t="str">
        <f t="shared" si="7"/>
        <v xml:space="preserve">Service cambio de aceite y filtros. Control del vehículo.   </v>
      </c>
      <c r="K79" s="26" t="s">
        <v>150</v>
      </c>
      <c r="P79" s="27">
        <v>1</v>
      </c>
      <c r="Q79" s="34">
        <v>8000</v>
      </c>
      <c r="R79" s="36">
        <f t="shared" ref="R79:R142" si="12">Q79*P79</f>
        <v>8000</v>
      </c>
      <c r="U79" s="39">
        <f t="shared" si="10"/>
        <v>0</v>
      </c>
      <c r="V79" s="41">
        <f t="shared" si="8"/>
        <v>40000</v>
      </c>
    </row>
    <row r="80" spans="1:22" x14ac:dyDescent="0.25">
      <c r="A80" s="47">
        <v>29</v>
      </c>
      <c r="B80" s="31">
        <f t="shared" si="11"/>
        <v>1</v>
      </c>
      <c r="C80" s="48">
        <v>45160</v>
      </c>
      <c r="D80" s="47" t="s">
        <v>153</v>
      </c>
      <c r="E80" s="31" t="str">
        <f t="shared" si="6"/>
        <v>29Giordano Hugo1</v>
      </c>
      <c r="G80" s="47" t="s">
        <v>154</v>
      </c>
      <c r="H80" s="26" t="s">
        <v>80</v>
      </c>
      <c r="I80" s="31" t="str">
        <f t="shared" si="7"/>
        <v>Service cambio de aceite y filtros.</v>
      </c>
      <c r="K80" s="26" t="s">
        <v>108</v>
      </c>
      <c r="P80" s="27">
        <v>4.5</v>
      </c>
      <c r="Q80" s="34">
        <v>4290</v>
      </c>
      <c r="R80" s="36">
        <f t="shared" si="12"/>
        <v>19305</v>
      </c>
      <c r="U80" s="39">
        <f t="shared" si="10"/>
        <v>0</v>
      </c>
      <c r="V80" s="41">
        <f t="shared" si="8"/>
        <v>0</v>
      </c>
    </row>
    <row r="81" spans="1:22" x14ac:dyDescent="0.25">
      <c r="A81" s="47">
        <v>29</v>
      </c>
      <c r="B81" s="31">
        <f t="shared" si="11"/>
        <v>2</v>
      </c>
      <c r="C81" s="48">
        <f>IF(A81=A80,C80,"")</f>
        <v>45160</v>
      </c>
      <c r="D81" s="47" t="str">
        <f>IF(A81=A80,D80,"")</f>
        <v>Giordano Hugo</v>
      </c>
      <c r="E81" s="31" t="str">
        <f t="shared" ref="E81:E144" si="13">CONCATENATE(A81,D81,B81)</f>
        <v>29Giordano Hugo2</v>
      </c>
      <c r="H81" s="26" t="s">
        <v>146</v>
      </c>
      <c r="I81" s="31" t="str">
        <f t="shared" si="7"/>
        <v>Service cambio de aceite y filtros. Rotación. Control del vehículo.</v>
      </c>
      <c r="K81" s="26" t="s">
        <v>109</v>
      </c>
      <c r="P81" s="27">
        <v>1</v>
      </c>
      <c r="Q81" s="34">
        <v>3200</v>
      </c>
      <c r="R81" s="36">
        <f t="shared" si="12"/>
        <v>3200</v>
      </c>
      <c r="S81" s="6">
        <v>1</v>
      </c>
      <c r="T81" s="7">
        <v>30500</v>
      </c>
      <c r="U81" s="39">
        <f t="shared" si="10"/>
        <v>30500</v>
      </c>
      <c r="V81" s="41">
        <f t="shared" si="8"/>
        <v>30500</v>
      </c>
    </row>
    <row r="82" spans="1:22" x14ac:dyDescent="0.25">
      <c r="A82" s="47">
        <v>29</v>
      </c>
      <c r="B82" s="31">
        <f t="shared" si="11"/>
        <v>3</v>
      </c>
      <c r="C82" s="48">
        <f>IF(A82=A81,C81,"")</f>
        <v>45160</v>
      </c>
      <c r="D82" s="47" t="str">
        <f>IF(A82=A81,D81,"")</f>
        <v>Giordano Hugo</v>
      </c>
      <c r="E82" s="31" t="str">
        <f t="shared" si="13"/>
        <v>29Giordano Hugo3</v>
      </c>
      <c r="I82" s="31" t="str">
        <f t="shared" si="7"/>
        <v xml:space="preserve">Service cambio de aceite y filtros. Rotación. Control del vehículo. </v>
      </c>
      <c r="K82" s="26" t="s">
        <v>110</v>
      </c>
      <c r="P82" s="27">
        <v>1</v>
      </c>
      <c r="Q82" s="34">
        <v>4800</v>
      </c>
      <c r="R82" s="36">
        <f t="shared" si="12"/>
        <v>4800</v>
      </c>
      <c r="U82" s="39">
        <f t="shared" si="10"/>
        <v>0</v>
      </c>
      <c r="V82" s="41">
        <f t="shared" si="8"/>
        <v>30500</v>
      </c>
    </row>
    <row r="83" spans="1:22" x14ac:dyDescent="0.25">
      <c r="A83" s="47">
        <v>29</v>
      </c>
      <c r="B83" s="31">
        <f t="shared" si="11"/>
        <v>4</v>
      </c>
      <c r="C83" s="48">
        <f>IF(A83=A82,C82,"")</f>
        <v>45160</v>
      </c>
      <c r="D83" s="47" t="str">
        <f>IF(A83=A82,D82,"")</f>
        <v>Giordano Hugo</v>
      </c>
      <c r="E83" s="31" t="str">
        <f t="shared" si="13"/>
        <v>29Giordano Hugo4</v>
      </c>
      <c r="I83" s="31" t="str">
        <f t="shared" si="7"/>
        <v xml:space="preserve">Service cambio de aceite y filtros. Rotación. Control del vehículo.  </v>
      </c>
      <c r="K83" s="26" t="s">
        <v>111</v>
      </c>
      <c r="P83" s="27">
        <v>1</v>
      </c>
      <c r="Q83" s="34">
        <v>3400</v>
      </c>
      <c r="R83" s="36">
        <f t="shared" si="12"/>
        <v>3400</v>
      </c>
      <c r="U83" s="39">
        <f t="shared" si="10"/>
        <v>0</v>
      </c>
      <c r="V83" s="41">
        <f t="shared" si="8"/>
        <v>30500</v>
      </c>
    </row>
    <row r="84" spans="1:22" x14ac:dyDescent="0.25">
      <c r="A84" s="47">
        <v>29</v>
      </c>
      <c r="B84" s="31">
        <f t="shared" si="11"/>
        <v>5</v>
      </c>
      <c r="C84" s="48">
        <f>IF(A84=A83,C83,"")</f>
        <v>45160</v>
      </c>
      <c r="D84" s="47" t="str">
        <f>IF(A84=A83,D83,"")</f>
        <v>Giordano Hugo</v>
      </c>
      <c r="E84" s="31" t="str">
        <f t="shared" si="13"/>
        <v>29Giordano Hugo5</v>
      </c>
      <c r="I84" s="31" t="str">
        <f t="shared" ref="I84:I147" si="14">IF(A84=A83,CONCATENATE(I83," ",H84),H84)</f>
        <v xml:space="preserve">Service cambio de aceite y filtros. Rotación. Control del vehículo.   </v>
      </c>
      <c r="K84" s="26" t="s">
        <v>112</v>
      </c>
      <c r="P84" s="27">
        <v>1</v>
      </c>
      <c r="Q84" s="34">
        <v>3000</v>
      </c>
      <c r="R84" s="36">
        <f t="shared" si="12"/>
        <v>3000</v>
      </c>
      <c r="U84" s="39">
        <f t="shared" si="10"/>
        <v>0</v>
      </c>
      <c r="V84" s="41">
        <f t="shared" ref="V84:V147" si="15">IF(A84=A83,V83+U84,U84)</f>
        <v>30500</v>
      </c>
    </row>
    <row r="85" spans="1:22" x14ac:dyDescent="0.25">
      <c r="A85" s="47">
        <v>30</v>
      </c>
      <c r="B85" s="31">
        <f t="shared" si="11"/>
        <v>1</v>
      </c>
      <c r="C85" s="48">
        <v>45161</v>
      </c>
      <c r="D85" s="47" t="s">
        <v>155</v>
      </c>
      <c r="E85" s="31" t="str">
        <f t="shared" si="13"/>
        <v>30Manaceno Fany1</v>
      </c>
      <c r="G85" s="47" t="s">
        <v>156</v>
      </c>
      <c r="H85" s="26" t="s">
        <v>80</v>
      </c>
      <c r="I85" s="31" t="str">
        <f t="shared" si="14"/>
        <v>Service cambio de aceite y filtros.</v>
      </c>
      <c r="K85" s="26" t="s">
        <v>157</v>
      </c>
      <c r="P85" s="27">
        <v>4</v>
      </c>
      <c r="Q85" s="34">
        <v>4290</v>
      </c>
      <c r="R85" s="36">
        <f t="shared" si="12"/>
        <v>17160</v>
      </c>
      <c r="S85" s="6">
        <v>1</v>
      </c>
      <c r="T85" s="7">
        <v>25000</v>
      </c>
      <c r="U85" s="39">
        <f t="shared" si="10"/>
        <v>25000</v>
      </c>
      <c r="V85" s="41">
        <f t="shared" si="15"/>
        <v>25000</v>
      </c>
    </row>
    <row r="86" spans="1:22" x14ac:dyDescent="0.25">
      <c r="A86" s="47">
        <v>30</v>
      </c>
      <c r="B86" s="31">
        <f t="shared" si="11"/>
        <v>2</v>
      </c>
      <c r="C86" s="48">
        <f>IF(A86=A85,C85,"")</f>
        <v>45161</v>
      </c>
      <c r="D86" s="47" t="str">
        <f>IF(A86=A85,D85,"")</f>
        <v>Manaceno Fany</v>
      </c>
      <c r="E86" s="31" t="str">
        <f t="shared" si="13"/>
        <v>30Manaceno Fany2</v>
      </c>
      <c r="H86" s="26" t="s">
        <v>146</v>
      </c>
      <c r="I86" s="31" t="str">
        <f t="shared" si="14"/>
        <v>Service cambio de aceite y filtros. Rotación. Control del vehículo.</v>
      </c>
      <c r="K86" s="26" t="s">
        <v>109</v>
      </c>
      <c r="P86" s="27">
        <v>1</v>
      </c>
      <c r="Q86" s="34">
        <v>4200</v>
      </c>
      <c r="R86" s="36">
        <f t="shared" si="12"/>
        <v>4200</v>
      </c>
      <c r="U86" s="39">
        <f t="shared" si="10"/>
        <v>0</v>
      </c>
      <c r="V86" s="41">
        <f t="shared" si="15"/>
        <v>25000</v>
      </c>
    </row>
    <row r="87" spans="1:22" x14ac:dyDescent="0.25">
      <c r="A87" s="47">
        <v>30</v>
      </c>
      <c r="B87" s="31">
        <f t="shared" si="11"/>
        <v>3</v>
      </c>
      <c r="C87" s="48">
        <f>IF(A87=A86,C86,"")</f>
        <v>45161</v>
      </c>
      <c r="D87" s="47" t="str">
        <f>IF(A87=A86,D86,"")</f>
        <v>Manaceno Fany</v>
      </c>
      <c r="E87" s="31" t="str">
        <f t="shared" si="13"/>
        <v>30Manaceno Fany3</v>
      </c>
      <c r="I87" s="31" t="str">
        <f t="shared" si="14"/>
        <v xml:space="preserve">Service cambio de aceite y filtros. Rotación. Control del vehículo. </v>
      </c>
      <c r="K87" s="26" t="s">
        <v>110</v>
      </c>
      <c r="P87" s="27">
        <v>1</v>
      </c>
      <c r="Q87" s="34">
        <v>5200</v>
      </c>
      <c r="R87" s="36">
        <f t="shared" si="12"/>
        <v>5200</v>
      </c>
      <c r="U87" s="39">
        <f t="shared" si="10"/>
        <v>0</v>
      </c>
      <c r="V87" s="41">
        <f t="shared" si="15"/>
        <v>25000</v>
      </c>
    </row>
    <row r="88" spans="1:22" x14ac:dyDescent="0.25">
      <c r="A88" s="47">
        <v>30</v>
      </c>
      <c r="B88" s="31">
        <f t="shared" si="11"/>
        <v>4</v>
      </c>
      <c r="C88" s="48">
        <f>IF(A88=A87,C87,"")</f>
        <v>45161</v>
      </c>
      <c r="D88" s="47" t="str">
        <f>IF(A88=A87,D87,"")</f>
        <v>Manaceno Fany</v>
      </c>
      <c r="E88" s="31" t="str">
        <f t="shared" si="13"/>
        <v>30Manaceno Fany4</v>
      </c>
      <c r="I88" s="31" t="str">
        <f t="shared" si="14"/>
        <v xml:space="preserve">Service cambio de aceite y filtros. Rotación. Control del vehículo.  </v>
      </c>
      <c r="K88" s="26" t="s">
        <v>111</v>
      </c>
      <c r="P88" s="27">
        <v>1</v>
      </c>
      <c r="Q88" s="34">
        <v>3400</v>
      </c>
      <c r="R88" s="36">
        <f t="shared" si="12"/>
        <v>3400</v>
      </c>
      <c r="U88" s="39">
        <f t="shared" si="10"/>
        <v>0</v>
      </c>
      <c r="V88" s="41">
        <f t="shared" si="15"/>
        <v>25000</v>
      </c>
    </row>
    <row r="89" spans="1:22" x14ac:dyDescent="0.25">
      <c r="A89" s="47">
        <v>31</v>
      </c>
      <c r="B89" s="31">
        <f t="shared" si="11"/>
        <v>1</v>
      </c>
      <c r="C89" s="48">
        <v>45166</v>
      </c>
      <c r="D89" s="47" t="s">
        <v>158</v>
      </c>
      <c r="E89" s="31" t="str">
        <f t="shared" si="13"/>
        <v>31PAMI1</v>
      </c>
      <c r="G89" s="47" t="s">
        <v>305</v>
      </c>
      <c r="H89" s="26" t="s">
        <v>306</v>
      </c>
      <c r="I89" s="31" t="str">
        <f t="shared" si="14"/>
        <v>Desarmar tren delantero lado derecho. Cambiar parrilla de suspension. Cambiar portamasa. Cambiar extremo de direccion. Cambiar precap de direccion. Sacar semieje y reparar con trinseta nueva. Engrase. Armado total. Cambiar llanta y cubierta. Balanceo de las mismas. Alineado del tren delantero. Presupuesto sujeto a cambios si es necesario emplear repuestos inesperados.</v>
      </c>
      <c r="P89" s="27">
        <v>1</v>
      </c>
      <c r="Q89" s="34"/>
      <c r="R89" s="36">
        <f t="shared" si="12"/>
        <v>0</v>
      </c>
      <c r="S89" s="6">
        <v>1</v>
      </c>
      <c r="T89" s="7">
        <v>200000</v>
      </c>
      <c r="U89" s="39">
        <f t="shared" si="10"/>
        <v>200000</v>
      </c>
      <c r="V89" s="41">
        <f t="shared" si="15"/>
        <v>200000</v>
      </c>
    </row>
    <row r="90" spans="1:22" x14ac:dyDescent="0.25">
      <c r="A90" s="47">
        <v>31</v>
      </c>
      <c r="B90" s="31">
        <f t="shared" si="11"/>
        <v>2</v>
      </c>
      <c r="C90" s="48">
        <f t="shared" ref="C90:C99" si="16">IF(A90=A89,C89,"")</f>
        <v>45166</v>
      </c>
      <c r="D90" s="47" t="str">
        <f t="shared" ref="D90:D99" si="17">IF(A90=A89,D89,"")</f>
        <v>PAMI</v>
      </c>
      <c r="E90" s="31" t="str">
        <f t="shared" si="13"/>
        <v>31PAMI2</v>
      </c>
      <c r="I90" s="31" t="str">
        <f t="shared" si="14"/>
        <v xml:space="preserve">Desarmar tren delantero lado derecho. Cambiar parrilla de suspension. Cambiar portamasa. Cambiar extremo de direccion. Cambiar precap de direccion. Sacar semieje y reparar con trinseta nueva. Engrase. Armado total. Cambiar llanta y cubierta. Balanceo de las mismas. Alineado del tren delantero. Presupuesto sujeto a cambios si es necesario emplear repuestos inesperados. </v>
      </c>
      <c r="P90" s="27">
        <v>1</v>
      </c>
      <c r="Q90" s="34"/>
      <c r="R90" s="36">
        <f t="shared" si="12"/>
        <v>0</v>
      </c>
      <c r="U90" s="39">
        <f t="shared" si="10"/>
        <v>0</v>
      </c>
      <c r="V90" s="41">
        <f t="shared" si="15"/>
        <v>200000</v>
      </c>
    </row>
    <row r="91" spans="1:22" x14ac:dyDescent="0.25">
      <c r="A91" s="47">
        <v>31</v>
      </c>
      <c r="B91" s="31">
        <f t="shared" si="11"/>
        <v>3</v>
      </c>
      <c r="C91" s="48">
        <f t="shared" si="16"/>
        <v>45166</v>
      </c>
      <c r="D91" s="47" t="str">
        <f t="shared" si="17"/>
        <v>PAMI</v>
      </c>
      <c r="E91" s="31" t="str">
        <f t="shared" si="13"/>
        <v>31PAMI3</v>
      </c>
      <c r="I91" s="31" t="str">
        <f t="shared" si="14"/>
        <v xml:space="preserve">Desarmar tren delantero lado derecho. Cambiar parrilla de suspension. Cambiar portamasa. Cambiar extremo de direccion. Cambiar precap de direccion. Sacar semieje y reparar con trinseta nueva. Engrase. Armado total. Cambiar llanta y cubierta. Balanceo de las mismas. Alineado del tren delantero. Presupuesto sujeto a cambios si es necesario emplear repuestos inesperados.  </v>
      </c>
      <c r="P91" s="27">
        <v>1</v>
      </c>
      <c r="Q91" s="34"/>
      <c r="R91" s="36">
        <f t="shared" si="12"/>
        <v>0</v>
      </c>
      <c r="U91" s="39">
        <f t="shared" si="10"/>
        <v>0</v>
      </c>
      <c r="V91" s="41">
        <f t="shared" si="15"/>
        <v>200000</v>
      </c>
    </row>
    <row r="92" spans="1:22" x14ac:dyDescent="0.25">
      <c r="A92" s="47">
        <v>31</v>
      </c>
      <c r="B92" s="31">
        <f t="shared" si="11"/>
        <v>4</v>
      </c>
      <c r="C92" s="48">
        <f t="shared" si="16"/>
        <v>45166</v>
      </c>
      <c r="D92" s="47" t="str">
        <f t="shared" si="17"/>
        <v>PAMI</v>
      </c>
      <c r="E92" s="31" t="str">
        <f t="shared" si="13"/>
        <v>31PAMI4</v>
      </c>
      <c r="I92" s="31" t="str">
        <f t="shared" si="14"/>
        <v xml:space="preserve">Desarmar tren delantero lado derecho. Cambiar parrilla de suspension. Cambiar portamasa. Cambiar extremo de direccion. Cambiar precap de direccion. Sacar semieje y reparar con trinseta nueva. Engrase. Armado total. Cambiar llanta y cubierta. Balanceo de las mismas. Alineado del tren delantero. Presupuesto sujeto a cambios si es necesario emplear repuestos inesperados.   </v>
      </c>
      <c r="P92" s="27">
        <v>1</v>
      </c>
      <c r="Q92" s="34"/>
      <c r="R92" s="36">
        <f t="shared" si="12"/>
        <v>0</v>
      </c>
      <c r="U92" s="39">
        <f t="shared" si="10"/>
        <v>0</v>
      </c>
      <c r="V92" s="41">
        <f t="shared" si="15"/>
        <v>200000</v>
      </c>
    </row>
    <row r="93" spans="1:22" x14ac:dyDescent="0.25">
      <c r="A93" s="47">
        <v>31</v>
      </c>
      <c r="B93" s="31">
        <f t="shared" si="11"/>
        <v>5</v>
      </c>
      <c r="C93" s="48">
        <f t="shared" si="16"/>
        <v>45166</v>
      </c>
      <c r="D93" s="47" t="str">
        <f t="shared" si="17"/>
        <v>PAMI</v>
      </c>
      <c r="E93" s="31" t="str">
        <f t="shared" si="13"/>
        <v>31PAMI5</v>
      </c>
      <c r="I93" s="31" t="str">
        <f t="shared" si="14"/>
        <v xml:space="preserve">Desarmar tren delantero lado derecho. Cambiar parrilla de suspension. Cambiar portamasa. Cambiar extremo de direccion. Cambiar precap de direccion. Sacar semieje y reparar con trinseta nueva. Engrase. Armado total. Cambiar llanta y cubierta. Balanceo de las mismas. Alineado del tren delantero. Presupuesto sujeto a cambios si es necesario emplear repuestos inesperados.    </v>
      </c>
      <c r="P93" s="27">
        <v>1</v>
      </c>
      <c r="Q93" s="34"/>
      <c r="R93" s="36">
        <f t="shared" si="12"/>
        <v>0</v>
      </c>
      <c r="U93" s="39">
        <f t="shared" si="10"/>
        <v>0</v>
      </c>
      <c r="V93" s="41">
        <f t="shared" si="15"/>
        <v>200000</v>
      </c>
    </row>
    <row r="94" spans="1:22" x14ac:dyDescent="0.25">
      <c r="A94" s="47">
        <v>31</v>
      </c>
      <c r="B94" s="31">
        <f t="shared" si="11"/>
        <v>6</v>
      </c>
      <c r="C94" s="48">
        <f t="shared" si="16"/>
        <v>45166</v>
      </c>
      <c r="D94" s="47" t="str">
        <f t="shared" si="17"/>
        <v>PAMI</v>
      </c>
      <c r="E94" s="31" t="str">
        <f t="shared" si="13"/>
        <v>31PAMI6</v>
      </c>
      <c r="I94" s="31" t="str">
        <f t="shared" si="14"/>
        <v xml:space="preserve">Desarmar tren delantero lado derecho. Cambiar parrilla de suspension. Cambiar portamasa. Cambiar extremo de direccion. Cambiar precap de direccion. Sacar semieje y reparar con trinseta nueva. Engrase. Armado total. Cambiar llanta y cubierta. Balanceo de las mismas. Alineado del tren delantero. Presupuesto sujeto a cambios si es necesario emplear repuestos inesperados.     </v>
      </c>
      <c r="P94" s="27">
        <v>1</v>
      </c>
      <c r="Q94" s="34"/>
      <c r="R94" s="36">
        <f t="shared" si="12"/>
        <v>0</v>
      </c>
      <c r="U94" s="39">
        <f t="shared" si="10"/>
        <v>0</v>
      </c>
      <c r="V94" s="41">
        <f t="shared" si="15"/>
        <v>200000</v>
      </c>
    </row>
    <row r="95" spans="1:22" x14ac:dyDescent="0.25">
      <c r="A95" s="47">
        <v>31</v>
      </c>
      <c r="B95" s="31">
        <f t="shared" si="11"/>
        <v>7</v>
      </c>
      <c r="C95" s="48">
        <f t="shared" si="16"/>
        <v>45166</v>
      </c>
      <c r="D95" s="47" t="str">
        <f t="shared" si="17"/>
        <v>PAMI</v>
      </c>
      <c r="E95" s="31" t="str">
        <f t="shared" si="13"/>
        <v>31PAMI7</v>
      </c>
      <c r="I95" s="31" t="str">
        <f t="shared" si="14"/>
        <v xml:space="preserve">Desarmar tren delantero lado derecho. Cambiar parrilla de suspension. Cambiar portamasa. Cambiar extremo de direccion. Cambiar precap de direccion. Sacar semieje y reparar con trinseta nueva. Engrase. Armado total. Cambiar llanta y cubierta. Balanceo de las mismas. Alineado del tren delantero. Presupuesto sujeto a cambios si es necesario emplear repuestos inesperados.      </v>
      </c>
      <c r="P95" s="27">
        <v>1</v>
      </c>
      <c r="Q95" s="34"/>
      <c r="R95" s="36">
        <f t="shared" si="12"/>
        <v>0</v>
      </c>
      <c r="U95" s="39">
        <f t="shared" si="10"/>
        <v>0</v>
      </c>
      <c r="V95" s="41">
        <f t="shared" si="15"/>
        <v>200000</v>
      </c>
    </row>
    <row r="96" spans="1:22" x14ac:dyDescent="0.25">
      <c r="A96" s="47">
        <v>31</v>
      </c>
      <c r="B96" s="31">
        <f t="shared" si="11"/>
        <v>8</v>
      </c>
      <c r="C96" s="48">
        <f t="shared" si="16"/>
        <v>45166</v>
      </c>
      <c r="D96" s="47" t="str">
        <f t="shared" si="17"/>
        <v>PAMI</v>
      </c>
      <c r="E96" s="31" t="str">
        <f t="shared" si="13"/>
        <v>31PAMI8</v>
      </c>
      <c r="I96" s="31" t="str">
        <f t="shared" si="14"/>
        <v xml:space="preserve">Desarmar tren delantero lado derecho. Cambiar parrilla de suspension. Cambiar portamasa. Cambiar extremo de direccion. Cambiar precap de direccion. Sacar semieje y reparar con trinseta nueva. Engrase. Armado total. Cambiar llanta y cubierta. Balanceo de las mismas. Alineado del tren delantero. Presupuesto sujeto a cambios si es necesario emplear repuestos inesperados.       </v>
      </c>
      <c r="P96" s="27">
        <v>1</v>
      </c>
      <c r="Q96" s="34"/>
      <c r="R96" s="36">
        <f t="shared" si="12"/>
        <v>0</v>
      </c>
      <c r="U96" s="39">
        <f t="shared" si="10"/>
        <v>0</v>
      </c>
      <c r="V96" s="41">
        <f t="shared" si="15"/>
        <v>200000</v>
      </c>
    </row>
    <row r="97" spans="1:22" x14ac:dyDescent="0.25">
      <c r="A97" s="47">
        <v>31</v>
      </c>
      <c r="B97" s="31">
        <f t="shared" si="11"/>
        <v>9</v>
      </c>
      <c r="C97" s="48">
        <f t="shared" si="16"/>
        <v>45166</v>
      </c>
      <c r="D97" s="47" t="str">
        <f t="shared" si="17"/>
        <v>PAMI</v>
      </c>
      <c r="E97" s="31" t="str">
        <f t="shared" si="13"/>
        <v>31PAMI9</v>
      </c>
      <c r="I97" s="31" t="str">
        <f t="shared" si="14"/>
        <v xml:space="preserve">Desarmar tren delantero lado derecho. Cambiar parrilla de suspension. Cambiar portamasa. Cambiar extremo de direccion. Cambiar precap de direccion. Sacar semieje y reparar con trinseta nueva. Engrase. Armado total. Cambiar llanta y cubierta. Balanceo de las mismas. Alineado del tren delantero. Presupuesto sujeto a cambios si es necesario emplear repuestos inesperados.        </v>
      </c>
      <c r="P97" s="27">
        <v>1</v>
      </c>
      <c r="Q97" s="34"/>
      <c r="R97" s="36">
        <f t="shared" si="12"/>
        <v>0</v>
      </c>
      <c r="U97" s="39">
        <f t="shared" si="10"/>
        <v>0</v>
      </c>
      <c r="V97" s="41">
        <f t="shared" si="15"/>
        <v>200000</v>
      </c>
    </row>
    <row r="98" spans="1:22" x14ac:dyDescent="0.25">
      <c r="A98" s="47">
        <v>31</v>
      </c>
      <c r="B98" s="31">
        <f t="shared" si="11"/>
        <v>10</v>
      </c>
      <c r="C98" s="48">
        <f t="shared" si="16"/>
        <v>45166</v>
      </c>
      <c r="D98" s="47" t="str">
        <f t="shared" si="17"/>
        <v>PAMI</v>
      </c>
      <c r="E98" s="31" t="str">
        <f t="shared" si="13"/>
        <v>31PAMI10</v>
      </c>
      <c r="I98" s="31" t="str">
        <f t="shared" si="14"/>
        <v xml:space="preserve">Desarmar tren delantero lado derecho. Cambiar parrilla de suspension. Cambiar portamasa. Cambiar extremo de direccion. Cambiar precap de direccion. Sacar semieje y reparar con trinseta nueva. Engrase. Armado total. Cambiar llanta y cubierta. Balanceo de las mismas. Alineado del tren delantero. Presupuesto sujeto a cambios si es necesario emplear repuestos inesperados.         </v>
      </c>
      <c r="P98" s="27">
        <v>1</v>
      </c>
      <c r="Q98" s="34"/>
      <c r="R98" s="36">
        <f t="shared" si="12"/>
        <v>0</v>
      </c>
      <c r="U98" s="39">
        <f t="shared" si="10"/>
        <v>0</v>
      </c>
      <c r="V98" s="41">
        <f t="shared" si="15"/>
        <v>200000</v>
      </c>
    </row>
    <row r="99" spans="1:22" x14ac:dyDescent="0.25">
      <c r="A99" s="47">
        <v>31</v>
      </c>
      <c r="B99" s="31">
        <f t="shared" si="11"/>
        <v>11</v>
      </c>
      <c r="C99" s="48">
        <f t="shared" si="16"/>
        <v>45166</v>
      </c>
      <c r="D99" s="47" t="str">
        <f t="shared" si="17"/>
        <v>PAMI</v>
      </c>
      <c r="E99" s="31" t="str">
        <f t="shared" si="13"/>
        <v>31PAMI11</v>
      </c>
      <c r="I99" s="31" t="str">
        <f t="shared" si="14"/>
        <v xml:space="preserve">Desarmar tren delantero lado derecho. Cambiar parrilla de suspension. Cambiar portamasa. Cambiar extremo de direccion. Cambiar precap de direccion. Sacar semieje y reparar con trinseta nueva. Engrase. Armado total. Cambiar llanta y cubierta. Balanceo de las mismas. Alineado del tren delantero. Presupuesto sujeto a cambios si es necesario emplear repuestos inesperados.          </v>
      </c>
      <c r="P99" s="27">
        <v>1</v>
      </c>
      <c r="Q99" s="34"/>
      <c r="R99" s="36">
        <f t="shared" si="12"/>
        <v>0</v>
      </c>
      <c r="U99" s="39">
        <f t="shared" si="10"/>
        <v>0</v>
      </c>
      <c r="V99" s="41">
        <f t="shared" si="15"/>
        <v>200000</v>
      </c>
    </row>
    <row r="100" spans="1:22" x14ac:dyDescent="0.25">
      <c r="A100" s="47">
        <v>32</v>
      </c>
      <c r="B100" s="31">
        <f t="shared" si="11"/>
        <v>1</v>
      </c>
      <c r="C100" s="48">
        <v>45166</v>
      </c>
      <c r="D100" s="47" t="s">
        <v>159</v>
      </c>
      <c r="E100" s="31" t="str">
        <f t="shared" si="13"/>
        <v>32Ricardo Fiore1</v>
      </c>
      <c r="G100" s="47" t="s">
        <v>160</v>
      </c>
      <c r="H100" s="26" t="s">
        <v>164</v>
      </c>
      <c r="I100" s="31" t="str">
        <f t="shared" si="14"/>
        <v>Sacar caja de velocidad, placa de disco de embrague, limpieza.</v>
      </c>
      <c r="K100" s="26" t="s">
        <v>161</v>
      </c>
      <c r="P100" s="27">
        <v>1</v>
      </c>
      <c r="Q100" s="34">
        <v>47000</v>
      </c>
      <c r="R100" s="36">
        <f t="shared" si="12"/>
        <v>47000</v>
      </c>
      <c r="U100" s="39">
        <f t="shared" si="10"/>
        <v>0</v>
      </c>
      <c r="V100" s="41">
        <f t="shared" si="15"/>
        <v>0</v>
      </c>
    </row>
    <row r="101" spans="1:22" x14ac:dyDescent="0.25">
      <c r="A101" s="47">
        <v>32</v>
      </c>
      <c r="B101" s="31">
        <f t="shared" si="11"/>
        <v>2</v>
      </c>
      <c r="C101" s="48">
        <f>IF(A101=A100,C100,"")</f>
        <v>45166</v>
      </c>
      <c r="D101" s="47" t="str">
        <f>IF(A101=A100,D100,"")</f>
        <v>Ricardo Fiore</v>
      </c>
      <c r="E101" s="31" t="str">
        <f t="shared" si="13"/>
        <v>32Ricardo Fiore2</v>
      </c>
      <c r="H101" s="26" t="s">
        <v>165</v>
      </c>
      <c r="I101" s="31" t="str">
        <f t="shared" si="14"/>
        <v>Sacar caja de velocidad, placa de disco de embrague, limpieza. Sopletear. Armado total con crapodina nueva.</v>
      </c>
      <c r="K101" s="26" t="s">
        <v>162</v>
      </c>
      <c r="P101" s="27">
        <v>1</v>
      </c>
      <c r="Q101" s="34">
        <v>59000</v>
      </c>
      <c r="R101" s="36">
        <f t="shared" si="12"/>
        <v>59000</v>
      </c>
      <c r="S101" s="6">
        <v>1</v>
      </c>
      <c r="T101" s="7">
        <v>120000</v>
      </c>
      <c r="U101" s="39">
        <f t="shared" si="10"/>
        <v>120000</v>
      </c>
      <c r="V101" s="41">
        <f t="shared" si="15"/>
        <v>120000</v>
      </c>
    </row>
    <row r="102" spans="1:22" x14ac:dyDescent="0.25">
      <c r="A102" s="47">
        <v>32</v>
      </c>
      <c r="B102" s="31">
        <f t="shared" si="11"/>
        <v>3</v>
      </c>
      <c r="C102" s="48">
        <f>IF(A102=A101,C101,"")</f>
        <v>45166</v>
      </c>
      <c r="D102" s="47" t="str">
        <f>IF(A102=A101,D101,"")</f>
        <v>Ricardo Fiore</v>
      </c>
      <c r="E102" s="31" t="str">
        <f t="shared" si="13"/>
        <v>32Ricardo Fiore3</v>
      </c>
      <c r="I102" s="31" t="str">
        <f t="shared" si="14"/>
        <v xml:space="preserve">Sacar caja de velocidad, placa de disco de embrague, limpieza. Sopletear. Armado total con crapodina nueva. </v>
      </c>
      <c r="K102" s="26" t="s">
        <v>163</v>
      </c>
      <c r="P102" s="27">
        <v>1</v>
      </c>
      <c r="Q102" s="34">
        <v>83400</v>
      </c>
      <c r="R102" s="36">
        <f t="shared" si="12"/>
        <v>83400</v>
      </c>
      <c r="U102" s="39">
        <f t="shared" si="10"/>
        <v>0</v>
      </c>
      <c r="V102" s="41">
        <f t="shared" si="15"/>
        <v>120000</v>
      </c>
    </row>
    <row r="103" spans="1:22" x14ac:dyDescent="0.25">
      <c r="A103" s="47">
        <v>33</v>
      </c>
      <c r="B103" s="31">
        <f t="shared" si="11"/>
        <v>1</v>
      </c>
      <c r="C103" s="48">
        <v>45167</v>
      </c>
      <c r="D103" s="47" t="s">
        <v>166</v>
      </c>
      <c r="E103" s="31" t="str">
        <f t="shared" si="13"/>
        <v>33Capelletti Lliana1</v>
      </c>
      <c r="G103" s="47" t="s">
        <v>167</v>
      </c>
      <c r="H103" s="26" t="s">
        <v>76</v>
      </c>
      <c r="I103" s="31" t="str">
        <f t="shared" si="14"/>
        <v>Cambiar kit distribución con bomba de agua.</v>
      </c>
      <c r="K103" s="26" t="s">
        <v>170</v>
      </c>
      <c r="P103" s="27">
        <v>1</v>
      </c>
      <c r="Q103" s="34">
        <v>131000</v>
      </c>
      <c r="R103" s="36">
        <f t="shared" si="12"/>
        <v>131000</v>
      </c>
      <c r="U103" s="39">
        <f t="shared" si="10"/>
        <v>0</v>
      </c>
      <c r="V103" s="41">
        <f t="shared" si="15"/>
        <v>0</v>
      </c>
    </row>
    <row r="104" spans="1:22" x14ac:dyDescent="0.25">
      <c r="A104" s="47">
        <v>33</v>
      </c>
      <c r="B104" s="31">
        <f t="shared" si="11"/>
        <v>2</v>
      </c>
      <c r="C104" s="48">
        <f>IF(A104=A103,C103,"")</f>
        <v>45167</v>
      </c>
      <c r="D104" s="47" t="s">
        <v>166</v>
      </c>
      <c r="E104" s="31" t="str">
        <f t="shared" si="13"/>
        <v>33Capelletti Lliana2</v>
      </c>
      <c r="H104" s="26" t="s">
        <v>168</v>
      </c>
      <c r="I104" s="31" t="str">
        <f t="shared" si="14"/>
        <v>Cambiar kit distribución con bomba de agua. Liquido refrigerante + agua destilada</v>
      </c>
      <c r="K104" s="26" t="s">
        <v>168</v>
      </c>
      <c r="P104" s="27">
        <v>1</v>
      </c>
      <c r="Q104" s="34">
        <v>8400</v>
      </c>
      <c r="R104" s="36">
        <f t="shared" si="12"/>
        <v>8400</v>
      </c>
      <c r="S104" s="6">
        <v>1</v>
      </c>
      <c r="T104" s="7">
        <v>50000</v>
      </c>
      <c r="U104" s="39">
        <f t="shared" si="10"/>
        <v>50000</v>
      </c>
      <c r="V104" s="41">
        <f t="shared" si="15"/>
        <v>50000</v>
      </c>
    </row>
    <row r="105" spans="1:22" x14ac:dyDescent="0.25">
      <c r="A105" s="47">
        <v>33</v>
      </c>
      <c r="B105" s="31">
        <f t="shared" si="11"/>
        <v>3</v>
      </c>
      <c r="C105" s="48">
        <f>IF(A105=A104,C104,"")</f>
        <v>45167</v>
      </c>
      <c r="D105" s="47" t="s">
        <v>166</v>
      </c>
      <c r="E105" s="31" t="str">
        <f t="shared" si="13"/>
        <v>33Capelletti Lliana3</v>
      </c>
      <c r="H105" s="26" t="s">
        <v>169</v>
      </c>
      <c r="I105" s="31" t="str">
        <f t="shared" si="14"/>
        <v>Cambiar kit distribución con bomba de agua. Liquido refrigerante + agua destilada y correa poliv.</v>
      </c>
      <c r="K105" s="26" t="s">
        <v>68</v>
      </c>
      <c r="P105" s="27">
        <v>1</v>
      </c>
      <c r="Q105" s="34">
        <v>10600</v>
      </c>
      <c r="R105" s="36">
        <f t="shared" si="12"/>
        <v>10600</v>
      </c>
      <c r="U105" s="39">
        <f t="shared" si="10"/>
        <v>0</v>
      </c>
      <c r="V105" s="41">
        <f t="shared" si="15"/>
        <v>50000</v>
      </c>
    </row>
    <row r="106" spans="1:22" x14ac:dyDescent="0.25">
      <c r="A106" s="47">
        <v>34</v>
      </c>
      <c r="B106" s="31">
        <f t="shared" si="11"/>
        <v>1</v>
      </c>
      <c r="C106" s="48">
        <v>45169</v>
      </c>
      <c r="D106" s="47" t="s">
        <v>171</v>
      </c>
      <c r="E106" s="31" t="str">
        <f t="shared" si="13"/>
        <v>34Enrria Daniel1</v>
      </c>
      <c r="G106" s="47" t="s">
        <v>172</v>
      </c>
      <c r="H106" s="26" t="s">
        <v>80</v>
      </c>
      <c r="I106" s="31" t="str">
        <f t="shared" si="14"/>
        <v>Service cambio de aceite y filtros.</v>
      </c>
      <c r="K106" s="26" t="s">
        <v>90</v>
      </c>
      <c r="P106" s="27">
        <v>4</v>
      </c>
      <c r="Q106" s="34">
        <v>6700</v>
      </c>
      <c r="R106" s="36">
        <f t="shared" si="12"/>
        <v>26800</v>
      </c>
      <c r="S106" s="6">
        <v>1</v>
      </c>
      <c r="T106" s="7">
        <v>30500</v>
      </c>
      <c r="U106" s="39">
        <f t="shared" si="10"/>
        <v>30500</v>
      </c>
      <c r="V106" s="41">
        <f t="shared" si="15"/>
        <v>30500</v>
      </c>
    </row>
    <row r="107" spans="1:22" x14ac:dyDescent="0.25">
      <c r="A107" s="47">
        <v>34</v>
      </c>
      <c r="B107" s="31">
        <f t="shared" si="11"/>
        <v>2</v>
      </c>
      <c r="C107" s="48">
        <f>IF(A107=A106,C106,"")</f>
        <v>45169</v>
      </c>
      <c r="D107" s="47" t="str">
        <f>IF(A107=A106,D106,"")</f>
        <v>Enrria Daniel</v>
      </c>
      <c r="E107" s="31" t="str">
        <f t="shared" si="13"/>
        <v>34Enrria Daniel2</v>
      </c>
      <c r="H107" s="26" t="s">
        <v>107</v>
      </c>
      <c r="I107" s="31" t="str">
        <f t="shared" si="14"/>
        <v>Service cambio de aceite y filtros. Control del vehículo.</v>
      </c>
      <c r="K107" s="26" t="s">
        <v>91</v>
      </c>
      <c r="P107" s="27">
        <v>1</v>
      </c>
      <c r="Q107" s="34">
        <v>16500</v>
      </c>
      <c r="R107" s="36">
        <f t="shared" si="12"/>
        <v>16500</v>
      </c>
      <c r="U107" s="39">
        <f t="shared" si="10"/>
        <v>0</v>
      </c>
      <c r="V107" s="41">
        <f t="shared" si="15"/>
        <v>30500</v>
      </c>
    </row>
    <row r="108" spans="1:22" x14ac:dyDescent="0.25">
      <c r="A108" s="47">
        <v>35</v>
      </c>
      <c r="B108" s="31">
        <f t="shared" si="11"/>
        <v>1</v>
      </c>
      <c r="C108" s="48">
        <v>45170</v>
      </c>
      <c r="D108" s="47" t="s">
        <v>173</v>
      </c>
      <c r="E108" s="31" t="str">
        <f t="shared" si="13"/>
        <v>35Scheffer Alberto1</v>
      </c>
      <c r="G108" s="47" t="s">
        <v>174</v>
      </c>
      <c r="H108" s="26" t="s">
        <v>76</v>
      </c>
      <c r="I108" s="31" t="str">
        <f t="shared" si="14"/>
        <v>Cambiar kit distribución con bomba de agua.</v>
      </c>
      <c r="K108" s="26" t="s">
        <v>177</v>
      </c>
      <c r="P108" s="27">
        <v>1</v>
      </c>
      <c r="Q108" s="34">
        <v>78000</v>
      </c>
      <c r="R108" s="36">
        <f t="shared" si="12"/>
        <v>78000</v>
      </c>
      <c r="U108" s="39">
        <f t="shared" si="10"/>
        <v>0</v>
      </c>
      <c r="V108" s="41">
        <f t="shared" si="15"/>
        <v>0</v>
      </c>
    </row>
    <row r="109" spans="1:22" x14ac:dyDescent="0.25">
      <c r="A109" s="47">
        <v>35</v>
      </c>
      <c r="B109" s="31">
        <f t="shared" si="11"/>
        <v>2</v>
      </c>
      <c r="C109" s="48">
        <f>IF(A109=A108,C108,"")</f>
        <v>45170</v>
      </c>
      <c r="D109" s="47" t="str">
        <f>IF(A109=A108,D108,"")</f>
        <v>Scheffer Alberto</v>
      </c>
      <c r="E109" s="31" t="str">
        <f t="shared" si="13"/>
        <v>35Scheffer Alberto2</v>
      </c>
      <c r="H109" s="26" t="s">
        <v>175</v>
      </c>
      <c r="I109" s="31" t="str">
        <f t="shared" si="14"/>
        <v>Cambiar kit distribución con bomba de agua. Correa poliv. Refrigerante.</v>
      </c>
      <c r="K109" s="26" t="s">
        <v>69</v>
      </c>
      <c r="P109" s="27">
        <v>1</v>
      </c>
      <c r="Q109" s="34">
        <v>54000</v>
      </c>
      <c r="R109" s="36">
        <f t="shared" si="12"/>
        <v>54000</v>
      </c>
      <c r="S109" s="6">
        <v>1</v>
      </c>
      <c r="T109" s="7">
        <v>50000</v>
      </c>
      <c r="U109" s="39">
        <f t="shared" si="10"/>
        <v>50000</v>
      </c>
      <c r="V109" s="41">
        <f t="shared" si="15"/>
        <v>50000</v>
      </c>
    </row>
    <row r="110" spans="1:22" x14ac:dyDescent="0.25">
      <c r="A110" s="47">
        <v>35</v>
      </c>
      <c r="B110" s="31">
        <f t="shared" si="11"/>
        <v>3</v>
      </c>
      <c r="C110" s="48">
        <f>IF(A110=A109,C109,"")</f>
        <v>45170</v>
      </c>
      <c r="D110" s="47" t="str">
        <f>IF(A110=A109,D109,"")</f>
        <v>Scheffer Alberto</v>
      </c>
      <c r="E110" s="31" t="str">
        <f t="shared" si="13"/>
        <v>35Scheffer Alberto3</v>
      </c>
      <c r="I110" s="31" t="str">
        <f t="shared" si="14"/>
        <v xml:space="preserve">Cambiar kit distribución con bomba de agua. Correa poliv. Refrigerante. </v>
      </c>
      <c r="K110" s="26" t="s">
        <v>68</v>
      </c>
      <c r="P110" s="27">
        <v>1</v>
      </c>
      <c r="Q110" s="34">
        <v>24000</v>
      </c>
      <c r="R110" s="36">
        <f t="shared" si="12"/>
        <v>24000</v>
      </c>
      <c r="U110" s="39">
        <f t="shared" si="10"/>
        <v>0</v>
      </c>
      <c r="V110" s="41">
        <f t="shared" si="15"/>
        <v>50000</v>
      </c>
    </row>
    <row r="111" spans="1:22" x14ac:dyDescent="0.25">
      <c r="A111" s="47">
        <v>35</v>
      </c>
      <c r="B111" s="31">
        <f t="shared" si="11"/>
        <v>4</v>
      </c>
      <c r="C111" s="48">
        <f>IF(A111=A110,C110,"")</f>
        <v>45170</v>
      </c>
      <c r="D111" s="47" t="str">
        <f>IF(A111=A110,D110,"")</f>
        <v>Scheffer Alberto</v>
      </c>
      <c r="E111" s="31" t="str">
        <f t="shared" si="13"/>
        <v>35Scheffer Alberto4</v>
      </c>
      <c r="I111" s="31" t="str">
        <f t="shared" si="14"/>
        <v xml:space="preserve">Cambiar kit distribución con bomba de agua. Correa poliv. Refrigerante.  </v>
      </c>
      <c r="K111" s="26" t="s">
        <v>176</v>
      </c>
      <c r="P111" s="27">
        <v>1</v>
      </c>
      <c r="Q111" s="34">
        <v>8400</v>
      </c>
      <c r="R111" s="36">
        <f t="shared" si="12"/>
        <v>8400</v>
      </c>
      <c r="U111" s="39">
        <f t="shared" si="10"/>
        <v>0</v>
      </c>
      <c r="V111" s="41">
        <f t="shared" si="15"/>
        <v>50000</v>
      </c>
    </row>
    <row r="112" spans="1:22" x14ac:dyDescent="0.25">
      <c r="A112" s="47">
        <v>36</v>
      </c>
      <c r="B112" s="31">
        <f t="shared" si="11"/>
        <v>1</v>
      </c>
      <c r="C112" s="48">
        <v>45173</v>
      </c>
      <c r="D112" s="47" t="s">
        <v>178</v>
      </c>
      <c r="E112" s="31" t="str">
        <f t="shared" si="13"/>
        <v>36Gonzalez Gastón1</v>
      </c>
      <c r="G112" s="47" t="s">
        <v>179</v>
      </c>
      <c r="H112" s="26" t="s">
        <v>180</v>
      </c>
      <c r="I112" s="31" t="str">
        <f t="shared" si="14"/>
        <v>Cambio de ambos amortiguaderos delanteros.</v>
      </c>
      <c r="K112" s="26" t="s">
        <v>101</v>
      </c>
      <c r="P112" s="27">
        <v>2</v>
      </c>
      <c r="Q112" s="34">
        <v>47151.25</v>
      </c>
      <c r="R112" s="36">
        <f t="shared" si="12"/>
        <v>94302.5</v>
      </c>
      <c r="U112" s="39">
        <f t="shared" si="10"/>
        <v>0</v>
      </c>
      <c r="V112" s="41">
        <f t="shared" si="15"/>
        <v>0</v>
      </c>
    </row>
    <row r="113" spans="1:22" x14ac:dyDescent="0.25">
      <c r="A113" s="47">
        <v>36</v>
      </c>
      <c r="B113" s="31">
        <f t="shared" si="11"/>
        <v>2</v>
      </c>
      <c r="C113" s="48">
        <f>IF(A113=A112,C112,"")</f>
        <v>45173</v>
      </c>
      <c r="D113" s="47" t="str">
        <f>IF(A113=A112,D112,"")</f>
        <v>Gonzalez Gastón</v>
      </c>
      <c r="E113" s="31" t="str">
        <f t="shared" si="13"/>
        <v>36Gonzalez Gastón2</v>
      </c>
      <c r="H113" s="26" t="s">
        <v>181</v>
      </c>
      <c r="I113" s="31" t="str">
        <f t="shared" si="14"/>
        <v>Cambio de ambos amortiguaderos delanteros. Cambio de espirales con cazoletas y topes.</v>
      </c>
      <c r="K113" s="26" t="s">
        <v>182</v>
      </c>
      <c r="P113" s="27">
        <v>2</v>
      </c>
      <c r="Q113" s="34">
        <v>10535.63</v>
      </c>
      <c r="R113" s="36">
        <f t="shared" si="12"/>
        <v>21071.26</v>
      </c>
      <c r="S113" s="6">
        <v>1</v>
      </c>
      <c r="T113" s="7">
        <v>40000</v>
      </c>
      <c r="U113" s="39">
        <f t="shared" si="10"/>
        <v>40000</v>
      </c>
      <c r="V113" s="41">
        <f t="shared" si="15"/>
        <v>40000</v>
      </c>
    </row>
    <row r="114" spans="1:22" x14ac:dyDescent="0.25">
      <c r="A114" s="47">
        <v>36</v>
      </c>
      <c r="B114" s="31">
        <f t="shared" si="11"/>
        <v>3</v>
      </c>
      <c r="C114" s="48">
        <f>IF(A114=A113,C113,"")</f>
        <v>45173</v>
      </c>
      <c r="D114" s="47" t="str">
        <f>IF(A114=A113,D113,"")</f>
        <v>Gonzalez Gastón</v>
      </c>
      <c r="E114" s="31" t="str">
        <f t="shared" si="13"/>
        <v>36Gonzalez Gastón3</v>
      </c>
      <c r="H114" s="26" t="s">
        <v>185</v>
      </c>
      <c r="I114" s="31" t="str">
        <f t="shared" si="14"/>
        <v xml:space="preserve">Cambio de ambos amortiguaderos delanteros. Cambio de espirales con cazoletas y topes. Regular convergencia. </v>
      </c>
      <c r="K114" s="26" t="s">
        <v>183</v>
      </c>
      <c r="P114" s="27">
        <v>2</v>
      </c>
      <c r="Q114" s="34">
        <v>14646.25</v>
      </c>
      <c r="R114" s="36">
        <f t="shared" si="12"/>
        <v>29292.5</v>
      </c>
      <c r="U114" s="39">
        <f t="shared" si="10"/>
        <v>0</v>
      </c>
      <c r="V114" s="41">
        <f t="shared" si="15"/>
        <v>40000</v>
      </c>
    </row>
    <row r="115" spans="1:22" x14ac:dyDescent="0.25">
      <c r="A115" s="47">
        <v>36</v>
      </c>
      <c r="B115" s="31">
        <f t="shared" si="11"/>
        <v>4</v>
      </c>
      <c r="C115" s="48">
        <f>IF(A115=A114,C114,"")</f>
        <v>45173</v>
      </c>
      <c r="D115" s="47" t="str">
        <f>IF(A115=A114,D114,"")</f>
        <v>Gonzalez Gastón</v>
      </c>
      <c r="E115" s="31" t="str">
        <f t="shared" si="13"/>
        <v>36Gonzalez Gastón4</v>
      </c>
      <c r="I115" s="31" t="str">
        <f t="shared" si="14"/>
        <v xml:space="preserve">Cambio de ambos amortiguaderos delanteros. Cambio de espirales con cazoletas y topes. Regular convergencia.  </v>
      </c>
      <c r="K115" s="26" t="s">
        <v>184</v>
      </c>
      <c r="P115" s="27">
        <v>2</v>
      </c>
      <c r="Q115" s="34">
        <v>5250</v>
      </c>
      <c r="R115" s="36">
        <f t="shared" si="12"/>
        <v>10500</v>
      </c>
      <c r="U115" s="39">
        <f t="shared" si="10"/>
        <v>0</v>
      </c>
      <c r="V115" s="41">
        <f t="shared" si="15"/>
        <v>40000</v>
      </c>
    </row>
    <row r="116" spans="1:22" x14ac:dyDescent="0.25">
      <c r="A116" s="47">
        <v>37</v>
      </c>
      <c r="B116" s="31">
        <f t="shared" si="11"/>
        <v>1</v>
      </c>
      <c r="C116" s="48">
        <v>45173</v>
      </c>
      <c r="D116" s="47" t="s">
        <v>186</v>
      </c>
      <c r="E116" s="31" t="str">
        <f t="shared" si="13"/>
        <v>37Cipolla Miren1</v>
      </c>
      <c r="G116" s="47" t="s">
        <v>187</v>
      </c>
      <c r="H116" s="26" t="s">
        <v>80</v>
      </c>
      <c r="I116" s="31" t="str">
        <f t="shared" si="14"/>
        <v>Service cambio de aceite y filtros.</v>
      </c>
      <c r="K116" s="26" t="s">
        <v>108</v>
      </c>
      <c r="P116" s="27">
        <v>4</v>
      </c>
      <c r="Q116" s="34">
        <v>3700</v>
      </c>
      <c r="R116" s="36">
        <f t="shared" si="12"/>
        <v>14800</v>
      </c>
      <c r="U116" s="39">
        <f t="shared" si="10"/>
        <v>0</v>
      </c>
      <c r="V116" s="41">
        <f t="shared" si="15"/>
        <v>0</v>
      </c>
    </row>
    <row r="117" spans="1:22" x14ac:dyDescent="0.25">
      <c r="A117" s="47">
        <v>37</v>
      </c>
      <c r="B117" s="31">
        <f t="shared" si="11"/>
        <v>2</v>
      </c>
      <c r="C117" s="48">
        <f>IF(A117=A116,C116,"")</f>
        <v>45173</v>
      </c>
      <c r="D117" s="47" t="str">
        <f>IF(A117=A116,D116,"")</f>
        <v>Cipolla Miren</v>
      </c>
      <c r="E117" s="31" t="str">
        <f t="shared" si="13"/>
        <v>37Cipolla Miren2</v>
      </c>
      <c r="H117" s="26" t="s">
        <v>107</v>
      </c>
      <c r="I117" s="31" t="str">
        <f t="shared" si="14"/>
        <v>Service cambio de aceite y filtros. Control del vehículo.</v>
      </c>
      <c r="K117" s="26" t="s">
        <v>109</v>
      </c>
      <c r="P117" s="27">
        <v>1</v>
      </c>
      <c r="Q117" s="34">
        <v>3600</v>
      </c>
      <c r="R117" s="36">
        <f t="shared" si="12"/>
        <v>3600</v>
      </c>
      <c r="U117" s="39">
        <f t="shared" si="10"/>
        <v>0</v>
      </c>
      <c r="V117" s="41">
        <f t="shared" si="15"/>
        <v>0</v>
      </c>
    </row>
    <row r="118" spans="1:22" x14ac:dyDescent="0.25">
      <c r="A118" s="47">
        <v>37</v>
      </c>
      <c r="B118" s="31">
        <f t="shared" si="11"/>
        <v>3</v>
      </c>
      <c r="C118" s="48">
        <f>IF(A118=A117,C117,"")</f>
        <v>45173</v>
      </c>
      <c r="D118" s="47" t="str">
        <f>IF(A118=A117,D117,"")</f>
        <v>Cipolla Miren</v>
      </c>
      <c r="E118" s="31" t="str">
        <f t="shared" si="13"/>
        <v>37Cipolla Miren3</v>
      </c>
      <c r="I118" s="31" t="str">
        <f t="shared" si="14"/>
        <v xml:space="preserve">Service cambio de aceite y filtros. Control del vehículo. </v>
      </c>
      <c r="K118" s="26" t="s">
        <v>110</v>
      </c>
      <c r="P118" s="27">
        <v>1</v>
      </c>
      <c r="Q118" s="34">
        <v>5280</v>
      </c>
      <c r="R118" s="36">
        <f t="shared" si="12"/>
        <v>5280</v>
      </c>
      <c r="S118" s="6">
        <v>1</v>
      </c>
      <c r="T118" s="7">
        <v>30500</v>
      </c>
      <c r="U118" s="39">
        <f t="shared" si="10"/>
        <v>30500</v>
      </c>
      <c r="V118" s="41">
        <f t="shared" si="15"/>
        <v>30500</v>
      </c>
    </row>
    <row r="119" spans="1:22" x14ac:dyDescent="0.25">
      <c r="A119" s="47">
        <v>37</v>
      </c>
      <c r="B119" s="31">
        <f t="shared" si="11"/>
        <v>4</v>
      </c>
      <c r="C119" s="48">
        <f>IF(A119=A118,C118,"")</f>
        <v>45173</v>
      </c>
      <c r="D119" s="47" t="str">
        <f>IF(A119=A118,D118,"")</f>
        <v>Cipolla Miren</v>
      </c>
      <c r="E119" s="31" t="str">
        <f t="shared" si="13"/>
        <v>37Cipolla Miren4</v>
      </c>
      <c r="I119" s="31" t="str">
        <f t="shared" si="14"/>
        <v xml:space="preserve">Service cambio de aceite y filtros. Control del vehículo.  </v>
      </c>
      <c r="K119" s="26" t="s">
        <v>111</v>
      </c>
      <c r="P119" s="27">
        <v>1</v>
      </c>
      <c r="Q119" s="34">
        <v>3840</v>
      </c>
      <c r="R119" s="36">
        <f t="shared" si="12"/>
        <v>3840</v>
      </c>
      <c r="U119" s="39">
        <f t="shared" si="10"/>
        <v>0</v>
      </c>
      <c r="V119" s="41">
        <f t="shared" si="15"/>
        <v>30500</v>
      </c>
    </row>
    <row r="120" spans="1:22" x14ac:dyDescent="0.25">
      <c r="A120" s="47">
        <v>37</v>
      </c>
      <c r="B120" s="31">
        <f t="shared" si="11"/>
        <v>5</v>
      </c>
      <c r="C120" s="48">
        <f>IF(A120=A119,C119,"")</f>
        <v>45173</v>
      </c>
      <c r="D120" s="47" t="str">
        <f>IF(A120=A119,D119,"")</f>
        <v>Cipolla Miren</v>
      </c>
      <c r="E120" s="31" t="str">
        <f t="shared" si="13"/>
        <v>37Cipolla Miren5</v>
      </c>
      <c r="I120" s="31" t="str">
        <f t="shared" si="14"/>
        <v xml:space="preserve">Service cambio de aceite y filtros. Control del vehículo.   </v>
      </c>
      <c r="K120" s="26" t="s">
        <v>112</v>
      </c>
      <c r="P120" s="27">
        <v>1</v>
      </c>
      <c r="Q120" s="34">
        <v>3800</v>
      </c>
      <c r="R120" s="36">
        <f t="shared" si="12"/>
        <v>3800</v>
      </c>
      <c r="U120" s="39">
        <f t="shared" si="10"/>
        <v>0</v>
      </c>
      <c r="V120" s="41">
        <f t="shared" si="15"/>
        <v>30500</v>
      </c>
    </row>
    <row r="121" spans="1:22" x14ac:dyDescent="0.25">
      <c r="A121" s="47">
        <v>38</v>
      </c>
      <c r="B121" s="31">
        <f t="shared" si="11"/>
        <v>1</v>
      </c>
      <c r="C121" s="48">
        <v>45174</v>
      </c>
      <c r="D121" s="47" t="s">
        <v>188</v>
      </c>
      <c r="E121" s="31" t="str">
        <f t="shared" si="13"/>
        <v>38Guevara Mario1</v>
      </c>
      <c r="G121" s="47" t="s">
        <v>189</v>
      </c>
      <c r="H121" s="26" t="s">
        <v>190</v>
      </c>
      <c r="I121" s="31" t="str">
        <f t="shared" si="14"/>
        <v>Cambiar Crapodina</v>
      </c>
      <c r="K121" s="26" t="s">
        <v>191</v>
      </c>
      <c r="P121" s="27">
        <v>1</v>
      </c>
      <c r="Q121" s="34">
        <v>14400</v>
      </c>
      <c r="R121" s="36">
        <f t="shared" si="12"/>
        <v>14400</v>
      </c>
      <c r="S121" s="6">
        <v>1</v>
      </c>
      <c r="T121" s="7">
        <v>50000</v>
      </c>
      <c r="U121" s="39">
        <f t="shared" si="10"/>
        <v>50000</v>
      </c>
      <c r="V121" s="41">
        <f t="shared" si="15"/>
        <v>50000</v>
      </c>
    </row>
    <row r="122" spans="1:22" x14ac:dyDescent="0.25">
      <c r="A122" s="47">
        <v>39</v>
      </c>
      <c r="B122" s="31">
        <f t="shared" si="11"/>
        <v>1</v>
      </c>
      <c r="C122" s="48">
        <v>45174</v>
      </c>
      <c r="D122" s="47" t="s">
        <v>192</v>
      </c>
      <c r="E122" s="31" t="str">
        <f t="shared" si="13"/>
        <v>39Pizarro Jorge1</v>
      </c>
      <c r="G122" s="47" t="s">
        <v>193</v>
      </c>
      <c r="H122" s="26" t="s">
        <v>195</v>
      </c>
      <c r="I122" s="31" t="str">
        <f t="shared" si="14"/>
        <v>Desarmar distribución completa con bomba y correa poliv.</v>
      </c>
      <c r="K122" s="26" t="s">
        <v>53</v>
      </c>
      <c r="P122" s="27">
        <v>1</v>
      </c>
      <c r="Q122" s="34">
        <v>28600</v>
      </c>
      <c r="R122" s="36">
        <f t="shared" si="12"/>
        <v>28600</v>
      </c>
      <c r="S122" s="6">
        <v>1</v>
      </c>
      <c r="T122" s="7">
        <v>50000</v>
      </c>
      <c r="U122" s="39">
        <f t="shared" si="10"/>
        <v>50000</v>
      </c>
      <c r="V122" s="41">
        <f t="shared" si="15"/>
        <v>50000</v>
      </c>
    </row>
    <row r="123" spans="1:22" x14ac:dyDescent="0.25">
      <c r="A123" s="47">
        <v>39</v>
      </c>
      <c r="B123" s="31">
        <f t="shared" si="11"/>
        <v>2</v>
      </c>
      <c r="C123" s="48">
        <f t="shared" ref="C123:C130" si="18">IF(A123=A122,C122,"")</f>
        <v>45174</v>
      </c>
      <c r="D123" s="47" t="str">
        <f t="shared" ref="D123:D130" si="19">IF(A123=A122,D122,"")</f>
        <v>Pizarro Jorge</v>
      </c>
      <c r="E123" s="31" t="str">
        <f t="shared" si="13"/>
        <v>39Pizarro Jorge2</v>
      </c>
      <c r="H123" s="26" t="s">
        <v>80</v>
      </c>
      <c r="I123" s="31" t="str">
        <f t="shared" si="14"/>
        <v>Desarmar distribución completa con bomba y correa poliv. Service cambio de aceite y filtros.</v>
      </c>
      <c r="K123" s="26" t="s">
        <v>69</v>
      </c>
      <c r="P123" s="27">
        <v>1</v>
      </c>
      <c r="Q123" s="34">
        <v>21800</v>
      </c>
      <c r="R123" s="36">
        <f t="shared" si="12"/>
        <v>21800</v>
      </c>
      <c r="U123" s="39">
        <f t="shared" si="10"/>
        <v>0</v>
      </c>
      <c r="V123" s="41">
        <f t="shared" si="15"/>
        <v>50000</v>
      </c>
    </row>
    <row r="124" spans="1:22" x14ac:dyDescent="0.25">
      <c r="A124" s="47">
        <v>39</v>
      </c>
      <c r="B124" s="31">
        <f t="shared" si="11"/>
        <v>3</v>
      </c>
      <c r="C124" s="48">
        <f t="shared" si="18"/>
        <v>45174</v>
      </c>
      <c r="D124" s="47" t="str">
        <f t="shared" si="19"/>
        <v>Pizarro Jorge</v>
      </c>
      <c r="E124" s="31" t="str">
        <f t="shared" si="13"/>
        <v>39Pizarro Jorge3</v>
      </c>
      <c r="H124" s="26" t="s">
        <v>194</v>
      </c>
      <c r="I124" s="31" t="str">
        <f t="shared" si="14"/>
        <v>Desarmar distribución completa con bomba y correa poliv. Service cambio de aceite y filtros. Control del vehículo. Armado total.</v>
      </c>
      <c r="K124" s="26" t="s">
        <v>68</v>
      </c>
      <c r="P124" s="27">
        <v>1</v>
      </c>
      <c r="Q124" s="34">
        <v>9500</v>
      </c>
      <c r="R124" s="36">
        <f t="shared" si="12"/>
        <v>9500</v>
      </c>
      <c r="U124" s="39">
        <f t="shared" si="10"/>
        <v>0</v>
      </c>
      <c r="V124" s="41">
        <f t="shared" si="15"/>
        <v>50000</v>
      </c>
    </row>
    <row r="125" spans="1:22" x14ac:dyDescent="0.25">
      <c r="A125" s="47">
        <v>39</v>
      </c>
      <c r="B125" s="31">
        <f t="shared" si="11"/>
        <v>4</v>
      </c>
      <c r="C125" s="48">
        <f t="shared" si="18"/>
        <v>45174</v>
      </c>
      <c r="D125" s="47" t="str">
        <f t="shared" si="19"/>
        <v>Pizarro Jorge</v>
      </c>
      <c r="E125" s="31" t="str">
        <f t="shared" si="13"/>
        <v>39Pizarro Jorge4</v>
      </c>
      <c r="I125" s="31" t="str">
        <f t="shared" si="14"/>
        <v xml:space="preserve">Desarmar distribución completa con bomba y correa poliv. Service cambio de aceite y filtros. Control del vehículo. Armado total. </v>
      </c>
      <c r="K125" s="26" t="s">
        <v>168</v>
      </c>
      <c r="P125" s="27">
        <v>1</v>
      </c>
      <c r="Q125" s="34">
        <v>8400</v>
      </c>
      <c r="R125" s="36">
        <f t="shared" si="12"/>
        <v>8400</v>
      </c>
      <c r="U125" s="39">
        <f t="shared" si="10"/>
        <v>0</v>
      </c>
      <c r="V125" s="41">
        <f t="shared" si="15"/>
        <v>50000</v>
      </c>
    </row>
    <row r="126" spans="1:22" x14ac:dyDescent="0.25">
      <c r="A126" s="47">
        <v>39</v>
      </c>
      <c r="B126" s="31">
        <f t="shared" si="11"/>
        <v>5</v>
      </c>
      <c r="C126" s="48">
        <f t="shared" si="18"/>
        <v>45174</v>
      </c>
      <c r="D126" s="47" t="str">
        <f t="shared" si="19"/>
        <v>Pizarro Jorge</v>
      </c>
      <c r="E126" s="31" t="str">
        <f t="shared" si="13"/>
        <v>39Pizarro Jorge5</v>
      </c>
      <c r="I126" s="31" t="str">
        <f t="shared" si="14"/>
        <v xml:space="preserve">Desarmar distribución completa con bomba y correa poliv. Service cambio de aceite y filtros. Control del vehículo. Armado total.  </v>
      </c>
      <c r="K126" s="26" t="s">
        <v>108</v>
      </c>
      <c r="P126" s="27">
        <v>4</v>
      </c>
      <c r="Q126" s="34">
        <v>3700</v>
      </c>
      <c r="R126" s="36">
        <f t="shared" si="12"/>
        <v>14800</v>
      </c>
      <c r="U126" s="39">
        <f t="shared" si="10"/>
        <v>0</v>
      </c>
      <c r="V126" s="41">
        <f t="shared" si="15"/>
        <v>50000</v>
      </c>
    </row>
    <row r="127" spans="1:22" x14ac:dyDescent="0.25">
      <c r="A127" s="47">
        <v>39</v>
      </c>
      <c r="B127" s="31">
        <f t="shared" si="11"/>
        <v>6</v>
      </c>
      <c r="C127" s="48">
        <f t="shared" si="18"/>
        <v>45174</v>
      </c>
      <c r="D127" s="47" t="str">
        <f t="shared" si="19"/>
        <v>Pizarro Jorge</v>
      </c>
      <c r="E127" s="31" t="str">
        <f t="shared" si="13"/>
        <v>39Pizarro Jorge6</v>
      </c>
      <c r="I127" s="31" t="str">
        <f t="shared" si="14"/>
        <v xml:space="preserve">Desarmar distribución completa con bomba y correa poliv. Service cambio de aceite y filtros. Control del vehículo. Armado total.   </v>
      </c>
      <c r="K127" s="26" t="s">
        <v>109</v>
      </c>
      <c r="P127" s="27">
        <v>1</v>
      </c>
      <c r="Q127" s="34">
        <v>3000</v>
      </c>
      <c r="R127" s="36">
        <f t="shared" si="12"/>
        <v>3000</v>
      </c>
      <c r="U127" s="39">
        <f t="shared" si="10"/>
        <v>0</v>
      </c>
      <c r="V127" s="41">
        <f t="shared" si="15"/>
        <v>50000</v>
      </c>
    </row>
    <row r="128" spans="1:22" x14ac:dyDescent="0.25">
      <c r="A128" s="47">
        <v>39</v>
      </c>
      <c r="B128" s="31">
        <f t="shared" si="11"/>
        <v>7</v>
      </c>
      <c r="C128" s="48">
        <f t="shared" si="18"/>
        <v>45174</v>
      </c>
      <c r="D128" s="47" t="str">
        <f t="shared" si="19"/>
        <v>Pizarro Jorge</v>
      </c>
      <c r="E128" s="31" t="str">
        <f t="shared" si="13"/>
        <v>39Pizarro Jorge7</v>
      </c>
      <c r="I128" s="31" t="str">
        <f t="shared" si="14"/>
        <v xml:space="preserve">Desarmar distribución completa con bomba y correa poliv. Service cambio de aceite y filtros. Control del vehículo. Armado total.    </v>
      </c>
      <c r="K128" s="26" t="s">
        <v>196</v>
      </c>
      <c r="P128" s="27">
        <v>1</v>
      </c>
      <c r="Q128" s="34">
        <v>4600</v>
      </c>
      <c r="R128" s="36">
        <f t="shared" si="12"/>
        <v>4600</v>
      </c>
      <c r="U128" s="39">
        <f t="shared" si="10"/>
        <v>0</v>
      </c>
      <c r="V128" s="41">
        <f t="shared" si="15"/>
        <v>50000</v>
      </c>
    </row>
    <row r="129" spans="1:22" x14ac:dyDescent="0.25">
      <c r="A129" s="47">
        <v>39</v>
      </c>
      <c r="B129" s="31">
        <f t="shared" si="11"/>
        <v>8</v>
      </c>
      <c r="C129" s="48">
        <f t="shared" si="18"/>
        <v>45174</v>
      </c>
      <c r="D129" s="47" t="str">
        <f t="shared" si="19"/>
        <v>Pizarro Jorge</v>
      </c>
      <c r="E129" s="31" t="str">
        <f t="shared" si="13"/>
        <v>39Pizarro Jorge8</v>
      </c>
      <c r="I129" s="31" t="str">
        <f t="shared" si="14"/>
        <v xml:space="preserve">Desarmar distribución completa con bomba y correa poliv. Service cambio de aceite y filtros. Control del vehículo. Armado total.     </v>
      </c>
      <c r="K129" s="26" t="s">
        <v>111</v>
      </c>
      <c r="P129" s="27">
        <v>1</v>
      </c>
      <c r="Q129" s="34">
        <v>3200</v>
      </c>
      <c r="R129" s="36">
        <f t="shared" si="12"/>
        <v>3200</v>
      </c>
      <c r="U129" s="39">
        <f t="shared" si="10"/>
        <v>0</v>
      </c>
      <c r="V129" s="41">
        <f t="shared" si="15"/>
        <v>50000</v>
      </c>
    </row>
    <row r="130" spans="1:22" x14ac:dyDescent="0.25">
      <c r="A130" s="47">
        <v>39</v>
      </c>
      <c r="B130" s="31">
        <f t="shared" si="11"/>
        <v>9</v>
      </c>
      <c r="C130" s="48">
        <f t="shared" si="18"/>
        <v>45174</v>
      </c>
      <c r="D130" s="47" t="str">
        <f t="shared" si="19"/>
        <v>Pizarro Jorge</v>
      </c>
      <c r="E130" s="31" t="str">
        <f t="shared" si="13"/>
        <v>39Pizarro Jorge9</v>
      </c>
      <c r="I130" s="31" t="str">
        <f t="shared" si="14"/>
        <v xml:space="preserve">Desarmar distribución completa con bomba y correa poliv. Service cambio de aceite y filtros. Control del vehículo. Armado total.      </v>
      </c>
      <c r="K130" s="26" t="s">
        <v>112</v>
      </c>
      <c r="P130" s="27">
        <v>1</v>
      </c>
      <c r="Q130" s="34">
        <v>3400</v>
      </c>
      <c r="R130" s="36">
        <f t="shared" si="12"/>
        <v>3400</v>
      </c>
      <c r="U130" s="39">
        <f t="shared" si="10"/>
        <v>0</v>
      </c>
      <c r="V130" s="41">
        <f t="shared" si="15"/>
        <v>50000</v>
      </c>
    </row>
    <row r="131" spans="1:22" x14ac:dyDescent="0.25">
      <c r="A131" s="47">
        <v>40</v>
      </c>
      <c r="B131" s="31">
        <f t="shared" si="11"/>
        <v>1</v>
      </c>
      <c r="C131" s="48">
        <v>45174</v>
      </c>
      <c r="D131" s="47" t="s">
        <v>197</v>
      </c>
      <c r="E131" s="31" t="str">
        <f t="shared" si="13"/>
        <v>40Lola Manfredi1</v>
      </c>
      <c r="G131" s="47" t="s">
        <v>198</v>
      </c>
      <c r="H131" s="26" t="s">
        <v>80</v>
      </c>
      <c r="I131" s="31" t="str">
        <f t="shared" si="14"/>
        <v>Service cambio de aceite y filtros.</v>
      </c>
      <c r="K131" s="26" t="s">
        <v>90</v>
      </c>
      <c r="P131" s="27">
        <v>4</v>
      </c>
      <c r="Q131" s="34">
        <v>6700</v>
      </c>
      <c r="R131" s="36">
        <f t="shared" si="12"/>
        <v>26800</v>
      </c>
      <c r="U131" s="39">
        <f t="shared" si="10"/>
        <v>0</v>
      </c>
      <c r="V131" s="41">
        <f t="shared" si="15"/>
        <v>0</v>
      </c>
    </row>
    <row r="132" spans="1:22" x14ac:dyDescent="0.25">
      <c r="A132" s="47">
        <v>40</v>
      </c>
      <c r="B132" s="31">
        <f t="shared" si="11"/>
        <v>2</v>
      </c>
      <c r="C132" s="48">
        <f>IF(A132=A131,C131,"")</f>
        <v>45174</v>
      </c>
      <c r="D132" s="47" t="str">
        <f>IF(A132=A131,D131,"")</f>
        <v>Lola Manfredi</v>
      </c>
      <c r="E132" s="31" t="str">
        <f t="shared" si="13"/>
        <v>40Lola Manfredi2</v>
      </c>
      <c r="H132" s="26" t="s">
        <v>107</v>
      </c>
      <c r="I132" s="31" t="str">
        <f t="shared" si="14"/>
        <v>Service cambio de aceite y filtros. Control del vehículo.</v>
      </c>
      <c r="K132" s="26" t="s">
        <v>109</v>
      </c>
      <c r="P132" s="27">
        <v>1</v>
      </c>
      <c r="Q132" s="34">
        <v>3600</v>
      </c>
      <c r="R132" s="36">
        <f t="shared" si="12"/>
        <v>3600</v>
      </c>
      <c r="U132" s="39">
        <f t="shared" ref="U132:U195" si="20">+T132*S132</f>
        <v>0</v>
      </c>
      <c r="V132" s="41">
        <f t="shared" si="15"/>
        <v>0</v>
      </c>
    </row>
    <row r="133" spans="1:22" x14ac:dyDescent="0.25">
      <c r="A133" s="47">
        <v>40</v>
      </c>
      <c r="B133" s="31">
        <f t="shared" ref="B133:B196" si="21">IF(A133=A132,B132+1,1)</f>
        <v>3</v>
      </c>
      <c r="C133" s="48">
        <f>IF(A133=A132,C132,"")</f>
        <v>45174</v>
      </c>
      <c r="D133" s="47" t="str">
        <f>IF(A133=A132,D132,"")</f>
        <v>Lola Manfredi</v>
      </c>
      <c r="E133" s="31" t="str">
        <f t="shared" si="13"/>
        <v>40Lola Manfredi3</v>
      </c>
      <c r="I133" s="31" t="str">
        <f t="shared" si="14"/>
        <v xml:space="preserve">Service cambio de aceite y filtros. Control del vehículo. </v>
      </c>
      <c r="K133" s="26" t="s">
        <v>110</v>
      </c>
      <c r="P133" s="27">
        <v>1</v>
      </c>
      <c r="Q133" s="34">
        <v>5800</v>
      </c>
      <c r="R133" s="36">
        <f t="shared" si="12"/>
        <v>5800</v>
      </c>
      <c r="U133" s="39">
        <f t="shared" si="20"/>
        <v>0</v>
      </c>
      <c r="V133" s="41">
        <f t="shared" si="15"/>
        <v>0</v>
      </c>
    </row>
    <row r="134" spans="1:22" x14ac:dyDescent="0.25">
      <c r="A134" s="47">
        <v>40</v>
      </c>
      <c r="B134" s="31">
        <f t="shared" si="21"/>
        <v>4</v>
      </c>
      <c r="C134" s="48">
        <f>IF(A134=A133,C133,"")</f>
        <v>45174</v>
      </c>
      <c r="D134" s="47" t="str">
        <f>IF(A134=A133,D133,"")</f>
        <v>Lola Manfredi</v>
      </c>
      <c r="E134" s="31" t="str">
        <f t="shared" si="13"/>
        <v>40Lola Manfredi4</v>
      </c>
      <c r="I134" s="31" t="str">
        <f t="shared" si="14"/>
        <v xml:space="preserve">Service cambio de aceite y filtros. Control del vehículo.  </v>
      </c>
      <c r="K134" s="26" t="s">
        <v>112</v>
      </c>
      <c r="P134" s="27">
        <v>1</v>
      </c>
      <c r="Q134" s="34">
        <v>3400</v>
      </c>
      <c r="R134" s="36">
        <f t="shared" si="12"/>
        <v>3400</v>
      </c>
      <c r="S134" s="6">
        <v>1</v>
      </c>
      <c r="T134" s="7">
        <v>30500</v>
      </c>
      <c r="U134" s="39">
        <f t="shared" si="20"/>
        <v>30500</v>
      </c>
      <c r="V134" s="41">
        <f t="shared" si="15"/>
        <v>30500</v>
      </c>
    </row>
    <row r="135" spans="1:22" x14ac:dyDescent="0.25">
      <c r="A135" s="47">
        <v>41</v>
      </c>
      <c r="B135" s="31">
        <f t="shared" si="21"/>
        <v>1</v>
      </c>
      <c r="C135" s="48">
        <v>45180</v>
      </c>
      <c r="D135" s="47" t="s">
        <v>173</v>
      </c>
      <c r="E135" s="31" t="str">
        <f t="shared" si="13"/>
        <v>41Scheffer Alberto1</v>
      </c>
      <c r="G135" s="47" t="s">
        <v>199</v>
      </c>
      <c r="H135" s="26" t="s">
        <v>80</v>
      </c>
      <c r="I135" s="31" t="str">
        <f t="shared" si="14"/>
        <v>Service cambio de aceite y filtros.</v>
      </c>
      <c r="K135" s="26" t="s">
        <v>91</v>
      </c>
      <c r="P135" s="27">
        <v>1</v>
      </c>
      <c r="Q135" s="34">
        <v>40000</v>
      </c>
      <c r="R135" s="36">
        <f t="shared" si="12"/>
        <v>40000</v>
      </c>
      <c r="S135" s="6">
        <v>1</v>
      </c>
      <c r="T135" s="7">
        <v>20000</v>
      </c>
      <c r="U135" s="39">
        <f t="shared" si="20"/>
        <v>20000</v>
      </c>
      <c r="V135" s="41">
        <f t="shared" si="15"/>
        <v>20000</v>
      </c>
    </row>
    <row r="136" spans="1:22" x14ac:dyDescent="0.25">
      <c r="A136" s="47">
        <v>42</v>
      </c>
      <c r="B136" s="31">
        <f t="shared" si="21"/>
        <v>1</v>
      </c>
      <c r="C136" s="48">
        <v>45180</v>
      </c>
      <c r="D136" s="47" t="s">
        <v>200</v>
      </c>
      <c r="E136" s="31" t="str">
        <f t="shared" si="13"/>
        <v>42Gutierrez Rodolfo1</v>
      </c>
      <c r="F136" s="47" t="s">
        <v>201</v>
      </c>
      <c r="G136" s="47" t="s">
        <v>202</v>
      </c>
      <c r="H136" s="26" t="s">
        <v>76</v>
      </c>
      <c r="I136" s="31" t="str">
        <f t="shared" si="14"/>
        <v>Cambiar kit distribución con bomba de agua.</v>
      </c>
      <c r="K136" s="26" t="s">
        <v>53</v>
      </c>
      <c r="P136" s="27">
        <v>1</v>
      </c>
      <c r="Q136" s="34">
        <v>65000</v>
      </c>
      <c r="R136" s="36">
        <f t="shared" si="12"/>
        <v>65000</v>
      </c>
      <c r="S136" s="6">
        <v>1</v>
      </c>
      <c r="T136" s="7">
        <v>50000</v>
      </c>
      <c r="U136" s="39">
        <f t="shared" si="20"/>
        <v>50000</v>
      </c>
      <c r="V136" s="41">
        <f t="shared" si="15"/>
        <v>50000</v>
      </c>
    </row>
    <row r="137" spans="1:22" x14ac:dyDescent="0.25">
      <c r="A137" s="47">
        <v>42</v>
      </c>
      <c r="B137" s="31">
        <f t="shared" si="21"/>
        <v>2</v>
      </c>
      <c r="C137" s="48">
        <f>IF(A137=A136,C136,"")</f>
        <v>45180</v>
      </c>
      <c r="D137" s="47" t="str">
        <f>IF(A137=A136,D136,"")</f>
        <v>Gutierrez Rodolfo</v>
      </c>
      <c r="E137" s="31" t="str">
        <f t="shared" si="13"/>
        <v>42Gutierrez Rodolfo2</v>
      </c>
      <c r="H137" s="26" t="s">
        <v>203</v>
      </c>
      <c r="I137" s="31" t="str">
        <f t="shared" si="14"/>
        <v>Cambiar kit distribución con bomba de agua. Cambiar correa poliv y Liquido refrigerante.</v>
      </c>
      <c r="K137" s="26" t="s">
        <v>204</v>
      </c>
      <c r="P137" s="27">
        <v>1</v>
      </c>
      <c r="Q137" s="34">
        <v>37000</v>
      </c>
      <c r="R137" s="36">
        <f t="shared" si="12"/>
        <v>37000</v>
      </c>
      <c r="U137" s="39">
        <f t="shared" si="20"/>
        <v>0</v>
      </c>
      <c r="V137" s="41">
        <f t="shared" si="15"/>
        <v>50000</v>
      </c>
    </row>
    <row r="138" spans="1:22" x14ac:dyDescent="0.25">
      <c r="A138" s="47">
        <v>42</v>
      </c>
      <c r="B138" s="31">
        <f t="shared" si="21"/>
        <v>3</v>
      </c>
      <c r="C138" s="48">
        <f>IF(A138=A137,C137,"")</f>
        <v>45180</v>
      </c>
      <c r="D138" s="47" t="str">
        <f>IF(A138=A137,D137,"")</f>
        <v>Gutierrez Rodolfo</v>
      </c>
      <c r="E138" s="31" t="str">
        <f t="shared" si="13"/>
        <v>42Gutierrez Rodolfo3</v>
      </c>
      <c r="I138" s="31" t="str">
        <f t="shared" si="14"/>
        <v xml:space="preserve">Cambiar kit distribución con bomba de agua. Cambiar correa poliv y Liquido refrigerante. </v>
      </c>
      <c r="K138" s="26" t="s">
        <v>68</v>
      </c>
      <c r="P138" s="27">
        <v>1</v>
      </c>
      <c r="Q138" s="34">
        <v>14000</v>
      </c>
      <c r="R138" s="36">
        <f t="shared" si="12"/>
        <v>14000</v>
      </c>
      <c r="U138" s="39">
        <f t="shared" si="20"/>
        <v>0</v>
      </c>
      <c r="V138" s="41">
        <f t="shared" si="15"/>
        <v>50000</v>
      </c>
    </row>
    <row r="139" spans="1:22" x14ac:dyDescent="0.25">
      <c r="A139" s="47">
        <v>42</v>
      </c>
      <c r="B139" s="31">
        <f t="shared" si="21"/>
        <v>4</v>
      </c>
      <c r="C139" s="48">
        <f>IF(A139=A138,C138,"")</f>
        <v>45180</v>
      </c>
      <c r="D139" s="47" t="str">
        <f>IF(A139=A138,D138,"")</f>
        <v>Gutierrez Rodolfo</v>
      </c>
      <c r="E139" s="31" t="str">
        <f t="shared" si="13"/>
        <v>42Gutierrez Rodolfo4</v>
      </c>
      <c r="I139" s="31" t="str">
        <f t="shared" si="14"/>
        <v xml:space="preserve">Cambiar kit distribución con bomba de agua. Cambiar correa poliv y Liquido refrigerante.  </v>
      </c>
      <c r="K139" s="26" t="s">
        <v>205</v>
      </c>
      <c r="P139" s="27">
        <v>1</v>
      </c>
      <c r="Q139" s="34">
        <v>4500</v>
      </c>
      <c r="R139" s="36">
        <f t="shared" si="12"/>
        <v>4500</v>
      </c>
      <c r="U139" s="39">
        <f t="shared" si="20"/>
        <v>0</v>
      </c>
      <c r="V139" s="41">
        <f t="shared" si="15"/>
        <v>50000</v>
      </c>
    </row>
    <row r="140" spans="1:22" x14ac:dyDescent="0.25">
      <c r="A140" s="47">
        <v>43</v>
      </c>
      <c r="B140" s="31">
        <f t="shared" si="21"/>
        <v>1</v>
      </c>
      <c r="C140" s="48">
        <v>45182</v>
      </c>
      <c r="D140" s="47" t="s">
        <v>206</v>
      </c>
      <c r="E140" s="31" t="str">
        <f t="shared" si="13"/>
        <v>43Rosas Pitu1</v>
      </c>
      <c r="G140" s="47" t="s">
        <v>207</v>
      </c>
      <c r="H140" s="26" t="s">
        <v>80</v>
      </c>
      <c r="I140" s="31" t="str">
        <f t="shared" si="14"/>
        <v>Service cambio de aceite y filtros.</v>
      </c>
      <c r="K140" s="26" t="s">
        <v>108</v>
      </c>
      <c r="P140" s="27">
        <v>4</v>
      </c>
      <c r="Q140" s="34">
        <v>3700</v>
      </c>
      <c r="R140" s="36">
        <f t="shared" si="12"/>
        <v>14800</v>
      </c>
      <c r="S140" s="6">
        <v>1</v>
      </c>
      <c r="T140" s="7">
        <v>30500</v>
      </c>
      <c r="U140" s="39">
        <f t="shared" si="20"/>
        <v>30500</v>
      </c>
      <c r="V140" s="41">
        <f t="shared" si="15"/>
        <v>30500</v>
      </c>
    </row>
    <row r="141" spans="1:22" x14ac:dyDescent="0.25">
      <c r="A141" s="47">
        <v>43</v>
      </c>
      <c r="B141" s="31">
        <f t="shared" si="21"/>
        <v>2</v>
      </c>
      <c r="C141" s="48">
        <f>IF(A141=A140,C140,"")</f>
        <v>45182</v>
      </c>
      <c r="D141" s="47" t="str">
        <f>IF(A141=A140,D140,"")</f>
        <v>Rosas Pitu</v>
      </c>
      <c r="E141" s="31" t="str">
        <f t="shared" si="13"/>
        <v>43Rosas Pitu2</v>
      </c>
      <c r="H141" s="26" t="s">
        <v>209</v>
      </c>
      <c r="I141" s="31" t="str">
        <f t="shared" si="14"/>
        <v>Service cambio de aceite y filtros. Control general del vehículo.</v>
      </c>
      <c r="K141" s="26" t="s">
        <v>208</v>
      </c>
      <c r="P141" s="27">
        <v>1</v>
      </c>
      <c r="Q141" s="34">
        <v>21000</v>
      </c>
      <c r="R141" s="36">
        <f t="shared" si="12"/>
        <v>21000</v>
      </c>
      <c r="U141" s="39">
        <f t="shared" si="20"/>
        <v>0</v>
      </c>
      <c r="V141" s="41">
        <f t="shared" si="15"/>
        <v>30500</v>
      </c>
    </row>
    <row r="142" spans="1:22" x14ac:dyDescent="0.25">
      <c r="A142" s="47">
        <v>44</v>
      </c>
      <c r="B142" s="31">
        <f t="shared" si="21"/>
        <v>1</v>
      </c>
      <c r="C142" s="48">
        <v>45182</v>
      </c>
      <c r="D142" s="47" t="s">
        <v>210</v>
      </c>
      <c r="E142" s="31" t="str">
        <f t="shared" si="13"/>
        <v>44Ovando Omar1</v>
      </c>
      <c r="G142" s="47" t="s">
        <v>211</v>
      </c>
      <c r="H142" s="26" t="s">
        <v>213</v>
      </c>
      <c r="I142" s="31" t="str">
        <f t="shared" si="14"/>
        <v>Cambiar kit distribución con  bomba de agua y correa poliv.</v>
      </c>
      <c r="K142" s="26" t="s">
        <v>53</v>
      </c>
      <c r="P142" s="27">
        <v>1</v>
      </c>
      <c r="Q142" s="34">
        <v>91863</v>
      </c>
      <c r="R142" s="36">
        <f t="shared" si="12"/>
        <v>91863</v>
      </c>
      <c r="S142" s="6">
        <v>1</v>
      </c>
      <c r="T142" s="7">
        <v>50000</v>
      </c>
      <c r="U142" s="39">
        <f t="shared" si="20"/>
        <v>50000</v>
      </c>
      <c r="V142" s="41">
        <f t="shared" si="15"/>
        <v>50000</v>
      </c>
    </row>
    <row r="143" spans="1:22" x14ac:dyDescent="0.25">
      <c r="A143" s="47">
        <v>44</v>
      </c>
      <c r="B143" s="31">
        <f t="shared" si="21"/>
        <v>2</v>
      </c>
      <c r="C143" s="48">
        <f>IF(A143=A142,C142,"")</f>
        <v>45182</v>
      </c>
      <c r="D143" s="47" t="str">
        <f>IF(A143=A142,D142,"")</f>
        <v>Ovando Omar</v>
      </c>
      <c r="E143" s="31" t="str">
        <f t="shared" si="13"/>
        <v>44Ovando Omar2</v>
      </c>
      <c r="H143" s="26" t="s">
        <v>212</v>
      </c>
      <c r="I143" s="31" t="str">
        <f t="shared" si="14"/>
        <v>Cambiar kit distribución con  bomba de agua y correa poliv. Cambio de Liquido refrigerante.</v>
      </c>
      <c r="K143" s="26" t="s">
        <v>69</v>
      </c>
      <c r="P143" s="27">
        <v>1</v>
      </c>
      <c r="Q143" s="34">
        <v>31550</v>
      </c>
      <c r="R143" s="36">
        <f t="shared" ref="R143:R206" si="22">Q143*P143</f>
        <v>31550</v>
      </c>
      <c r="U143" s="39">
        <f t="shared" si="20"/>
        <v>0</v>
      </c>
      <c r="V143" s="41">
        <f t="shared" si="15"/>
        <v>50000</v>
      </c>
    </row>
    <row r="144" spans="1:22" x14ac:dyDescent="0.25">
      <c r="A144" s="47">
        <v>44</v>
      </c>
      <c r="B144" s="31">
        <f t="shared" si="21"/>
        <v>3</v>
      </c>
      <c r="C144" s="48">
        <f>IF(A144=A143,C143,"")</f>
        <v>45182</v>
      </c>
      <c r="D144" s="47" t="str">
        <f>IF(A144=A143,D143,"")</f>
        <v>Ovando Omar</v>
      </c>
      <c r="E144" s="31" t="str">
        <f t="shared" si="13"/>
        <v>44Ovando Omar3</v>
      </c>
      <c r="H144" s="26" t="s">
        <v>216</v>
      </c>
      <c r="I144" s="31" t="str">
        <f t="shared" si="14"/>
        <v>Cambiar kit distribución con  bomba de agua y correa poliv. Cambio de Liquido refrigerante. Cambio de bujias</v>
      </c>
      <c r="K144" s="26" t="s">
        <v>68</v>
      </c>
      <c r="P144" s="27">
        <v>1</v>
      </c>
      <c r="Q144" s="34">
        <v>14922</v>
      </c>
      <c r="R144" s="36">
        <f t="shared" si="22"/>
        <v>14922</v>
      </c>
      <c r="U144" s="39">
        <f t="shared" si="20"/>
        <v>0</v>
      </c>
      <c r="V144" s="41">
        <f t="shared" si="15"/>
        <v>50000</v>
      </c>
    </row>
    <row r="145" spans="1:22" x14ac:dyDescent="0.25">
      <c r="A145" s="47">
        <v>44</v>
      </c>
      <c r="B145" s="31">
        <f t="shared" si="21"/>
        <v>4</v>
      </c>
      <c r="C145" s="48">
        <f>IF(A145=A144,C144,"")</f>
        <v>45182</v>
      </c>
      <c r="D145" s="47" t="str">
        <f>IF(A145=A144,D144,"")</f>
        <v>Ovando Omar</v>
      </c>
      <c r="E145" s="31" t="str">
        <f t="shared" ref="E145:E208" si="23">CONCATENATE(A145,D145,B145)</f>
        <v>44Ovando Omar4</v>
      </c>
      <c r="I145" s="31" t="str">
        <f t="shared" si="14"/>
        <v xml:space="preserve">Cambiar kit distribución con  bomba de agua y correa poliv. Cambio de Liquido refrigerante. Cambio de bujias </v>
      </c>
      <c r="K145" s="26" t="s">
        <v>214</v>
      </c>
      <c r="P145" s="27">
        <v>1</v>
      </c>
      <c r="Q145" s="34">
        <v>8400</v>
      </c>
      <c r="R145" s="36">
        <f t="shared" si="22"/>
        <v>8400</v>
      </c>
      <c r="U145" s="39">
        <f t="shared" si="20"/>
        <v>0</v>
      </c>
      <c r="V145" s="41">
        <f t="shared" si="15"/>
        <v>50000</v>
      </c>
    </row>
    <row r="146" spans="1:22" x14ac:dyDescent="0.25">
      <c r="A146" s="47">
        <v>44</v>
      </c>
      <c r="B146" s="31">
        <f t="shared" si="21"/>
        <v>5</v>
      </c>
      <c r="C146" s="48">
        <f>IF(A146=A145,C145,"")</f>
        <v>45182</v>
      </c>
      <c r="D146" s="47" t="str">
        <f>IF(A146=A145,D145,"")</f>
        <v>Ovando Omar</v>
      </c>
      <c r="E146" s="31" t="str">
        <f t="shared" si="23"/>
        <v>44Ovando Omar5</v>
      </c>
      <c r="I146" s="31" t="str">
        <f t="shared" si="14"/>
        <v xml:space="preserve">Cambiar kit distribución con  bomba de agua y correa poliv. Cambio de Liquido refrigerante. Cambio de bujias  </v>
      </c>
      <c r="K146" s="26" t="s">
        <v>215</v>
      </c>
      <c r="P146" s="27">
        <v>4</v>
      </c>
      <c r="Q146" s="34">
        <v>1355</v>
      </c>
      <c r="R146" s="36">
        <f t="shared" si="22"/>
        <v>5420</v>
      </c>
      <c r="U146" s="39">
        <f t="shared" si="20"/>
        <v>0</v>
      </c>
      <c r="V146" s="41">
        <f t="shared" si="15"/>
        <v>50000</v>
      </c>
    </row>
    <row r="147" spans="1:22" x14ac:dyDescent="0.25">
      <c r="A147" s="47">
        <v>45</v>
      </c>
      <c r="B147" s="31">
        <f t="shared" si="21"/>
        <v>1</v>
      </c>
      <c r="C147" s="48">
        <v>45187</v>
      </c>
      <c r="D147" s="47" t="s">
        <v>217</v>
      </c>
      <c r="E147" s="31" t="str">
        <f t="shared" si="23"/>
        <v>45Paola Monasterio1</v>
      </c>
      <c r="G147" s="47" t="s">
        <v>218</v>
      </c>
      <c r="H147" s="26" t="s">
        <v>80</v>
      </c>
      <c r="I147" s="31" t="str">
        <f t="shared" si="14"/>
        <v>Service cambio de aceite y filtros.</v>
      </c>
      <c r="K147" s="26" t="s">
        <v>90</v>
      </c>
      <c r="P147" s="27">
        <v>4</v>
      </c>
      <c r="Q147" s="34">
        <v>6700</v>
      </c>
      <c r="R147" s="36">
        <f t="shared" si="22"/>
        <v>26800</v>
      </c>
      <c r="S147" s="6">
        <v>1</v>
      </c>
      <c r="T147" s="7">
        <v>45450</v>
      </c>
      <c r="U147" s="39">
        <f t="shared" si="20"/>
        <v>45450</v>
      </c>
      <c r="V147" s="41">
        <f t="shared" si="15"/>
        <v>45450</v>
      </c>
    </row>
    <row r="148" spans="1:22" x14ac:dyDescent="0.25">
      <c r="A148" s="47">
        <v>45</v>
      </c>
      <c r="B148" s="31">
        <f t="shared" si="21"/>
        <v>2</v>
      </c>
      <c r="C148" s="48">
        <f>IF(A148=A147,C147,"")</f>
        <v>45187</v>
      </c>
      <c r="D148" s="47" t="str">
        <f>IF(A148=A147,D147,"")</f>
        <v>Paola Monasterio</v>
      </c>
      <c r="E148" s="31" t="str">
        <f t="shared" si="23"/>
        <v>45Paola Monasterio2</v>
      </c>
      <c r="H148" s="26" t="s">
        <v>107</v>
      </c>
      <c r="I148" s="31" t="str">
        <f t="shared" ref="I148:I211" si="24">IF(A148=A147,CONCATENATE(I147," ",H148),H148)</f>
        <v>Service cambio de aceite y filtros. Control del vehículo.</v>
      </c>
      <c r="K148" s="26" t="s">
        <v>109</v>
      </c>
      <c r="P148" s="27">
        <v>1</v>
      </c>
      <c r="Q148" s="34">
        <v>2800</v>
      </c>
      <c r="R148" s="36">
        <f t="shared" si="22"/>
        <v>2800</v>
      </c>
      <c r="U148" s="39">
        <f t="shared" si="20"/>
        <v>0</v>
      </c>
      <c r="V148" s="41">
        <f t="shared" ref="V148:V211" si="25">IF(A148=A147,V147+U148,U148)</f>
        <v>45450</v>
      </c>
    </row>
    <row r="149" spans="1:22" x14ac:dyDescent="0.25">
      <c r="A149" s="47">
        <v>45</v>
      </c>
      <c r="B149" s="31">
        <f t="shared" si="21"/>
        <v>3</v>
      </c>
      <c r="C149" s="48">
        <f>IF(A149=A148,C148,"")</f>
        <v>45187</v>
      </c>
      <c r="D149" s="47" t="str">
        <f>IF(A149=A148,D148,"")</f>
        <v>Paola Monasterio</v>
      </c>
      <c r="E149" s="31" t="str">
        <f t="shared" si="23"/>
        <v>45Paola Monasterio3</v>
      </c>
      <c r="I149" s="31" t="str">
        <f t="shared" si="24"/>
        <v xml:space="preserve">Service cambio de aceite y filtros. Control del vehículo. </v>
      </c>
      <c r="K149" s="26" t="s">
        <v>123</v>
      </c>
      <c r="P149" s="27">
        <v>1</v>
      </c>
      <c r="Q149" s="34">
        <v>5400</v>
      </c>
      <c r="R149" s="36">
        <f t="shared" si="22"/>
        <v>5400</v>
      </c>
      <c r="U149" s="39">
        <f t="shared" si="20"/>
        <v>0</v>
      </c>
      <c r="V149" s="41">
        <f t="shared" si="25"/>
        <v>45450</v>
      </c>
    </row>
    <row r="150" spans="1:22" x14ac:dyDescent="0.25">
      <c r="A150" s="47">
        <v>45</v>
      </c>
      <c r="B150" s="31">
        <f t="shared" si="21"/>
        <v>4</v>
      </c>
      <c r="C150" s="48">
        <f>IF(A150=A149,C149,"")</f>
        <v>45187</v>
      </c>
      <c r="D150" s="47" t="str">
        <f>IF(A150=A149,D149,"")</f>
        <v>Paola Monasterio</v>
      </c>
      <c r="E150" s="31" t="str">
        <f t="shared" si="23"/>
        <v>45Paola Monasterio4</v>
      </c>
      <c r="I150" s="31" t="str">
        <f t="shared" si="24"/>
        <v xml:space="preserve">Service cambio de aceite y filtros. Control del vehículo.  </v>
      </c>
      <c r="K150" s="26" t="s">
        <v>112</v>
      </c>
      <c r="P150" s="27">
        <v>1</v>
      </c>
      <c r="Q150" s="34">
        <v>3600</v>
      </c>
      <c r="R150" s="36">
        <f t="shared" si="22"/>
        <v>3600</v>
      </c>
      <c r="U150" s="39">
        <f t="shared" si="20"/>
        <v>0</v>
      </c>
      <c r="V150" s="41">
        <f t="shared" si="25"/>
        <v>45450</v>
      </c>
    </row>
    <row r="151" spans="1:22" x14ac:dyDescent="0.25">
      <c r="A151" s="47">
        <v>46</v>
      </c>
      <c r="B151" s="31">
        <f t="shared" si="21"/>
        <v>1</v>
      </c>
      <c r="C151" s="48">
        <v>45187</v>
      </c>
      <c r="D151" s="47" t="s">
        <v>219</v>
      </c>
      <c r="E151" s="31" t="str">
        <f t="shared" si="23"/>
        <v>46Fernandez Heber1</v>
      </c>
      <c r="G151" s="47" t="s">
        <v>220</v>
      </c>
      <c r="H151" s="26" t="s">
        <v>221</v>
      </c>
      <c r="I151" s="31" t="str">
        <f t="shared" si="24"/>
        <v>Cambio kit distribuciíon completo.</v>
      </c>
      <c r="K151" s="26" t="s">
        <v>228</v>
      </c>
      <c r="P151" s="27">
        <v>1</v>
      </c>
      <c r="Q151" s="34">
        <v>56000</v>
      </c>
      <c r="R151" s="36">
        <f t="shared" si="22"/>
        <v>56000</v>
      </c>
      <c r="S151" s="6">
        <v>1</v>
      </c>
      <c r="T151" s="7">
        <v>50000</v>
      </c>
      <c r="U151" s="39">
        <f t="shared" si="20"/>
        <v>50000</v>
      </c>
      <c r="V151" s="41">
        <f t="shared" si="25"/>
        <v>50000</v>
      </c>
    </row>
    <row r="152" spans="1:22" x14ac:dyDescent="0.25">
      <c r="A152" s="47">
        <v>46</v>
      </c>
      <c r="B152" s="31">
        <f t="shared" si="21"/>
        <v>2</v>
      </c>
      <c r="C152" s="48">
        <v>45187</v>
      </c>
      <c r="D152" s="47" t="s">
        <v>219</v>
      </c>
      <c r="E152" s="31" t="str">
        <f t="shared" si="23"/>
        <v>46Fernandez Heber2</v>
      </c>
      <c r="I152" s="31" t="str">
        <f t="shared" si="24"/>
        <v xml:space="preserve">Cambio kit distribuciíon completo. </v>
      </c>
      <c r="P152" s="27"/>
      <c r="Q152" s="34"/>
      <c r="R152" s="36">
        <f t="shared" si="22"/>
        <v>0</v>
      </c>
      <c r="U152" s="39">
        <f t="shared" si="20"/>
        <v>0</v>
      </c>
      <c r="V152" s="41">
        <f t="shared" si="25"/>
        <v>50000</v>
      </c>
    </row>
    <row r="153" spans="1:22" x14ac:dyDescent="0.25">
      <c r="A153" s="47">
        <v>46</v>
      </c>
      <c r="B153" s="31">
        <f t="shared" si="21"/>
        <v>3</v>
      </c>
      <c r="C153" s="48">
        <f>IF(A153=A152,C152,"")</f>
        <v>45187</v>
      </c>
      <c r="D153" s="47" t="s">
        <v>219</v>
      </c>
      <c r="E153" s="31" t="str">
        <f t="shared" si="23"/>
        <v>46Fernandez Heber3</v>
      </c>
      <c r="I153" s="31" t="str">
        <f t="shared" si="24"/>
        <v xml:space="preserve">Cambio kit distribuciíon completo.  </v>
      </c>
      <c r="K153" s="26" t="s">
        <v>222</v>
      </c>
      <c r="P153" s="27">
        <v>1</v>
      </c>
      <c r="Q153" s="34">
        <v>12800</v>
      </c>
      <c r="R153" s="36">
        <f t="shared" si="22"/>
        <v>12800</v>
      </c>
      <c r="U153" s="39">
        <f t="shared" si="20"/>
        <v>0</v>
      </c>
      <c r="V153" s="41">
        <f t="shared" si="25"/>
        <v>50000</v>
      </c>
    </row>
    <row r="154" spans="1:22" x14ac:dyDescent="0.25">
      <c r="A154" s="47">
        <v>46</v>
      </c>
      <c r="B154" s="31">
        <f t="shared" si="21"/>
        <v>4</v>
      </c>
      <c r="C154" s="48">
        <f>IF(A154=A153,C153,"")</f>
        <v>45187</v>
      </c>
      <c r="D154" s="47" t="s">
        <v>219</v>
      </c>
      <c r="E154" s="31" t="str">
        <f t="shared" si="23"/>
        <v>46Fernandez Heber4</v>
      </c>
      <c r="I154" s="31" t="str">
        <f t="shared" si="24"/>
        <v xml:space="preserve">Cambio kit distribuciíon completo.   </v>
      </c>
      <c r="K154" s="26" t="s">
        <v>168</v>
      </c>
      <c r="P154" s="27">
        <v>1</v>
      </c>
      <c r="Q154" s="34">
        <v>8400</v>
      </c>
      <c r="R154" s="36">
        <f t="shared" si="22"/>
        <v>8400</v>
      </c>
      <c r="U154" s="39">
        <f t="shared" si="20"/>
        <v>0</v>
      </c>
      <c r="V154" s="41">
        <f t="shared" si="25"/>
        <v>50000</v>
      </c>
    </row>
    <row r="155" spans="1:22" x14ac:dyDescent="0.25">
      <c r="A155" s="47">
        <v>47</v>
      </c>
      <c r="B155" s="31">
        <f t="shared" si="21"/>
        <v>1</v>
      </c>
      <c r="C155" s="48">
        <v>45187</v>
      </c>
      <c r="D155" s="47" t="s">
        <v>229</v>
      </c>
      <c r="E155" s="31" t="str">
        <f t="shared" si="23"/>
        <v>47Issetta Eva1</v>
      </c>
      <c r="G155" s="47" t="s">
        <v>156</v>
      </c>
      <c r="H155" s="26" t="s">
        <v>223</v>
      </c>
      <c r="I155" s="31" t="str">
        <f t="shared" si="24"/>
        <v>Cambiar ambos precap, dirección parrilla con rótula incorporado inferior izquierdo.</v>
      </c>
      <c r="K155" s="26" t="s">
        <v>225</v>
      </c>
      <c r="P155" s="27">
        <v>2</v>
      </c>
      <c r="Q155" s="34">
        <v>12600</v>
      </c>
      <c r="R155" s="36">
        <f t="shared" si="22"/>
        <v>25200</v>
      </c>
      <c r="S155" s="6">
        <v>1</v>
      </c>
      <c r="T155" s="7">
        <v>25000</v>
      </c>
      <c r="U155" s="39">
        <f t="shared" si="20"/>
        <v>25000</v>
      </c>
      <c r="V155" s="41">
        <f t="shared" si="25"/>
        <v>25000</v>
      </c>
    </row>
    <row r="156" spans="1:22" x14ac:dyDescent="0.25">
      <c r="A156" s="47">
        <v>47</v>
      </c>
      <c r="B156" s="31">
        <f t="shared" si="21"/>
        <v>2</v>
      </c>
      <c r="C156" s="48">
        <f>IF(A156=A155,C155,"")</f>
        <v>45187</v>
      </c>
      <c r="D156" s="47" t="str">
        <f>IF(A156=A155,D155,"")</f>
        <v>Issetta Eva</v>
      </c>
      <c r="E156" s="31" t="str">
        <f t="shared" si="23"/>
        <v>47Issetta Eva2</v>
      </c>
      <c r="H156" s="26" t="s">
        <v>224</v>
      </c>
      <c r="I156" s="31" t="str">
        <f t="shared" si="24"/>
        <v>Cambiar ambos precap, dirección parrilla con rótula incorporado inferior izquierdo. Sacar semi eje lado izquierdo. Limpieza cambiar reten salida de caja mismo lado. Trazbazado caja velocidad y cambiar retén. Armado total y alineado.</v>
      </c>
      <c r="K156" s="26" t="s">
        <v>226</v>
      </c>
      <c r="P156" s="27">
        <v>1</v>
      </c>
      <c r="Q156" s="34">
        <v>63000</v>
      </c>
      <c r="R156" s="36">
        <f t="shared" si="22"/>
        <v>63000</v>
      </c>
      <c r="U156" s="39">
        <f t="shared" si="20"/>
        <v>0</v>
      </c>
      <c r="V156" s="41">
        <f t="shared" si="25"/>
        <v>25000</v>
      </c>
    </row>
    <row r="157" spans="1:22" x14ac:dyDescent="0.25">
      <c r="A157" s="47">
        <v>47</v>
      </c>
      <c r="B157" s="31">
        <f t="shared" si="21"/>
        <v>3</v>
      </c>
      <c r="C157" s="48">
        <f>IF(A157=A156,C156,"")</f>
        <v>45187</v>
      </c>
      <c r="D157" s="47" t="str">
        <f>IF(A157=A156,D156,"")</f>
        <v>Issetta Eva</v>
      </c>
      <c r="E157" s="31" t="str">
        <f t="shared" si="23"/>
        <v>47Issetta Eva3</v>
      </c>
      <c r="I157" s="31" t="str">
        <f t="shared" si="24"/>
        <v xml:space="preserve">Cambiar ambos precap, dirección parrilla con rótula incorporado inferior izquierdo. Sacar semi eje lado izquierdo. Limpieza cambiar reten salida de caja mismo lado. Trazbazado caja velocidad y cambiar retén. Armado total y alineado. </v>
      </c>
      <c r="K157" s="26" t="s">
        <v>227</v>
      </c>
      <c r="P157" s="27">
        <v>1</v>
      </c>
      <c r="Q157" s="34">
        <v>6800</v>
      </c>
      <c r="R157" s="36">
        <f t="shared" si="22"/>
        <v>6800</v>
      </c>
      <c r="U157" s="39">
        <f t="shared" si="20"/>
        <v>0</v>
      </c>
      <c r="V157" s="41">
        <f t="shared" si="25"/>
        <v>25000</v>
      </c>
    </row>
    <row r="158" spans="1:22" x14ac:dyDescent="0.25">
      <c r="A158" s="47">
        <v>47</v>
      </c>
      <c r="B158" s="31">
        <f t="shared" si="21"/>
        <v>4</v>
      </c>
      <c r="C158" s="48">
        <f>IF(A158=A157,C157,"")</f>
        <v>45187</v>
      </c>
      <c r="D158" s="47" t="str">
        <f>IF(A158=A157,D157,"")</f>
        <v>Issetta Eva</v>
      </c>
      <c r="E158" s="31" t="str">
        <f t="shared" si="23"/>
        <v>47Issetta Eva4</v>
      </c>
      <c r="I158" s="31" t="str">
        <f t="shared" si="24"/>
        <v xml:space="preserve">Cambiar ambos precap, dirección parrilla con rótula incorporado inferior izquierdo. Sacar semi eje lado izquierdo. Limpieza cambiar reten salida de caja mismo lado. Trazbazado caja velocidad y cambiar retén. Armado total y alineado.  </v>
      </c>
      <c r="P158" s="27"/>
      <c r="Q158" s="34"/>
      <c r="R158" s="36">
        <f t="shared" si="22"/>
        <v>0</v>
      </c>
      <c r="U158" s="39">
        <f t="shared" si="20"/>
        <v>0</v>
      </c>
      <c r="V158" s="41">
        <f t="shared" si="25"/>
        <v>25000</v>
      </c>
    </row>
    <row r="159" spans="1:22" x14ac:dyDescent="0.25">
      <c r="A159" s="47">
        <v>48</v>
      </c>
      <c r="B159" s="31">
        <f t="shared" si="21"/>
        <v>1</v>
      </c>
      <c r="C159" s="48">
        <v>45189</v>
      </c>
      <c r="D159" s="47" t="s">
        <v>230</v>
      </c>
      <c r="E159" s="31" t="str">
        <f t="shared" si="23"/>
        <v>48Anes Jorge1</v>
      </c>
      <c r="H159" s="26" t="s">
        <v>80</v>
      </c>
      <c r="I159" s="31" t="str">
        <f t="shared" si="24"/>
        <v>Service cambio de aceite y filtros.</v>
      </c>
      <c r="K159" s="26" t="s">
        <v>90</v>
      </c>
      <c r="P159" s="27">
        <v>5</v>
      </c>
      <c r="Q159" s="34">
        <v>6700</v>
      </c>
      <c r="R159" s="36">
        <f t="shared" si="22"/>
        <v>33500</v>
      </c>
      <c r="S159" s="6">
        <v>1</v>
      </c>
      <c r="T159" s="7">
        <v>30500</v>
      </c>
      <c r="U159" s="39">
        <f t="shared" si="20"/>
        <v>30500</v>
      </c>
      <c r="V159" s="41">
        <f t="shared" si="25"/>
        <v>30500</v>
      </c>
    </row>
    <row r="160" spans="1:22" x14ac:dyDescent="0.25">
      <c r="A160" s="47">
        <v>48</v>
      </c>
      <c r="B160" s="31">
        <f t="shared" si="21"/>
        <v>2</v>
      </c>
      <c r="C160" s="48">
        <f>IF(A160=A159,C159,"")</f>
        <v>45189</v>
      </c>
      <c r="D160" s="47" t="str">
        <f>IF(A160=A159,D159,"")</f>
        <v>Anes Jorge</v>
      </c>
      <c r="E160" s="31" t="str">
        <f t="shared" si="23"/>
        <v>48Anes Jorge2</v>
      </c>
      <c r="H160" s="26" t="s">
        <v>209</v>
      </c>
      <c r="I160" s="31" t="str">
        <f t="shared" si="24"/>
        <v>Service cambio de aceite y filtros. Control general del vehículo.</v>
      </c>
      <c r="K160" s="26" t="s">
        <v>109</v>
      </c>
      <c r="P160" s="27">
        <v>1</v>
      </c>
      <c r="Q160" s="34">
        <v>5800</v>
      </c>
      <c r="R160" s="36">
        <f t="shared" si="22"/>
        <v>5800</v>
      </c>
      <c r="U160" s="39">
        <f t="shared" si="20"/>
        <v>0</v>
      </c>
      <c r="V160" s="41">
        <f t="shared" si="25"/>
        <v>30500</v>
      </c>
    </row>
    <row r="161" spans="1:22" x14ac:dyDescent="0.25">
      <c r="A161" s="47">
        <v>48</v>
      </c>
      <c r="B161" s="31">
        <f t="shared" si="21"/>
        <v>3</v>
      </c>
      <c r="C161" s="48">
        <f>IF(A161=A160,C160,"")</f>
        <v>45189</v>
      </c>
      <c r="D161" s="47" t="str">
        <f>IF(A161=A160,D160,"")</f>
        <v>Anes Jorge</v>
      </c>
      <c r="E161" s="31" t="str">
        <f t="shared" si="23"/>
        <v>48Anes Jorge3</v>
      </c>
      <c r="H161" s="26" t="s">
        <v>231</v>
      </c>
      <c r="I161" s="31" t="str">
        <f t="shared" si="24"/>
        <v>Service cambio de aceite y filtros. Control general del vehículo. Lavado del motor. Se controlan mas de 70 puntos en el vehículo.</v>
      </c>
      <c r="K161" s="26" t="s">
        <v>110</v>
      </c>
      <c r="P161" s="27">
        <v>1</v>
      </c>
      <c r="Q161" s="34">
        <v>9200</v>
      </c>
      <c r="R161" s="36">
        <f t="shared" si="22"/>
        <v>9200</v>
      </c>
      <c r="U161" s="39">
        <f t="shared" si="20"/>
        <v>0</v>
      </c>
      <c r="V161" s="41">
        <f t="shared" si="25"/>
        <v>30500</v>
      </c>
    </row>
    <row r="162" spans="1:22" x14ac:dyDescent="0.25">
      <c r="A162" s="47">
        <v>48</v>
      </c>
      <c r="B162" s="31">
        <f t="shared" si="21"/>
        <v>4</v>
      </c>
      <c r="C162" s="48">
        <f>IF(A162=A161,C161,"")</f>
        <v>45189</v>
      </c>
      <c r="D162" s="47" t="str">
        <f>IF(A162=A161,D161,"")</f>
        <v>Anes Jorge</v>
      </c>
      <c r="E162" s="31" t="str">
        <f t="shared" si="23"/>
        <v>48Anes Jorge4</v>
      </c>
      <c r="I162" s="31" t="str">
        <f t="shared" si="24"/>
        <v xml:space="preserve">Service cambio de aceite y filtros. Control general del vehículo. Lavado del motor. Se controlan mas de 70 puntos en el vehículo. </v>
      </c>
      <c r="K162" s="26" t="s">
        <v>111</v>
      </c>
      <c r="P162" s="27">
        <v>1</v>
      </c>
      <c r="Q162" s="34">
        <v>4800</v>
      </c>
      <c r="R162" s="36">
        <f t="shared" si="22"/>
        <v>4800</v>
      </c>
      <c r="U162" s="39">
        <f t="shared" si="20"/>
        <v>0</v>
      </c>
      <c r="V162" s="41">
        <f t="shared" si="25"/>
        <v>30500</v>
      </c>
    </row>
    <row r="163" spans="1:22" x14ac:dyDescent="0.25">
      <c r="A163" s="47">
        <v>48</v>
      </c>
      <c r="B163" s="31">
        <f t="shared" si="21"/>
        <v>5</v>
      </c>
      <c r="C163" s="48">
        <f>IF(A163=A162,C162,"")</f>
        <v>45189</v>
      </c>
      <c r="D163" s="47" t="str">
        <f>IF(A163=A162,D162,"")</f>
        <v>Anes Jorge</v>
      </c>
      <c r="E163" s="31" t="str">
        <f t="shared" si="23"/>
        <v>48Anes Jorge5</v>
      </c>
      <c r="I163" s="31" t="str">
        <f t="shared" si="24"/>
        <v xml:space="preserve">Service cambio de aceite y filtros. Control general del vehículo. Lavado del motor. Se controlan mas de 70 puntos en el vehículo.  </v>
      </c>
      <c r="K163" s="26" t="s">
        <v>150</v>
      </c>
      <c r="P163" s="27">
        <v>1</v>
      </c>
      <c r="Q163" s="34">
        <v>5000</v>
      </c>
      <c r="R163" s="36">
        <f t="shared" si="22"/>
        <v>5000</v>
      </c>
      <c r="U163" s="39">
        <f t="shared" si="20"/>
        <v>0</v>
      </c>
      <c r="V163" s="41">
        <f t="shared" si="25"/>
        <v>30500</v>
      </c>
    </row>
    <row r="164" spans="1:22" x14ac:dyDescent="0.25">
      <c r="A164" s="47">
        <v>49</v>
      </c>
      <c r="B164" s="31">
        <f t="shared" si="21"/>
        <v>1</v>
      </c>
      <c r="C164" s="48">
        <v>45203</v>
      </c>
      <c r="D164" s="47" t="s">
        <v>232</v>
      </c>
      <c r="E164" s="31" t="str">
        <f t="shared" si="23"/>
        <v>49Graciela Salinas1</v>
      </c>
      <c r="G164" s="47" t="s">
        <v>285</v>
      </c>
      <c r="H164" s="26" t="s">
        <v>233</v>
      </c>
      <c r="I164" s="31" t="str">
        <f t="shared" si="24"/>
        <v>Cambiar parrilla inferior derecha. Cambiar bolillero de rueda delantera derecha. Cambiar ambos bujes de barra estabilizadora. Alineado del tren delantero</v>
      </c>
      <c r="K164" s="26" t="s">
        <v>234</v>
      </c>
      <c r="P164" s="27">
        <v>1</v>
      </c>
      <c r="Q164" s="34">
        <v>95000</v>
      </c>
      <c r="R164" s="36">
        <f t="shared" si="22"/>
        <v>95000</v>
      </c>
      <c r="S164" s="6">
        <v>1</v>
      </c>
      <c r="T164" s="7">
        <v>50000</v>
      </c>
      <c r="U164" s="39">
        <f t="shared" si="20"/>
        <v>50000</v>
      </c>
      <c r="V164" s="41">
        <f t="shared" si="25"/>
        <v>50000</v>
      </c>
    </row>
    <row r="165" spans="1:22" x14ac:dyDescent="0.25">
      <c r="A165" s="47">
        <v>49</v>
      </c>
      <c r="B165" s="31">
        <f t="shared" si="21"/>
        <v>2</v>
      </c>
      <c r="C165" s="48">
        <f>IF(A165=A164,C164,"")</f>
        <v>45203</v>
      </c>
      <c r="D165" s="47" t="str">
        <f>IF(A165=A164,D164,"")</f>
        <v>Graciela Salinas</v>
      </c>
      <c r="E165" s="31" t="str">
        <f t="shared" si="23"/>
        <v>49Graciela Salinas2</v>
      </c>
      <c r="I165" s="31" t="str">
        <f t="shared" si="24"/>
        <v xml:space="preserve">Cambiar parrilla inferior derecha. Cambiar bolillero de rueda delantera derecha. Cambiar ambos bujes de barra estabilizadora. Alineado del tren delantero </v>
      </c>
      <c r="K165" s="26" t="s">
        <v>235</v>
      </c>
      <c r="P165" s="27">
        <v>1</v>
      </c>
      <c r="Q165" s="34">
        <v>44000</v>
      </c>
      <c r="R165" s="36">
        <f t="shared" si="22"/>
        <v>44000</v>
      </c>
      <c r="U165" s="39">
        <f t="shared" si="20"/>
        <v>0</v>
      </c>
      <c r="V165" s="41">
        <f t="shared" si="25"/>
        <v>50000</v>
      </c>
    </row>
    <row r="166" spans="1:22" x14ac:dyDescent="0.25">
      <c r="A166" s="47">
        <v>49</v>
      </c>
      <c r="B166" s="31">
        <f t="shared" si="21"/>
        <v>3</v>
      </c>
      <c r="C166" s="48">
        <f>IF(A166=A165,C165,"")</f>
        <v>45203</v>
      </c>
      <c r="D166" s="47" t="str">
        <f>IF(A166=A165,D165,"")</f>
        <v>Graciela Salinas</v>
      </c>
      <c r="E166" s="31" t="str">
        <f t="shared" si="23"/>
        <v>49Graciela Salinas3</v>
      </c>
      <c r="I166" s="31" t="str">
        <f t="shared" si="24"/>
        <v xml:space="preserve">Cambiar parrilla inferior derecha. Cambiar bolillero de rueda delantera derecha. Cambiar ambos bujes de barra estabilizadora. Alineado del tren delantero  </v>
      </c>
      <c r="K166" s="26" t="s">
        <v>236</v>
      </c>
      <c r="P166" s="27">
        <v>2</v>
      </c>
      <c r="Q166" s="34">
        <v>3500</v>
      </c>
      <c r="R166" s="36">
        <f t="shared" si="22"/>
        <v>7000</v>
      </c>
      <c r="U166" s="39">
        <f t="shared" si="20"/>
        <v>0</v>
      </c>
      <c r="V166" s="41">
        <f t="shared" si="25"/>
        <v>50000</v>
      </c>
    </row>
    <row r="167" spans="1:22" x14ac:dyDescent="0.25">
      <c r="A167" s="47">
        <v>50</v>
      </c>
      <c r="B167" s="31">
        <f t="shared" si="21"/>
        <v>1</v>
      </c>
      <c r="C167" s="48">
        <v>45204</v>
      </c>
      <c r="D167" s="47" t="s">
        <v>237</v>
      </c>
      <c r="E167" s="31" t="str">
        <f t="shared" si="23"/>
        <v>50Javier Medina1</v>
      </c>
      <c r="G167" s="47" t="s">
        <v>238</v>
      </c>
      <c r="H167" s="26" t="s">
        <v>239</v>
      </c>
      <c r="I167" s="31" t="str">
        <f t="shared" si="24"/>
        <v>Service completo del vehiculo</v>
      </c>
      <c r="K167" s="26" t="s">
        <v>240</v>
      </c>
      <c r="P167" s="27">
        <v>1</v>
      </c>
      <c r="Q167" s="34">
        <v>4600</v>
      </c>
      <c r="R167" s="36">
        <f t="shared" si="22"/>
        <v>4600</v>
      </c>
      <c r="S167" s="6">
        <v>1</v>
      </c>
      <c r="T167" s="7">
        <v>38000</v>
      </c>
      <c r="U167" s="39">
        <f t="shared" si="20"/>
        <v>38000</v>
      </c>
      <c r="V167" s="41">
        <f t="shared" si="25"/>
        <v>38000</v>
      </c>
    </row>
    <row r="168" spans="1:22" x14ac:dyDescent="0.25">
      <c r="A168" s="47">
        <v>50</v>
      </c>
      <c r="B168" s="31">
        <f t="shared" si="21"/>
        <v>2</v>
      </c>
      <c r="C168" s="48">
        <f>IF(A168=A167,C167,"")</f>
        <v>45204</v>
      </c>
      <c r="D168" s="47" t="str">
        <f>IF(A168=A167,D167,"")</f>
        <v>Javier Medina</v>
      </c>
      <c r="E168" s="31" t="str">
        <f t="shared" si="23"/>
        <v>50Javier Medina2</v>
      </c>
      <c r="I168" s="31" t="str">
        <f t="shared" si="24"/>
        <v xml:space="preserve">Service completo del vehiculo </v>
      </c>
      <c r="K168" s="26" t="s">
        <v>123</v>
      </c>
      <c r="P168" s="27">
        <v>1</v>
      </c>
      <c r="Q168" s="34">
        <v>5800</v>
      </c>
      <c r="R168" s="36">
        <f t="shared" si="22"/>
        <v>5800</v>
      </c>
      <c r="U168" s="39">
        <f t="shared" si="20"/>
        <v>0</v>
      </c>
      <c r="V168" s="41">
        <f t="shared" si="25"/>
        <v>38000</v>
      </c>
    </row>
    <row r="169" spans="1:22" x14ac:dyDescent="0.25">
      <c r="A169" s="47">
        <v>50</v>
      </c>
      <c r="B169" s="31">
        <f t="shared" si="21"/>
        <v>3</v>
      </c>
      <c r="C169" s="48">
        <f>IF(A169=A168,C168,"")</f>
        <v>45204</v>
      </c>
      <c r="D169" s="47" t="str">
        <f>IF(A169=A168,D168,"")</f>
        <v>Javier Medina</v>
      </c>
      <c r="E169" s="31" t="str">
        <f t="shared" si="23"/>
        <v>50Javier Medina3</v>
      </c>
      <c r="I169" s="31" t="str">
        <f t="shared" si="24"/>
        <v xml:space="preserve">Service completo del vehiculo  </v>
      </c>
      <c r="K169" s="26" t="s">
        <v>150</v>
      </c>
      <c r="P169" s="27">
        <v>1</v>
      </c>
      <c r="Q169" s="34">
        <v>3600</v>
      </c>
      <c r="R169" s="36">
        <f t="shared" si="22"/>
        <v>3600</v>
      </c>
      <c r="U169" s="39">
        <f t="shared" si="20"/>
        <v>0</v>
      </c>
      <c r="V169" s="41">
        <f t="shared" si="25"/>
        <v>38000</v>
      </c>
    </row>
    <row r="170" spans="1:22" x14ac:dyDescent="0.25">
      <c r="A170" s="47">
        <v>50</v>
      </c>
      <c r="B170" s="31">
        <f t="shared" si="21"/>
        <v>4</v>
      </c>
      <c r="C170" s="48">
        <f>IF(A170=A169,C169,"")</f>
        <v>45204</v>
      </c>
      <c r="D170" s="47" t="str">
        <f>IF(A170=A169,D169,"")</f>
        <v>Javier Medina</v>
      </c>
      <c r="E170" s="31" t="str">
        <f t="shared" si="23"/>
        <v>50Javier Medina4</v>
      </c>
      <c r="I170" s="31" t="str">
        <f t="shared" si="24"/>
        <v xml:space="preserve">Service completo del vehiculo   </v>
      </c>
      <c r="K170" s="26" t="s">
        <v>90</v>
      </c>
      <c r="P170" s="27">
        <v>5</v>
      </c>
      <c r="Q170" s="34">
        <v>6750</v>
      </c>
      <c r="R170" s="36">
        <f t="shared" si="22"/>
        <v>33750</v>
      </c>
      <c r="U170" s="39">
        <f t="shared" si="20"/>
        <v>0</v>
      </c>
      <c r="V170" s="41">
        <f t="shared" si="25"/>
        <v>38000</v>
      </c>
    </row>
    <row r="171" spans="1:22" x14ac:dyDescent="0.25">
      <c r="A171" s="47">
        <v>51</v>
      </c>
      <c r="B171" s="31">
        <f t="shared" si="21"/>
        <v>1</v>
      </c>
      <c r="C171" s="48">
        <v>45208</v>
      </c>
      <c r="D171" s="47" t="s">
        <v>241</v>
      </c>
      <c r="E171" s="31" t="str">
        <f t="shared" si="23"/>
        <v>51Ines Lopez1</v>
      </c>
      <c r="G171" s="47" t="s">
        <v>242</v>
      </c>
      <c r="H171" s="26" t="s">
        <v>239</v>
      </c>
      <c r="I171" s="31" t="str">
        <f t="shared" si="24"/>
        <v>Service completo del vehiculo</v>
      </c>
      <c r="K171" s="26" t="s">
        <v>240</v>
      </c>
      <c r="P171" s="27">
        <v>1</v>
      </c>
      <c r="Q171" s="34">
        <v>4800</v>
      </c>
      <c r="R171" s="36">
        <f t="shared" si="22"/>
        <v>4800</v>
      </c>
      <c r="S171" s="6">
        <v>1</v>
      </c>
      <c r="T171" s="7">
        <v>39600</v>
      </c>
      <c r="U171" s="39">
        <f t="shared" si="20"/>
        <v>39600</v>
      </c>
      <c r="V171" s="41">
        <f t="shared" si="25"/>
        <v>39600</v>
      </c>
    </row>
    <row r="172" spans="1:22" x14ac:dyDescent="0.25">
      <c r="A172" s="47">
        <v>51</v>
      </c>
      <c r="B172" s="31">
        <f t="shared" si="21"/>
        <v>2</v>
      </c>
      <c r="C172" s="48">
        <f>IF(A172=A171,C171,"")</f>
        <v>45208</v>
      </c>
      <c r="D172" s="47" t="str">
        <f>IF(A172=A171,D171,"")</f>
        <v>Ines Lopez</v>
      </c>
      <c r="E172" s="31" t="str">
        <f t="shared" si="23"/>
        <v>51Ines Lopez2</v>
      </c>
      <c r="I172" s="31" t="str">
        <f t="shared" si="24"/>
        <v xml:space="preserve">Service completo del vehiculo </v>
      </c>
      <c r="K172" s="26" t="s">
        <v>124</v>
      </c>
      <c r="P172" s="27">
        <v>1</v>
      </c>
      <c r="Q172" s="34">
        <v>3400</v>
      </c>
      <c r="R172" s="36">
        <f t="shared" si="22"/>
        <v>3400</v>
      </c>
      <c r="U172" s="39">
        <f t="shared" si="20"/>
        <v>0</v>
      </c>
      <c r="V172" s="41">
        <f t="shared" si="25"/>
        <v>39600</v>
      </c>
    </row>
    <row r="173" spans="1:22" x14ac:dyDescent="0.25">
      <c r="A173" s="47">
        <v>51</v>
      </c>
      <c r="B173" s="31">
        <f t="shared" si="21"/>
        <v>3</v>
      </c>
      <c r="C173" s="48">
        <f>IF(A173=A172,C172,"")</f>
        <v>45208</v>
      </c>
      <c r="D173" s="47" t="str">
        <f>IF(A173=A172,D172,"")</f>
        <v>Ines Lopez</v>
      </c>
      <c r="E173" s="31" t="str">
        <f t="shared" si="23"/>
        <v>51Ines Lopez3</v>
      </c>
      <c r="I173" s="31" t="str">
        <f t="shared" si="24"/>
        <v xml:space="preserve">Service completo del vehiculo  </v>
      </c>
      <c r="K173" s="26" t="s">
        <v>108</v>
      </c>
      <c r="P173" s="27">
        <v>4</v>
      </c>
      <c r="Q173" s="34">
        <v>3750</v>
      </c>
      <c r="R173" s="36">
        <f t="shared" si="22"/>
        <v>15000</v>
      </c>
      <c r="U173" s="39">
        <f t="shared" si="20"/>
        <v>0</v>
      </c>
      <c r="V173" s="41">
        <f t="shared" si="25"/>
        <v>39600</v>
      </c>
    </row>
    <row r="174" spans="1:22" x14ac:dyDescent="0.25">
      <c r="A174" s="47">
        <v>52</v>
      </c>
      <c r="B174" s="31">
        <f t="shared" si="21"/>
        <v>1</v>
      </c>
      <c r="C174" s="48">
        <v>45209</v>
      </c>
      <c r="D174" s="47" t="s">
        <v>243</v>
      </c>
      <c r="E174" s="31" t="str">
        <f t="shared" si="23"/>
        <v>52Lucas1</v>
      </c>
      <c r="G174" s="47" t="s">
        <v>244</v>
      </c>
      <c r="H174" s="26" t="s">
        <v>245</v>
      </c>
      <c r="I174" s="31" t="str">
        <f t="shared" si="24"/>
        <v xml:space="preserve">Service completo del vehiculo. </v>
      </c>
      <c r="K174" s="26" t="s">
        <v>90</v>
      </c>
      <c r="P174" s="27">
        <v>5</v>
      </c>
      <c r="Q174" s="34">
        <v>6750</v>
      </c>
      <c r="R174" s="36">
        <f t="shared" si="22"/>
        <v>33750</v>
      </c>
      <c r="S174" s="6">
        <v>1</v>
      </c>
      <c r="T174" s="7">
        <v>45450</v>
      </c>
      <c r="U174" s="39">
        <f t="shared" si="20"/>
        <v>45450</v>
      </c>
      <c r="V174" s="41">
        <f t="shared" si="25"/>
        <v>45450</v>
      </c>
    </row>
    <row r="175" spans="1:22" x14ac:dyDescent="0.25">
      <c r="A175" s="47">
        <v>52</v>
      </c>
      <c r="B175" s="31">
        <f t="shared" si="21"/>
        <v>2</v>
      </c>
      <c r="C175" s="48">
        <f>IF(A175=A174,C174,"")</f>
        <v>45209</v>
      </c>
      <c r="D175" s="47" t="str">
        <f>IF(A175=A174,D174,"")</f>
        <v>Lucas</v>
      </c>
      <c r="E175" s="31" t="str">
        <f t="shared" si="23"/>
        <v>52Lucas2</v>
      </c>
      <c r="H175" s="26" t="s">
        <v>246</v>
      </c>
      <c r="I175" s="31" t="str">
        <f t="shared" si="24"/>
        <v>Service completo del vehiculo.                                                                          El servicio abarca el control de mas de 70 puntos del automovil.</v>
      </c>
      <c r="K175" s="26" t="s">
        <v>240</v>
      </c>
      <c r="P175" s="27">
        <v>1</v>
      </c>
      <c r="Q175" s="34">
        <v>4800</v>
      </c>
      <c r="R175" s="36">
        <f t="shared" si="22"/>
        <v>4800</v>
      </c>
      <c r="U175" s="39">
        <f t="shared" si="20"/>
        <v>0</v>
      </c>
      <c r="V175" s="41">
        <f t="shared" si="25"/>
        <v>45450</v>
      </c>
    </row>
    <row r="176" spans="1:22" x14ac:dyDescent="0.25">
      <c r="A176" s="47">
        <v>52</v>
      </c>
      <c r="B176" s="31">
        <f t="shared" si="21"/>
        <v>3</v>
      </c>
      <c r="C176" s="48">
        <f>IF(A176=A175,C175,"")</f>
        <v>45209</v>
      </c>
      <c r="D176" s="47" t="str">
        <f>IF(A176=A175,D175,"")</f>
        <v>Lucas</v>
      </c>
      <c r="E176" s="31" t="str">
        <f t="shared" si="23"/>
        <v>52Lucas3</v>
      </c>
      <c r="I176" s="31" t="str">
        <f t="shared" si="24"/>
        <v xml:space="preserve">Service completo del vehiculo.                                                                          El servicio abarca el control de mas de 70 puntos del automovil. </v>
      </c>
      <c r="K176" s="26" t="s">
        <v>123</v>
      </c>
      <c r="P176" s="27">
        <v>1</v>
      </c>
      <c r="Q176" s="34">
        <v>9800</v>
      </c>
      <c r="R176" s="36">
        <f t="shared" si="22"/>
        <v>9800</v>
      </c>
      <c r="U176" s="39">
        <f t="shared" si="20"/>
        <v>0</v>
      </c>
      <c r="V176" s="41">
        <f t="shared" si="25"/>
        <v>45450</v>
      </c>
    </row>
    <row r="177" spans="1:22" x14ac:dyDescent="0.25">
      <c r="A177" s="47">
        <v>52</v>
      </c>
      <c r="B177" s="31">
        <f t="shared" si="21"/>
        <v>4</v>
      </c>
      <c r="C177" s="48">
        <f>IF(A177=A176,C176,"")</f>
        <v>45209</v>
      </c>
      <c r="D177" s="47" t="str">
        <f>IF(A177=A176,D176,"")</f>
        <v>Lucas</v>
      </c>
      <c r="E177" s="31" t="str">
        <f t="shared" si="23"/>
        <v>52Lucas4</v>
      </c>
      <c r="I177" s="31" t="str">
        <f t="shared" si="24"/>
        <v xml:space="preserve">Service completo del vehiculo.                                                                          El servicio abarca el control de mas de 70 puntos del automovil.  </v>
      </c>
      <c r="K177" s="26" t="s">
        <v>124</v>
      </c>
      <c r="P177" s="27">
        <v>1</v>
      </c>
      <c r="Q177" s="34">
        <v>4000</v>
      </c>
      <c r="R177" s="36">
        <f t="shared" si="22"/>
        <v>4000</v>
      </c>
      <c r="U177" s="39">
        <f t="shared" si="20"/>
        <v>0</v>
      </c>
      <c r="V177" s="41">
        <f t="shared" si="25"/>
        <v>45450</v>
      </c>
    </row>
    <row r="178" spans="1:22" x14ac:dyDescent="0.25">
      <c r="A178" s="47">
        <v>53</v>
      </c>
      <c r="B178" s="31">
        <f t="shared" si="21"/>
        <v>1</v>
      </c>
      <c r="C178" s="48">
        <v>45209</v>
      </c>
      <c r="D178" s="47" t="s">
        <v>247</v>
      </c>
      <c r="E178" s="31" t="str">
        <f t="shared" si="23"/>
        <v>53Transporte Palloni1</v>
      </c>
      <c r="G178" s="47" t="s">
        <v>249</v>
      </c>
      <c r="H178" s="26" t="s">
        <v>262</v>
      </c>
      <c r="I178" s="31" t="str">
        <f t="shared" si="24"/>
        <v>Cambio de aceite y filtros. Distribucion                                                                                    Precios a dólar Blue</v>
      </c>
      <c r="K178" s="26" t="s">
        <v>250</v>
      </c>
      <c r="P178" s="27">
        <v>1</v>
      </c>
      <c r="Q178" s="34">
        <v>33280</v>
      </c>
      <c r="R178" s="36">
        <f t="shared" si="22"/>
        <v>33280</v>
      </c>
      <c r="U178" s="39">
        <f t="shared" si="20"/>
        <v>0</v>
      </c>
      <c r="V178" s="41">
        <f t="shared" si="25"/>
        <v>0</v>
      </c>
    </row>
    <row r="179" spans="1:22" x14ac:dyDescent="0.25">
      <c r="A179" s="47">
        <v>53</v>
      </c>
      <c r="B179" s="31">
        <f t="shared" si="21"/>
        <v>2</v>
      </c>
      <c r="C179" s="48">
        <f>IF(A179=A178,C178,"")</f>
        <v>45209</v>
      </c>
      <c r="D179" s="47" t="str">
        <f>IF(A179=A178,D178,"")</f>
        <v>Transporte Palloni</v>
      </c>
      <c r="E179" s="31" t="str">
        <f t="shared" si="23"/>
        <v>53Transporte Palloni2</v>
      </c>
      <c r="I179" s="31" t="str">
        <f t="shared" si="24"/>
        <v xml:space="preserve">Cambio de aceite y filtros. Distribucion                                                                                    Precios a dólar Blue </v>
      </c>
      <c r="K179" s="26" t="s">
        <v>251</v>
      </c>
      <c r="P179" s="27">
        <v>1</v>
      </c>
      <c r="Q179" s="34">
        <v>33280</v>
      </c>
      <c r="R179" s="36">
        <f t="shared" si="22"/>
        <v>33280</v>
      </c>
      <c r="U179" s="39">
        <f t="shared" si="20"/>
        <v>0</v>
      </c>
      <c r="V179" s="41">
        <f t="shared" si="25"/>
        <v>0</v>
      </c>
    </row>
    <row r="180" spans="1:22" x14ac:dyDescent="0.25">
      <c r="A180" s="47">
        <v>53</v>
      </c>
      <c r="B180" s="31">
        <f t="shared" si="21"/>
        <v>3</v>
      </c>
      <c r="C180" s="48">
        <f>IF(A180=A179,C179,"")</f>
        <v>45209</v>
      </c>
      <c r="D180" s="47" t="str">
        <f>IF(A180=A179,D179,"")</f>
        <v>Transporte Palloni</v>
      </c>
      <c r="E180" s="31" t="str">
        <f t="shared" si="23"/>
        <v>53Transporte Palloni3</v>
      </c>
      <c r="I180" s="31" t="str">
        <f t="shared" si="24"/>
        <v xml:space="preserve">Cambio de aceite y filtros. Distribucion                                                                                    Precios a dólar Blue  </v>
      </c>
      <c r="K180" s="26" t="s">
        <v>252</v>
      </c>
      <c r="P180" s="27">
        <v>1</v>
      </c>
      <c r="Q180" s="34">
        <v>33280</v>
      </c>
      <c r="R180" s="36">
        <f t="shared" si="22"/>
        <v>33280</v>
      </c>
      <c r="U180" s="39">
        <f t="shared" si="20"/>
        <v>0</v>
      </c>
      <c r="V180" s="41">
        <f t="shared" si="25"/>
        <v>0</v>
      </c>
    </row>
    <row r="181" spans="1:22" x14ac:dyDescent="0.25">
      <c r="A181" s="47">
        <v>53</v>
      </c>
      <c r="B181" s="31">
        <f t="shared" si="21"/>
        <v>4</v>
      </c>
      <c r="C181" s="48">
        <f>IF(A181=A180,C180,"")</f>
        <v>45209</v>
      </c>
      <c r="D181" s="47" t="str">
        <f>IF(A181=A180,D180,"")</f>
        <v>Transporte Palloni</v>
      </c>
      <c r="E181" s="31" t="str">
        <f t="shared" si="23"/>
        <v>53Transporte Palloni4</v>
      </c>
      <c r="I181" s="31" t="str">
        <f t="shared" si="24"/>
        <v xml:space="preserve">Cambio de aceite y filtros. Distribucion                                                                                    Precios a dólar Blue   </v>
      </c>
      <c r="K181" s="26" t="s">
        <v>253</v>
      </c>
      <c r="P181" s="27">
        <v>1</v>
      </c>
      <c r="Q181" s="34">
        <v>52000</v>
      </c>
      <c r="R181" s="36">
        <f t="shared" si="22"/>
        <v>52000</v>
      </c>
      <c r="U181" s="39">
        <f t="shared" si="20"/>
        <v>0</v>
      </c>
      <c r="V181" s="41">
        <f t="shared" si="25"/>
        <v>0</v>
      </c>
    </row>
    <row r="182" spans="1:22" x14ac:dyDescent="0.25">
      <c r="A182" s="47">
        <v>54</v>
      </c>
      <c r="B182" s="31">
        <f t="shared" si="21"/>
        <v>1</v>
      </c>
      <c r="C182" s="48">
        <v>45209</v>
      </c>
      <c r="D182" s="47" t="s">
        <v>247</v>
      </c>
      <c r="E182" s="31" t="str">
        <f t="shared" si="23"/>
        <v>54Transporte Palloni1</v>
      </c>
      <c r="G182" s="47" t="s">
        <v>254</v>
      </c>
      <c r="H182" s="26" t="s">
        <v>261</v>
      </c>
      <c r="I182" s="31" t="str">
        <f t="shared" si="24"/>
        <v>Cambio de aceite y filtros. Distribucion                                                                      Precios a Dólar Blue</v>
      </c>
      <c r="K182" s="26" t="s">
        <v>255</v>
      </c>
      <c r="P182" s="27">
        <v>1</v>
      </c>
      <c r="Q182" s="34">
        <v>47840</v>
      </c>
      <c r="R182" s="36">
        <f t="shared" si="22"/>
        <v>47840</v>
      </c>
      <c r="U182" s="39">
        <f t="shared" si="20"/>
        <v>0</v>
      </c>
      <c r="V182" s="41">
        <f t="shared" si="25"/>
        <v>0</v>
      </c>
    </row>
    <row r="183" spans="1:22" x14ac:dyDescent="0.25">
      <c r="A183" s="47">
        <v>54</v>
      </c>
      <c r="B183" s="31">
        <f t="shared" si="21"/>
        <v>2</v>
      </c>
      <c r="C183" s="48">
        <f t="shared" ref="C183:C188" si="26">IF(A183=A182,C182,"")</f>
        <v>45209</v>
      </c>
      <c r="D183" s="47" t="str">
        <f t="shared" ref="D183:D188" si="27">IF(A183=A182,D182,"")</f>
        <v>Transporte Palloni</v>
      </c>
      <c r="E183" s="31" t="str">
        <f t="shared" si="23"/>
        <v>54Transporte Palloni2</v>
      </c>
      <c r="I183" s="31" t="str">
        <f t="shared" si="24"/>
        <v xml:space="preserve">Cambio de aceite y filtros. Distribucion                                                                      Precios a Dólar Blue </v>
      </c>
      <c r="K183" s="26" t="s">
        <v>256</v>
      </c>
      <c r="P183" s="27">
        <v>1</v>
      </c>
      <c r="Q183" s="34">
        <v>47840</v>
      </c>
      <c r="R183" s="36">
        <f t="shared" si="22"/>
        <v>47840</v>
      </c>
      <c r="U183" s="39">
        <f t="shared" si="20"/>
        <v>0</v>
      </c>
      <c r="V183" s="41">
        <f t="shared" si="25"/>
        <v>0</v>
      </c>
    </row>
    <row r="184" spans="1:22" x14ac:dyDescent="0.25">
      <c r="A184" s="47">
        <v>54</v>
      </c>
      <c r="B184" s="31">
        <f t="shared" si="21"/>
        <v>3</v>
      </c>
      <c r="C184" s="48">
        <f t="shared" si="26"/>
        <v>45209</v>
      </c>
      <c r="D184" s="47" t="str">
        <f t="shared" si="27"/>
        <v>Transporte Palloni</v>
      </c>
      <c r="E184" s="31" t="str">
        <f t="shared" si="23"/>
        <v>54Transporte Palloni3</v>
      </c>
      <c r="I184" s="31" t="str">
        <f t="shared" si="24"/>
        <v xml:space="preserve">Cambio de aceite y filtros. Distribucion                                                                      Precios a Dólar Blue  </v>
      </c>
      <c r="K184" s="26" t="s">
        <v>257</v>
      </c>
      <c r="P184" s="27">
        <v>1</v>
      </c>
      <c r="Q184" s="34">
        <v>47840</v>
      </c>
      <c r="R184" s="36">
        <f t="shared" si="22"/>
        <v>47840</v>
      </c>
      <c r="U184" s="39">
        <f t="shared" si="20"/>
        <v>0</v>
      </c>
      <c r="V184" s="41">
        <f t="shared" si="25"/>
        <v>0</v>
      </c>
    </row>
    <row r="185" spans="1:22" x14ac:dyDescent="0.25">
      <c r="A185" s="47">
        <v>54</v>
      </c>
      <c r="B185" s="31">
        <f t="shared" si="21"/>
        <v>4</v>
      </c>
      <c r="C185" s="48">
        <f t="shared" si="26"/>
        <v>45209</v>
      </c>
      <c r="D185" s="47" t="str">
        <f t="shared" si="27"/>
        <v>Transporte Palloni</v>
      </c>
      <c r="E185" s="31" t="str">
        <f t="shared" si="23"/>
        <v>54Transporte Palloni4</v>
      </c>
      <c r="I185" s="31" t="str">
        <f t="shared" si="24"/>
        <v xml:space="preserve">Cambio de aceite y filtros. Distribucion                                                                      Precios a Dólar Blue   </v>
      </c>
      <c r="K185" s="26" t="s">
        <v>258</v>
      </c>
      <c r="P185" s="27">
        <v>1</v>
      </c>
      <c r="Q185" s="34">
        <v>47840</v>
      </c>
      <c r="R185" s="36">
        <f t="shared" si="22"/>
        <v>47840</v>
      </c>
      <c r="U185" s="39">
        <f t="shared" si="20"/>
        <v>0</v>
      </c>
      <c r="V185" s="41">
        <f t="shared" si="25"/>
        <v>0</v>
      </c>
    </row>
    <row r="186" spans="1:22" x14ac:dyDescent="0.25">
      <c r="A186" s="47">
        <v>54</v>
      </c>
      <c r="B186" s="31">
        <f t="shared" si="21"/>
        <v>5</v>
      </c>
      <c r="C186" s="48">
        <f t="shared" si="26"/>
        <v>45209</v>
      </c>
      <c r="D186" s="47" t="str">
        <f t="shared" si="27"/>
        <v>Transporte Palloni</v>
      </c>
      <c r="E186" s="31" t="str">
        <f t="shared" si="23"/>
        <v>54Transporte Palloni5</v>
      </c>
      <c r="I186" s="31" t="str">
        <f t="shared" si="24"/>
        <v xml:space="preserve">Cambio de aceite y filtros. Distribucion                                                                      Precios a Dólar Blue    </v>
      </c>
      <c r="K186" s="26" t="s">
        <v>259</v>
      </c>
      <c r="P186" s="27">
        <v>1</v>
      </c>
      <c r="Q186" s="34">
        <v>47840</v>
      </c>
      <c r="R186" s="36">
        <f t="shared" si="22"/>
        <v>47840</v>
      </c>
      <c r="U186" s="39">
        <f t="shared" si="20"/>
        <v>0</v>
      </c>
      <c r="V186" s="41">
        <f t="shared" si="25"/>
        <v>0</v>
      </c>
    </row>
    <row r="187" spans="1:22" x14ac:dyDescent="0.25">
      <c r="A187" s="47">
        <v>54</v>
      </c>
      <c r="B187" s="31">
        <f t="shared" si="21"/>
        <v>6</v>
      </c>
      <c r="C187" s="48">
        <f t="shared" si="26"/>
        <v>45209</v>
      </c>
      <c r="D187" s="47" t="str">
        <f t="shared" si="27"/>
        <v>Transporte Palloni</v>
      </c>
      <c r="E187" s="31" t="str">
        <f t="shared" si="23"/>
        <v>54Transporte Palloni6</v>
      </c>
      <c r="I187" s="31" t="str">
        <f t="shared" si="24"/>
        <v xml:space="preserve">Cambio de aceite y filtros. Distribucion                                                                      Precios a Dólar Blue     </v>
      </c>
      <c r="K187" s="26" t="s">
        <v>260</v>
      </c>
      <c r="P187" s="27">
        <v>1</v>
      </c>
      <c r="Q187" s="34">
        <v>65520</v>
      </c>
      <c r="R187" s="36">
        <f t="shared" si="22"/>
        <v>65520</v>
      </c>
      <c r="U187" s="39">
        <f t="shared" si="20"/>
        <v>0</v>
      </c>
      <c r="V187" s="41">
        <f t="shared" si="25"/>
        <v>0</v>
      </c>
    </row>
    <row r="188" spans="1:22" x14ac:dyDescent="0.25">
      <c r="A188" s="47">
        <v>54</v>
      </c>
      <c r="B188" s="31">
        <f t="shared" si="21"/>
        <v>7</v>
      </c>
      <c r="C188" s="48">
        <f t="shared" si="26"/>
        <v>45209</v>
      </c>
      <c r="D188" s="47" t="str">
        <f t="shared" si="27"/>
        <v>Transporte Palloni</v>
      </c>
      <c r="E188" s="31" t="str">
        <f t="shared" si="23"/>
        <v>54Transporte Palloni7</v>
      </c>
      <c r="I188" s="31" t="str">
        <f t="shared" si="24"/>
        <v xml:space="preserve">Cambio de aceite y filtros. Distribucion                                                                      Precios a Dólar Blue      </v>
      </c>
      <c r="K188" s="26" t="s">
        <v>248</v>
      </c>
      <c r="P188" s="27">
        <v>1</v>
      </c>
      <c r="Q188" s="34">
        <v>93600</v>
      </c>
      <c r="R188" s="36">
        <f t="shared" si="22"/>
        <v>93600</v>
      </c>
      <c r="U188" s="39">
        <f t="shared" si="20"/>
        <v>0</v>
      </c>
      <c r="V188" s="41">
        <f t="shared" si="25"/>
        <v>0</v>
      </c>
    </row>
    <row r="189" spans="1:22" x14ac:dyDescent="0.25">
      <c r="A189" s="47">
        <v>55</v>
      </c>
      <c r="B189" s="31">
        <f t="shared" si="21"/>
        <v>1</v>
      </c>
      <c r="C189" s="48">
        <v>45210</v>
      </c>
      <c r="D189" s="47" t="s">
        <v>263</v>
      </c>
      <c r="E189" s="31" t="str">
        <f t="shared" si="23"/>
        <v>55Transporte palloni1</v>
      </c>
      <c r="H189" s="26" t="s">
        <v>264</v>
      </c>
      <c r="I189" s="31" t="str">
        <f t="shared" si="24"/>
        <v>Cambio kit de distribucion</v>
      </c>
      <c r="K189" s="26" t="s">
        <v>265</v>
      </c>
      <c r="P189" s="27">
        <v>1</v>
      </c>
      <c r="Q189" s="34">
        <v>98200</v>
      </c>
      <c r="R189" s="36">
        <f t="shared" si="22"/>
        <v>98200</v>
      </c>
      <c r="U189" s="39">
        <f t="shared" si="20"/>
        <v>0</v>
      </c>
      <c r="V189" s="41">
        <f t="shared" si="25"/>
        <v>0</v>
      </c>
    </row>
    <row r="190" spans="1:22" x14ac:dyDescent="0.25">
      <c r="A190" s="47">
        <v>55</v>
      </c>
      <c r="B190" s="31">
        <f t="shared" si="21"/>
        <v>2</v>
      </c>
      <c r="C190" s="48">
        <f>IF(A190=A189,C189,"")</f>
        <v>45210</v>
      </c>
      <c r="D190" s="47" t="str">
        <f>IF(A190=A189,D189,"")</f>
        <v>Transporte palloni</v>
      </c>
      <c r="E190" s="31" t="str">
        <f t="shared" si="23"/>
        <v>55Transporte palloni2</v>
      </c>
      <c r="I190" s="31" t="str">
        <f t="shared" si="24"/>
        <v xml:space="preserve">Cambio kit de distribucion </v>
      </c>
      <c r="K190" s="26" t="s">
        <v>266</v>
      </c>
      <c r="P190" s="27">
        <v>1</v>
      </c>
      <c r="Q190" s="34">
        <v>42200</v>
      </c>
      <c r="R190" s="36">
        <f t="shared" si="22"/>
        <v>42200</v>
      </c>
      <c r="U190" s="39">
        <f t="shared" si="20"/>
        <v>0</v>
      </c>
      <c r="V190" s="41">
        <f t="shared" si="25"/>
        <v>0</v>
      </c>
    </row>
    <row r="191" spans="1:22" x14ac:dyDescent="0.25">
      <c r="A191" s="47">
        <v>55</v>
      </c>
      <c r="B191" s="31">
        <f t="shared" si="21"/>
        <v>3</v>
      </c>
      <c r="C191" s="48">
        <f>IF(A191=A190,C190,"")</f>
        <v>45210</v>
      </c>
      <c r="D191" s="47" t="str">
        <f>IF(A191=A190,D190,"")</f>
        <v>Transporte palloni</v>
      </c>
      <c r="E191" s="31" t="str">
        <f t="shared" si="23"/>
        <v>55Transporte palloni3</v>
      </c>
      <c r="I191" s="31" t="str">
        <f t="shared" si="24"/>
        <v xml:space="preserve">Cambio kit de distribucion  </v>
      </c>
      <c r="K191" s="26" t="s">
        <v>267</v>
      </c>
      <c r="P191" s="27">
        <v>1</v>
      </c>
      <c r="Q191" s="34">
        <v>29500</v>
      </c>
      <c r="R191" s="36">
        <f t="shared" si="22"/>
        <v>29500</v>
      </c>
      <c r="U191" s="39">
        <f t="shared" si="20"/>
        <v>0</v>
      </c>
      <c r="V191" s="41">
        <f t="shared" si="25"/>
        <v>0</v>
      </c>
    </row>
    <row r="192" spans="1:22" x14ac:dyDescent="0.25">
      <c r="A192" s="47">
        <v>55</v>
      </c>
      <c r="B192" s="31">
        <f t="shared" si="21"/>
        <v>4</v>
      </c>
      <c r="C192" s="48">
        <f>IF(A192=A191,C191,"")</f>
        <v>45210</v>
      </c>
      <c r="D192" s="47" t="str">
        <f>IF(A192=A191,D191,"")</f>
        <v>Transporte palloni</v>
      </c>
      <c r="E192" s="31" t="str">
        <f t="shared" si="23"/>
        <v>55Transporte palloni4</v>
      </c>
      <c r="I192" s="31" t="str">
        <f t="shared" si="24"/>
        <v xml:space="preserve">Cambio kit de distribucion   </v>
      </c>
      <c r="K192" s="26" t="s">
        <v>268</v>
      </c>
      <c r="P192" s="27">
        <v>1</v>
      </c>
      <c r="Q192" s="34">
        <v>108000</v>
      </c>
      <c r="R192" s="36">
        <f t="shared" si="22"/>
        <v>108000</v>
      </c>
      <c r="U192" s="39">
        <f t="shared" si="20"/>
        <v>0</v>
      </c>
      <c r="V192" s="41">
        <f t="shared" si="25"/>
        <v>0</v>
      </c>
    </row>
    <row r="193" spans="1:22" x14ac:dyDescent="0.25">
      <c r="A193" s="47">
        <v>56</v>
      </c>
      <c r="B193" s="31">
        <f t="shared" si="21"/>
        <v>1</v>
      </c>
      <c r="C193" s="48">
        <v>45210</v>
      </c>
      <c r="D193" s="47" t="s">
        <v>247</v>
      </c>
      <c r="E193" s="31" t="str">
        <f t="shared" si="23"/>
        <v>56Transporte Palloni1</v>
      </c>
      <c r="H193" s="26" t="s">
        <v>269</v>
      </c>
      <c r="I193" s="31" t="str">
        <f t="shared" si="24"/>
        <v>Cambio kit de filtros</v>
      </c>
      <c r="K193" s="26" t="s">
        <v>265</v>
      </c>
      <c r="P193" s="27">
        <v>1</v>
      </c>
      <c r="Q193" s="34">
        <v>9500</v>
      </c>
      <c r="R193" s="36">
        <f t="shared" si="22"/>
        <v>9500</v>
      </c>
      <c r="U193" s="39">
        <f t="shared" si="20"/>
        <v>0</v>
      </c>
      <c r="V193" s="41">
        <f t="shared" si="25"/>
        <v>0</v>
      </c>
    </row>
    <row r="194" spans="1:22" x14ac:dyDescent="0.25">
      <c r="A194" s="47">
        <v>56</v>
      </c>
      <c r="B194" s="31">
        <f t="shared" si="21"/>
        <v>2</v>
      </c>
      <c r="C194" s="48">
        <f>IF(A194=A193,C193,"")</f>
        <v>45210</v>
      </c>
      <c r="D194" s="47" t="str">
        <f>IF(A194=A193,D193,"")</f>
        <v>Transporte Palloni</v>
      </c>
      <c r="E194" s="31" t="str">
        <f t="shared" si="23"/>
        <v>56Transporte Palloni2</v>
      </c>
      <c r="I194" s="31" t="str">
        <f t="shared" si="24"/>
        <v xml:space="preserve">Cambio kit de filtros </v>
      </c>
      <c r="K194" s="26" t="s">
        <v>266</v>
      </c>
      <c r="P194" s="27">
        <v>1</v>
      </c>
      <c r="Q194" s="34">
        <v>9500</v>
      </c>
      <c r="R194" s="36">
        <f t="shared" si="22"/>
        <v>9500</v>
      </c>
      <c r="U194" s="39">
        <f t="shared" si="20"/>
        <v>0</v>
      </c>
      <c r="V194" s="41">
        <f t="shared" si="25"/>
        <v>0</v>
      </c>
    </row>
    <row r="195" spans="1:22" x14ac:dyDescent="0.25">
      <c r="A195" s="47">
        <v>56</v>
      </c>
      <c r="B195" s="31">
        <f t="shared" si="21"/>
        <v>3</v>
      </c>
      <c r="C195" s="48">
        <f>IF(A195=A194,C194,"")</f>
        <v>45210</v>
      </c>
      <c r="D195" s="47" t="str">
        <f>IF(A195=A194,D194,"")</f>
        <v>Transporte Palloni</v>
      </c>
      <c r="E195" s="31" t="str">
        <f t="shared" si="23"/>
        <v>56Transporte Palloni3</v>
      </c>
      <c r="I195" s="31" t="str">
        <f t="shared" si="24"/>
        <v xml:space="preserve">Cambio kit de filtros  </v>
      </c>
      <c r="K195" s="26" t="s">
        <v>267</v>
      </c>
      <c r="P195" s="27">
        <v>1</v>
      </c>
      <c r="Q195" s="34">
        <v>9500</v>
      </c>
      <c r="R195" s="36">
        <f t="shared" si="22"/>
        <v>9500</v>
      </c>
      <c r="U195" s="39">
        <f t="shared" si="20"/>
        <v>0</v>
      </c>
      <c r="V195" s="41">
        <f t="shared" si="25"/>
        <v>0</v>
      </c>
    </row>
    <row r="196" spans="1:22" x14ac:dyDescent="0.25">
      <c r="A196" s="47">
        <v>56</v>
      </c>
      <c r="B196" s="31">
        <f t="shared" si="21"/>
        <v>4</v>
      </c>
      <c r="C196" s="48">
        <f>IF(A196=A195,C195,"")</f>
        <v>45210</v>
      </c>
      <c r="D196" s="47" t="str">
        <f>IF(A196=A195,D195,"")</f>
        <v>Transporte Palloni</v>
      </c>
      <c r="E196" s="31" t="str">
        <f t="shared" si="23"/>
        <v>56Transporte Palloni4</v>
      </c>
      <c r="I196" s="31" t="str">
        <f t="shared" si="24"/>
        <v xml:space="preserve">Cambio kit de filtros   </v>
      </c>
      <c r="K196" s="26" t="s">
        <v>271</v>
      </c>
      <c r="P196" s="27">
        <v>1</v>
      </c>
      <c r="Q196" s="34">
        <v>30800</v>
      </c>
      <c r="R196" s="36">
        <f t="shared" si="22"/>
        <v>30800</v>
      </c>
      <c r="U196" s="39">
        <f t="shared" ref="U196:U259" si="28">+T196*S196</f>
        <v>0</v>
      </c>
      <c r="V196" s="41">
        <f t="shared" si="25"/>
        <v>0</v>
      </c>
    </row>
    <row r="197" spans="1:22" x14ac:dyDescent="0.25">
      <c r="A197" s="47">
        <v>56</v>
      </c>
      <c r="B197" s="31">
        <f t="shared" ref="B197:B260" si="29">IF(A197=A196,B196+1,1)</f>
        <v>5</v>
      </c>
      <c r="C197" s="48">
        <f>IF(A197=A196,C196,"")</f>
        <v>45210</v>
      </c>
      <c r="D197" s="47" t="str">
        <f>IF(A197=A196,D196,"")</f>
        <v>Transporte Palloni</v>
      </c>
      <c r="E197" s="31" t="str">
        <f t="shared" si="23"/>
        <v>56Transporte Palloni5</v>
      </c>
      <c r="I197" s="31" t="str">
        <f t="shared" si="24"/>
        <v xml:space="preserve">Cambio kit de filtros    </v>
      </c>
      <c r="K197" s="26" t="s">
        <v>270</v>
      </c>
      <c r="P197" s="27">
        <v>1</v>
      </c>
      <c r="Q197" s="34">
        <v>47500</v>
      </c>
      <c r="R197" s="36">
        <f t="shared" si="22"/>
        <v>47500</v>
      </c>
      <c r="U197" s="39">
        <f t="shared" si="28"/>
        <v>0</v>
      </c>
      <c r="V197" s="41">
        <f t="shared" si="25"/>
        <v>0</v>
      </c>
    </row>
    <row r="198" spans="1:22" x14ac:dyDescent="0.25">
      <c r="A198" s="47">
        <v>57</v>
      </c>
      <c r="B198" s="31">
        <f t="shared" si="29"/>
        <v>1</v>
      </c>
      <c r="C198" s="48">
        <v>45216</v>
      </c>
      <c r="D198" s="47" t="s">
        <v>272</v>
      </c>
      <c r="E198" s="31" t="str">
        <f t="shared" si="23"/>
        <v>57Emanuel Pico1</v>
      </c>
      <c r="G198" s="47" t="s">
        <v>179</v>
      </c>
      <c r="H198" s="26" t="s">
        <v>273</v>
      </c>
      <c r="I198" s="31" t="str">
        <f t="shared" si="24"/>
        <v>Service completo del vehiculo.                                                                                                                                                                                                                                                                                                                              El valor del servicio abarca el control de mas de 70 puntos del automovil</v>
      </c>
      <c r="K198" s="26" t="s">
        <v>91</v>
      </c>
      <c r="P198" s="27">
        <v>1</v>
      </c>
      <c r="Q198" s="34">
        <v>20900</v>
      </c>
      <c r="R198" s="36">
        <f t="shared" si="22"/>
        <v>20900</v>
      </c>
      <c r="S198" s="6">
        <v>1</v>
      </c>
      <c r="T198" s="7">
        <v>44100</v>
      </c>
      <c r="U198" s="39">
        <f t="shared" si="28"/>
        <v>44100</v>
      </c>
      <c r="V198" s="41">
        <f t="shared" si="25"/>
        <v>44100</v>
      </c>
    </row>
    <row r="199" spans="1:22" x14ac:dyDescent="0.25">
      <c r="A199" s="47">
        <v>57</v>
      </c>
      <c r="B199" s="31">
        <f t="shared" si="29"/>
        <v>2</v>
      </c>
      <c r="C199" s="48">
        <f>IF(A199=A198,C198,"")</f>
        <v>45216</v>
      </c>
      <c r="D199" s="47" t="str">
        <f>IF(A199=A198,D198,"")</f>
        <v>Emanuel Pico</v>
      </c>
      <c r="E199" s="31" t="str">
        <f t="shared" si="23"/>
        <v>57Emanuel Pico2</v>
      </c>
      <c r="I199" s="31" t="str">
        <f t="shared" si="24"/>
        <v xml:space="preserve">Service completo del vehiculo.                                                                                                                                                                                                                                                                                                                              El valor del servicio abarca el control de mas de 70 puntos del automovil </v>
      </c>
      <c r="K199" s="26" t="s">
        <v>149</v>
      </c>
      <c r="P199" s="27">
        <v>4</v>
      </c>
      <c r="Q199" s="34">
        <v>6700</v>
      </c>
      <c r="R199" s="36">
        <f t="shared" si="22"/>
        <v>26800</v>
      </c>
      <c r="U199" s="39">
        <f t="shared" si="28"/>
        <v>0</v>
      </c>
      <c r="V199" s="41">
        <f t="shared" si="25"/>
        <v>44100</v>
      </c>
    </row>
    <row r="200" spans="1:22" x14ac:dyDescent="0.25">
      <c r="A200" s="47">
        <v>58</v>
      </c>
      <c r="B200" s="31">
        <f t="shared" si="29"/>
        <v>1</v>
      </c>
      <c r="C200" s="48">
        <v>45217</v>
      </c>
      <c r="D200" s="47" t="s">
        <v>274</v>
      </c>
      <c r="E200" s="31" t="str">
        <f t="shared" si="23"/>
        <v>58Ameri Rodrigo1</v>
      </c>
      <c r="G200" s="47">
        <v>206</v>
      </c>
      <c r="H200" s="26" t="s">
        <v>275</v>
      </c>
      <c r="I200" s="31" t="str">
        <f t="shared" si="24"/>
        <v>Service completo del vehiculo.                                                                                                                                                           El valor del servicio abarca el control de mas de 70 puntos del automovil</v>
      </c>
      <c r="K200" s="26" t="s">
        <v>91</v>
      </c>
      <c r="P200" s="27">
        <v>1</v>
      </c>
      <c r="Q200" s="34">
        <v>19200</v>
      </c>
      <c r="R200" s="36">
        <f t="shared" si="22"/>
        <v>19200</v>
      </c>
      <c r="S200" s="6">
        <v>1</v>
      </c>
      <c r="T200" s="7">
        <v>41000</v>
      </c>
      <c r="U200" s="39">
        <f t="shared" si="28"/>
        <v>41000</v>
      </c>
      <c r="V200" s="41">
        <f t="shared" si="25"/>
        <v>41000</v>
      </c>
    </row>
    <row r="201" spans="1:22" x14ac:dyDescent="0.25">
      <c r="A201" s="47">
        <v>58</v>
      </c>
      <c r="B201" s="31">
        <f t="shared" si="29"/>
        <v>2</v>
      </c>
      <c r="C201" s="48">
        <f>IF(A201=A200,C200,"")</f>
        <v>45217</v>
      </c>
      <c r="D201" s="47" t="str">
        <f>IF(A201=A200,D200,"")</f>
        <v>Ameri Rodrigo</v>
      </c>
      <c r="E201" s="31" t="str">
        <f t="shared" si="23"/>
        <v>58Ameri Rodrigo2</v>
      </c>
      <c r="I201" s="31" t="str">
        <f t="shared" si="24"/>
        <v xml:space="preserve">Service completo del vehiculo.                                                                                                                                                           El valor del servicio abarca el control de mas de 70 puntos del automovil </v>
      </c>
      <c r="K201" s="26" t="s">
        <v>276</v>
      </c>
      <c r="P201" s="27">
        <v>4.5</v>
      </c>
      <c r="Q201" s="34">
        <v>3200</v>
      </c>
      <c r="R201" s="36">
        <f t="shared" si="22"/>
        <v>14400</v>
      </c>
      <c r="U201" s="39">
        <f t="shared" si="28"/>
        <v>0</v>
      </c>
      <c r="V201" s="41">
        <f t="shared" si="25"/>
        <v>41000</v>
      </c>
    </row>
    <row r="202" spans="1:22" x14ac:dyDescent="0.25">
      <c r="A202" s="47">
        <v>59</v>
      </c>
      <c r="B202" s="31">
        <f t="shared" si="29"/>
        <v>1</v>
      </c>
      <c r="C202" s="48">
        <v>45217</v>
      </c>
      <c r="D202" s="47" t="s">
        <v>277</v>
      </c>
      <c r="E202" s="31" t="str">
        <f t="shared" si="23"/>
        <v>59Gladys Ghidela Guerrieri1</v>
      </c>
      <c r="F202" s="47" t="s">
        <v>278</v>
      </c>
      <c r="G202" s="47" t="s">
        <v>279</v>
      </c>
      <c r="I202" s="31">
        <f t="shared" si="24"/>
        <v>0</v>
      </c>
      <c r="K202" s="26" t="s">
        <v>280</v>
      </c>
      <c r="P202" s="27">
        <v>1</v>
      </c>
      <c r="Q202" s="34">
        <v>198000</v>
      </c>
      <c r="R202" s="36">
        <f t="shared" si="22"/>
        <v>198000</v>
      </c>
      <c r="U202" s="39">
        <f t="shared" si="28"/>
        <v>0</v>
      </c>
      <c r="V202" s="41">
        <f t="shared" si="25"/>
        <v>0</v>
      </c>
    </row>
    <row r="203" spans="1:22" x14ac:dyDescent="0.25">
      <c r="A203" s="47">
        <v>59</v>
      </c>
      <c r="B203" s="31">
        <f t="shared" si="29"/>
        <v>2</v>
      </c>
      <c r="C203" s="48">
        <f>IF(A203=A202,C202,"")</f>
        <v>45217</v>
      </c>
      <c r="D203" s="47" t="str">
        <f>IF(A203=A202,D202,"")</f>
        <v>Gladys Ghidela Guerrieri</v>
      </c>
      <c r="E203" s="31" t="str">
        <f t="shared" si="23"/>
        <v>59Gladys Ghidela Guerrieri2</v>
      </c>
      <c r="I203" s="31" t="str">
        <f t="shared" si="24"/>
        <v xml:space="preserve">0 </v>
      </c>
      <c r="K203" s="26" t="s">
        <v>281</v>
      </c>
      <c r="P203" s="27">
        <v>1</v>
      </c>
      <c r="Q203" s="34">
        <v>112500</v>
      </c>
      <c r="R203" s="36">
        <f t="shared" si="22"/>
        <v>112500</v>
      </c>
      <c r="U203" s="39">
        <f t="shared" si="28"/>
        <v>0</v>
      </c>
      <c r="V203" s="41">
        <f t="shared" si="25"/>
        <v>0</v>
      </c>
    </row>
    <row r="204" spans="1:22" x14ac:dyDescent="0.25">
      <c r="A204" s="47">
        <v>59</v>
      </c>
      <c r="B204" s="31">
        <f t="shared" si="29"/>
        <v>3</v>
      </c>
      <c r="C204" s="48">
        <f>IF(A204=A203,C203,"")</f>
        <v>45217</v>
      </c>
      <c r="D204" s="47" t="str">
        <f>IF(A204=A203,D203,"")</f>
        <v>Gladys Ghidela Guerrieri</v>
      </c>
      <c r="E204" s="31" t="str">
        <f t="shared" si="23"/>
        <v>59Gladys Ghidela Guerrieri3</v>
      </c>
      <c r="I204" s="31" t="str">
        <f t="shared" si="24"/>
        <v xml:space="preserve">0  </v>
      </c>
      <c r="K204" s="26" t="s">
        <v>282</v>
      </c>
      <c r="P204" s="27">
        <v>1</v>
      </c>
      <c r="Q204" s="34">
        <v>445100</v>
      </c>
      <c r="R204" s="36">
        <f t="shared" si="22"/>
        <v>445100</v>
      </c>
      <c r="U204" s="39">
        <f t="shared" si="28"/>
        <v>0</v>
      </c>
      <c r="V204" s="41">
        <f t="shared" si="25"/>
        <v>0</v>
      </c>
    </row>
    <row r="205" spans="1:22" x14ac:dyDescent="0.25">
      <c r="A205" s="47">
        <v>60</v>
      </c>
      <c r="B205" s="31">
        <f t="shared" si="29"/>
        <v>1</v>
      </c>
      <c r="C205" s="48">
        <v>45217</v>
      </c>
      <c r="D205" s="47" t="s">
        <v>277</v>
      </c>
      <c r="E205" s="31" t="str">
        <f t="shared" si="23"/>
        <v>60Gladys Ghidela Guerrieri1</v>
      </c>
      <c r="F205" s="47" t="s">
        <v>278</v>
      </c>
      <c r="G205" s="47" t="s">
        <v>279</v>
      </c>
      <c r="I205" s="31">
        <f t="shared" si="24"/>
        <v>0</v>
      </c>
      <c r="K205" s="26" t="s">
        <v>282</v>
      </c>
      <c r="P205" s="27">
        <v>1</v>
      </c>
      <c r="Q205" s="34">
        <v>279400</v>
      </c>
      <c r="R205" s="36">
        <f t="shared" si="22"/>
        <v>279400</v>
      </c>
      <c r="U205" s="39">
        <f t="shared" si="28"/>
        <v>0</v>
      </c>
      <c r="V205" s="41">
        <f t="shared" si="25"/>
        <v>0</v>
      </c>
    </row>
    <row r="206" spans="1:22" x14ac:dyDescent="0.25">
      <c r="A206" s="47">
        <v>60</v>
      </c>
      <c r="B206" s="31">
        <f t="shared" si="29"/>
        <v>2</v>
      </c>
      <c r="C206" s="48">
        <f>IF(A206=A205,C205,"")</f>
        <v>45217</v>
      </c>
      <c r="D206" s="47" t="str">
        <f>IF(A206=A205,D205,"")</f>
        <v>Gladys Ghidela Guerrieri</v>
      </c>
      <c r="E206" s="31" t="str">
        <f t="shared" si="23"/>
        <v>60Gladys Ghidela Guerrieri2</v>
      </c>
      <c r="I206" s="31" t="str">
        <f t="shared" si="24"/>
        <v xml:space="preserve">0 </v>
      </c>
      <c r="K206" s="26" t="s">
        <v>283</v>
      </c>
      <c r="P206" s="27">
        <v>1</v>
      </c>
      <c r="Q206" s="34">
        <v>189200</v>
      </c>
      <c r="R206" s="36">
        <f t="shared" si="22"/>
        <v>189200</v>
      </c>
      <c r="U206" s="39">
        <f t="shared" si="28"/>
        <v>0</v>
      </c>
      <c r="V206" s="41">
        <f t="shared" si="25"/>
        <v>0</v>
      </c>
    </row>
    <row r="207" spans="1:22" x14ac:dyDescent="0.25">
      <c r="A207" s="47">
        <v>60</v>
      </c>
      <c r="B207" s="31">
        <f t="shared" si="29"/>
        <v>3</v>
      </c>
      <c r="C207" s="48">
        <f>IF(A207=A206,C206,"")</f>
        <v>45217</v>
      </c>
      <c r="D207" s="47" t="str">
        <f>IF(A207=A206,D206,"")</f>
        <v>Gladys Ghidela Guerrieri</v>
      </c>
      <c r="E207" s="31" t="str">
        <f t="shared" si="23"/>
        <v>60Gladys Ghidela Guerrieri3</v>
      </c>
      <c r="I207" s="31" t="str">
        <f t="shared" si="24"/>
        <v xml:space="preserve">0  </v>
      </c>
      <c r="K207" s="26" t="s">
        <v>284</v>
      </c>
      <c r="P207" s="27">
        <v>1</v>
      </c>
      <c r="Q207" s="34">
        <v>107800</v>
      </c>
      <c r="R207" s="36">
        <f t="shared" ref="R207:R270" si="30">Q207*P207</f>
        <v>107800</v>
      </c>
      <c r="U207" s="39">
        <f t="shared" si="28"/>
        <v>0</v>
      </c>
      <c r="V207" s="41">
        <f t="shared" si="25"/>
        <v>0</v>
      </c>
    </row>
    <row r="208" spans="1:22" x14ac:dyDescent="0.25">
      <c r="A208" s="47">
        <v>61</v>
      </c>
      <c r="B208" s="31">
        <f t="shared" si="29"/>
        <v>1</v>
      </c>
      <c r="C208" s="48">
        <v>45226</v>
      </c>
      <c r="D208" s="47" t="s">
        <v>286</v>
      </c>
      <c r="E208" s="31" t="str">
        <f t="shared" si="23"/>
        <v>61Santiago Dellafiori1</v>
      </c>
      <c r="G208" s="47" t="s">
        <v>287</v>
      </c>
      <c r="H208" s="26" t="s">
        <v>288</v>
      </c>
      <c r="I208" s="31" t="str">
        <f t="shared" si="24"/>
        <v>Service completo del vehiculo.                                                                                                                                                 El valor del servicio abarca el control de mas de 50 puntos del automovil.</v>
      </c>
      <c r="K208" s="26" t="s">
        <v>91</v>
      </c>
      <c r="P208" s="27">
        <v>1</v>
      </c>
      <c r="Q208" s="34">
        <v>31000</v>
      </c>
      <c r="R208" s="36">
        <f t="shared" si="30"/>
        <v>31000</v>
      </c>
      <c r="S208" s="6">
        <v>1</v>
      </c>
      <c r="T208" s="7">
        <v>44550</v>
      </c>
      <c r="U208" s="39">
        <f t="shared" si="28"/>
        <v>44550</v>
      </c>
      <c r="V208" s="41">
        <f t="shared" si="25"/>
        <v>44550</v>
      </c>
    </row>
    <row r="209" spans="1:22" x14ac:dyDescent="0.25">
      <c r="A209" s="47">
        <v>61</v>
      </c>
      <c r="B209" s="31">
        <f t="shared" si="29"/>
        <v>2</v>
      </c>
      <c r="C209" s="48">
        <f>IF(A209=A208,C208,"")</f>
        <v>45226</v>
      </c>
      <c r="D209" s="47" t="str">
        <f>IF(A209=A208,D208,"")</f>
        <v>Santiago Dellafiori</v>
      </c>
      <c r="E209" s="31" t="str">
        <f t="shared" ref="E209:E272" si="31">CONCATENATE(A209,D209,B209)</f>
        <v>61Santiago Dellafiori2</v>
      </c>
      <c r="I209" s="31" t="str">
        <f t="shared" si="24"/>
        <v xml:space="preserve">Service completo del vehiculo.                                                                                                                                                 El valor del servicio abarca el control de mas de 50 puntos del automovil. </v>
      </c>
      <c r="K209" s="26" t="s">
        <v>289</v>
      </c>
      <c r="P209" s="27">
        <v>4</v>
      </c>
      <c r="Q209" s="34">
        <v>6950</v>
      </c>
      <c r="R209" s="36">
        <f t="shared" si="30"/>
        <v>27800</v>
      </c>
      <c r="U209" s="39">
        <f t="shared" si="28"/>
        <v>0</v>
      </c>
      <c r="V209" s="41">
        <f t="shared" si="25"/>
        <v>44550</v>
      </c>
    </row>
    <row r="210" spans="1:22" x14ac:dyDescent="0.25">
      <c r="A210" s="47">
        <v>62</v>
      </c>
      <c r="B210" s="31">
        <f t="shared" si="29"/>
        <v>1</v>
      </c>
      <c r="C210" s="48">
        <v>45229</v>
      </c>
      <c r="D210" s="47" t="s">
        <v>290</v>
      </c>
      <c r="E210" s="31" t="str">
        <f t="shared" si="31"/>
        <v>62Walter Rodriguez1</v>
      </c>
      <c r="G210" s="47" t="s">
        <v>291</v>
      </c>
      <c r="H210" s="26" t="s">
        <v>239</v>
      </c>
      <c r="I210" s="31" t="str">
        <f t="shared" si="24"/>
        <v>Service completo del vehiculo</v>
      </c>
      <c r="K210" s="26" t="s">
        <v>108</v>
      </c>
      <c r="P210" s="27">
        <v>4</v>
      </c>
      <c r="Q210" s="34">
        <v>3700</v>
      </c>
      <c r="R210" s="36">
        <f t="shared" si="30"/>
        <v>14800</v>
      </c>
      <c r="S210" s="6">
        <v>1</v>
      </c>
      <c r="T210" s="7">
        <v>18000</v>
      </c>
      <c r="U210" s="39">
        <f t="shared" si="28"/>
        <v>18000</v>
      </c>
      <c r="V210" s="41">
        <f t="shared" si="25"/>
        <v>18000</v>
      </c>
    </row>
    <row r="211" spans="1:22" x14ac:dyDescent="0.25">
      <c r="A211" s="47">
        <v>62</v>
      </c>
      <c r="B211" s="31">
        <f t="shared" si="29"/>
        <v>2</v>
      </c>
      <c r="C211" s="48">
        <f>IF(A211=A210,C210,"")</f>
        <v>45229</v>
      </c>
      <c r="D211" s="47" t="str">
        <f>IF(A211=A210,D210,"")</f>
        <v>Walter Rodriguez</v>
      </c>
      <c r="E211" s="31" t="str">
        <f t="shared" si="31"/>
        <v>62Walter Rodriguez2</v>
      </c>
      <c r="I211" s="31" t="str">
        <f t="shared" si="24"/>
        <v xml:space="preserve">Service completo del vehiculo </v>
      </c>
      <c r="K211" s="26" t="s">
        <v>91</v>
      </c>
      <c r="P211" s="27">
        <v>1</v>
      </c>
      <c r="Q211" s="34">
        <v>22600</v>
      </c>
      <c r="R211" s="36">
        <f t="shared" si="30"/>
        <v>22600</v>
      </c>
      <c r="U211" s="39">
        <f t="shared" si="28"/>
        <v>0</v>
      </c>
      <c r="V211" s="41">
        <f t="shared" si="25"/>
        <v>18000</v>
      </c>
    </row>
    <row r="212" spans="1:22" x14ac:dyDescent="0.25">
      <c r="A212" s="47">
        <v>63</v>
      </c>
      <c r="B212" s="31">
        <f t="shared" si="29"/>
        <v>1</v>
      </c>
      <c r="C212" s="48">
        <v>45229</v>
      </c>
      <c r="D212" s="47" t="s">
        <v>292</v>
      </c>
      <c r="E212" s="31" t="str">
        <f t="shared" si="31"/>
        <v>63Lucero Claudio1</v>
      </c>
      <c r="G212" s="47" t="s">
        <v>293</v>
      </c>
      <c r="H212" s="26" t="s">
        <v>294</v>
      </c>
      <c r="I212" s="31" t="str">
        <f t="shared" ref="I212:I275" si="32">IF(A212=A211,CONCATENATE(I211," ",H212),H212)</f>
        <v>Service completo del vehiculo.</v>
      </c>
      <c r="K212" s="26" t="s">
        <v>108</v>
      </c>
      <c r="P212" s="27">
        <v>4</v>
      </c>
      <c r="Q212" s="34">
        <v>3700</v>
      </c>
      <c r="R212" s="36">
        <f t="shared" si="30"/>
        <v>14800</v>
      </c>
      <c r="S212" s="6">
        <v>1</v>
      </c>
      <c r="T212" s="7">
        <v>43650</v>
      </c>
      <c r="U212" s="39">
        <f t="shared" si="28"/>
        <v>43650</v>
      </c>
      <c r="V212" s="41">
        <f t="shared" ref="V212:V275" si="33">IF(A212=A211,V211+U212,U212)</f>
        <v>43650</v>
      </c>
    </row>
    <row r="213" spans="1:22" x14ac:dyDescent="0.25">
      <c r="A213" s="47">
        <v>63</v>
      </c>
      <c r="B213" s="31">
        <f t="shared" si="29"/>
        <v>2</v>
      </c>
      <c r="C213" s="48">
        <f>IF(A213=A212,C212,"")</f>
        <v>45229</v>
      </c>
      <c r="D213" s="47" t="str">
        <f>IF(A213=A212,D212,"")</f>
        <v>Lucero Claudio</v>
      </c>
      <c r="E213" s="31" t="str">
        <f t="shared" si="31"/>
        <v>63Lucero Claudio2</v>
      </c>
      <c r="I213" s="31" t="str">
        <f t="shared" si="32"/>
        <v xml:space="preserve">Service completo del vehiculo. </v>
      </c>
      <c r="K213" s="26" t="s">
        <v>91</v>
      </c>
      <c r="P213" s="27">
        <v>1</v>
      </c>
      <c r="Q213" s="34">
        <v>22000</v>
      </c>
      <c r="R213" s="36">
        <f t="shared" si="30"/>
        <v>22000</v>
      </c>
      <c r="U213" s="39">
        <f t="shared" si="28"/>
        <v>0</v>
      </c>
      <c r="V213" s="41">
        <f t="shared" si="33"/>
        <v>43650</v>
      </c>
    </row>
    <row r="214" spans="1:22" x14ac:dyDescent="0.25">
      <c r="A214" s="47">
        <v>64</v>
      </c>
      <c r="B214" s="31">
        <f t="shared" si="29"/>
        <v>1</v>
      </c>
      <c r="C214" s="48">
        <v>45231</v>
      </c>
      <c r="D214" s="47" t="s">
        <v>295</v>
      </c>
      <c r="E214" s="31" t="str">
        <f t="shared" si="31"/>
        <v>64Boschiaso Antonella1</v>
      </c>
      <c r="F214" s="47" t="s">
        <v>296</v>
      </c>
      <c r="G214" s="47" t="s">
        <v>297</v>
      </c>
      <c r="H214" s="26" t="s">
        <v>298</v>
      </c>
      <c r="I214" s="31" t="str">
        <f t="shared" si="32"/>
        <v>Service completo del vehiculo.                                                                                                                                                      El valor del servicio abarca el control de mas de 50 puntos del automovil.</v>
      </c>
      <c r="K214" s="26" t="s">
        <v>299</v>
      </c>
      <c r="P214" s="27">
        <v>1</v>
      </c>
      <c r="Q214" s="34">
        <v>59000</v>
      </c>
      <c r="R214" s="36">
        <f t="shared" si="30"/>
        <v>59000</v>
      </c>
      <c r="S214" s="6">
        <v>1</v>
      </c>
      <c r="T214" s="7">
        <v>41400</v>
      </c>
      <c r="U214" s="39">
        <f t="shared" si="28"/>
        <v>41400</v>
      </c>
      <c r="V214" s="41">
        <f t="shared" si="33"/>
        <v>41400</v>
      </c>
    </row>
    <row r="215" spans="1:22" x14ac:dyDescent="0.25">
      <c r="A215" s="47">
        <v>64</v>
      </c>
      <c r="B215" s="31">
        <f t="shared" si="29"/>
        <v>2</v>
      </c>
      <c r="C215" s="48">
        <f>IF(A215=A214,C214,"")</f>
        <v>45231</v>
      </c>
      <c r="D215" s="47" t="str">
        <f>IF(A215=A214,D214,"")</f>
        <v>Boschiaso Antonella</v>
      </c>
      <c r="E215" s="31" t="str">
        <f t="shared" si="31"/>
        <v>64Boschiaso Antonella2</v>
      </c>
      <c r="I215" s="31" t="str">
        <f t="shared" si="32"/>
        <v xml:space="preserve">Service completo del vehiculo.                                                                                                                                                      El valor del servicio abarca el control de mas de 50 puntos del automovil. </v>
      </c>
      <c r="K215" s="26" t="s">
        <v>289</v>
      </c>
      <c r="P215" s="27">
        <v>6</v>
      </c>
      <c r="Q215" s="34">
        <v>6950</v>
      </c>
      <c r="R215" s="36">
        <f t="shared" si="30"/>
        <v>41700</v>
      </c>
      <c r="U215" s="39">
        <f t="shared" si="28"/>
        <v>0</v>
      </c>
      <c r="V215" s="41">
        <f t="shared" si="33"/>
        <v>41400</v>
      </c>
    </row>
    <row r="216" spans="1:22" x14ac:dyDescent="0.25">
      <c r="A216" s="47">
        <v>65</v>
      </c>
      <c r="B216" s="31">
        <f t="shared" si="29"/>
        <v>1</v>
      </c>
      <c r="C216" s="48">
        <v>45233</v>
      </c>
      <c r="D216" s="47" t="s">
        <v>300</v>
      </c>
      <c r="E216" s="31" t="str">
        <f t="shared" si="31"/>
        <v>65Quaglia Claudio1</v>
      </c>
      <c r="F216" s="47" t="s">
        <v>301</v>
      </c>
      <c r="G216" s="47" t="s">
        <v>302</v>
      </c>
      <c r="H216" s="26" t="s">
        <v>303</v>
      </c>
      <c r="I216" s="31" t="str">
        <f t="shared" si="32"/>
        <v>Service completo del vehiculo.                                                                                                                                                         El valor del servicio abarca el control de mas de 50 puntos del automovil.</v>
      </c>
      <c r="K216" s="26" t="s">
        <v>91</v>
      </c>
      <c r="P216" s="27">
        <v>1</v>
      </c>
      <c r="Q216" s="34">
        <v>93000</v>
      </c>
      <c r="R216" s="36">
        <f t="shared" si="30"/>
        <v>93000</v>
      </c>
      <c r="S216" s="6">
        <v>1</v>
      </c>
      <c r="T216" s="7">
        <v>51000</v>
      </c>
      <c r="U216" s="39">
        <f t="shared" si="28"/>
        <v>51000</v>
      </c>
      <c r="V216" s="41">
        <f t="shared" si="33"/>
        <v>51000</v>
      </c>
    </row>
    <row r="217" spans="1:22" x14ac:dyDescent="0.25">
      <c r="A217" s="47">
        <v>65</v>
      </c>
      <c r="B217" s="31">
        <f t="shared" si="29"/>
        <v>2</v>
      </c>
      <c r="C217" s="48">
        <f>IF(A217=A216,C216,"")</f>
        <v>45233</v>
      </c>
      <c r="D217" s="47" t="str">
        <f>IF(A217=A216,D216,"")</f>
        <v>Quaglia Claudio</v>
      </c>
      <c r="E217" s="31" t="str">
        <f t="shared" si="31"/>
        <v>65Quaglia Claudio2</v>
      </c>
      <c r="I217" s="31" t="str">
        <f t="shared" si="32"/>
        <v xml:space="preserve">Service completo del vehiculo.                                                                                                                                                         El valor del servicio abarca el control de mas de 50 puntos del automovil. </v>
      </c>
      <c r="K217" s="26" t="s">
        <v>304</v>
      </c>
      <c r="P217" s="27">
        <v>7</v>
      </c>
      <c r="Q217" s="34">
        <v>10500</v>
      </c>
      <c r="R217" s="36">
        <f t="shared" si="30"/>
        <v>73500</v>
      </c>
      <c r="U217" s="39">
        <f t="shared" si="28"/>
        <v>0</v>
      </c>
      <c r="V217" s="41">
        <f t="shared" si="33"/>
        <v>51000</v>
      </c>
    </row>
    <row r="218" spans="1:22" x14ac:dyDescent="0.25">
      <c r="A218" s="47">
        <v>66</v>
      </c>
      <c r="B218" s="31">
        <f t="shared" si="29"/>
        <v>1</v>
      </c>
      <c r="C218" s="48">
        <v>45238</v>
      </c>
      <c r="D218" s="47" t="s">
        <v>139</v>
      </c>
      <c r="E218" s="31" t="str">
        <f t="shared" si="31"/>
        <v>66Salgado Victor1</v>
      </c>
      <c r="G218" s="47" t="s">
        <v>147</v>
      </c>
      <c r="H218" s="26" t="s">
        <v>308</v>
      </c>
      <c r="I218" s="31" t="str">
        <f t="shared" si="32"/>
        <v>Service completo del vehiculo.                                                                                                                                                                 El valor del servicio abarca el control de mas de 50 puntos del automovil.</v>
      </c>
      <c r="K218" s="26" t="s">
        <v>123</v>
      </c>
      <c r="P218" s="27">
        <v>1</v>
      </c>
      <c r="Q218" s="34">
        <v>4800</v>
      </c>
      <c r="R218" s="36">
        <f t="shared" si="30"/>
        <v>4800</v>
      </c>
      <c r="S218" s="6">
        <v>1</v>
      </c>
      <c r="T218" s="7">
        <v>40000</v>
      </c>
      <c r="U218" s="39">
        <f t="shared" si="28"/>
        <v>40000</v>
      </c>
      <c r="V218" s="41">
        <f t="shared" si="33"/>
        <v>40000</v>
      </c>
    </row>
    <row r="219" spans="1:22" x14ac:dyDescent="0.25">
      <c r="A219" s="47">
        <v>66</v>
      </c>
      <c r="B219" s="31">
        <f t="shared" si="29"/>
        <v>2</v>
      </c>
      <c r="C219" s="48">
        <f>IF(A219=A218,C218,"")</f>
        <v>45238</v>
      </c>
      <c r="D219" s="47" t="str">
        <f>IF(A219=A218,D218,"")</f>
        <v>Salgado Victor</v>
      </c>
      <c r="E219" s="31" t="str">
        <f t="shared" si="31"/>
        <v>66Salgado Victor2</v>
      </c>
      <c r="I219" s="31" t="str">
        <f t="shared" si="32"/>
        <v xml:space="preserve">Service completo del vehiculo.                                                                                                                                                                 El valor del servicio abarca el control de mas de 50 puntos del automovil. </v>
      </c>
      <c r="K219" s="26" t="s">
        <v>240</v>
      </c>
      <c r="P219" s="27">
        <v>1</v>
      </c>
      <c r="Q219" s="34">
        <v>3800</v>
      </c>
      <c r="R219" s="36">
        <f t="shared" si="30"/>
        <v>3800</v>
      </c>
      <c r="U219" s="39">
        <f t="shared" si="28"/>
        <v>0</v>
      </c>
      <c r="V219" s="41">
        <f t="shared" si="33"/>
        <v>40000</v>
      </c>
    </row>
    <row r="220" spans="1:22" x14ac:dyDescent="0.25">
      <c r="A220" s="47">
        <v>66</v>
      </c>
      <c r="B220" s="31">
        <f t="shared" si="29"/>
        <v>3</v>
      </c>
      <c r="C220" s="48">
        <f>IF(A220=A219,C219,"")</f>
        <v>45238</v>
      </c>
      <c r="D220" s="47" t="str">
        <f>IF(A220=A219,D219,"")</f>
        <v>Salgado Victor</v>
      </c>
      <c r="E220" s="31" t="str">
        <f t="shared" si="31"/>
        <v>66Salgado Victor3</v>
      </c>
      <c r="I220" s="31" t="str">
        <f t="shared" si="32"/>
        <v xml:space="preserve">Service completo del vehiculo.                                                                                                                                                                 El valor del servicio abarca el control de mas de 50 puntos del automovil.  </v>
      </c>
      <c r="K220" s="26" t="s">
        <v>151</v>
      </c>
      <c r="P220" s="27">
        <v>1</v>
      </c>
      <c r="Q220" s="34">
        <v>4400</v>
      </c>
      <c r="R220" s="36">
        <f t="shared" si="30"/>
        <v>4400</v>
      </c>
      <c r="U220" s="39">
        <f t="shared" si="28"/>
        <v>0</v>
      </c>
      <c r="V220" s="41">
        <f t="shared" si="33"/>
        <v>40000</v>
      </c>
    </row>
    <row r="221" spans="1:22" x14ac:dyDescent="0.25">
      <c r="A221" s="47">
        <v>66</v>
      </c>
      <c r="B221" s="31">
        <f t="shared" si="29"/>
        <v>4</v>
      </c>
      <c r="C221" s="48">
        <f>IF(A221=A220,C220,"")</f>
        <v>45238</v>
      </c>
      <c r="D221" s="47" t="str">
        <f>IF(A221=A220,D220,"")</f>
        <v>Salgado Victor</v>
      </c>
      <c r="E221" s="31" t="str">
        <f t="shared" si="31"/>
        <v>66Salgado Victor4</v>
      </c>
      <c r="I221" s="31" t="str">
        <f t="shared" si="32"/>
        <v xml:space="preserve">Service completo del vehiculo.                                                                                                                                                                 El valor del servicio abarca el control de mas de 50 puntos del automovil.   </v>
      </c>
      <c r="K221" s="26" t="s">
        <v>108</v>
      </c>
      <c r="P221" s="27">
        <v>5</v>
      </c>
      <c r="Q221" s="34">
        <v>3700</v>
      </c>
      <c r="R221" s="36">
        <f t="shared" si="30"/>
        <v>18500</v>
      </c>
      <c r="U221" s="39">
        <f t="shared" si="28"/>
        <v>0</v>
      </c>
      <c r="V221" s="41">
        <f t="shared" si="33"/>
        <v>40000</v>
      </c>
    </row>
    <row r="222" spans="1:22" x14ac:dyDescent="0.25">
      <c r="A222" s="47">
        <v>67</v>
      </c>
      <c r="B222" s="31">
        <f t="shared" si="29"/>
        <v>1</v>
      </c>
      <c r="C222" s="48">
        <v>45239</v>
      </c>
      <c r="D222" s="47" t="s">
        <v>309</v>
      </c>
      <c r="E222" s="31" t="str">
        <f t="shared" si="31"/>
        <v>67Alonso1</v>
      </c>
      <c r="G222" s="47" t="s">
        <v>310</v>
      </c>
      <c r="H222" s="26" t="s">
        <v>316</v>
      </c>
      <c r="I222" s="31" t="str">
        <f t="shared" si="32"/>
        <v>Cambio de bolilleros de ruedas delanteras. Cambio de bolilleros de ruedas traseras. Cambiar manguera de gaseo. Cambiar buje de barra estabilizadora izquierda. Sellar grietas. Cambiar escobilla limpia parabrisas. Control general del vehiculo para viaje.</v>
      </c>
      <c r="K222" s="26" t="s">
        <v>311</v>
      </c>
      <c r="P222" s="27">
        <v>2</v>
      </c>
      <c r="Q222" s="34">
        <v>28500</v>
      </c>
      <c r="R222" s="36">
        <f t="shared" si="30"/>
        <v>57000</v>
      </c>
      <c r="S222" s="6">
        <v>1</v>
      </c>
      <c r="T222" s="7">
        <v>60000</v>
      </c>
      <c r="U222" s="39">
        <f t="shared" si="28"/>
        <v>60000</v>
      </c>
      <c r="V222" s="41">
        <f t="shared" si="33"/>
        <v>60000</v>
      </c>
    </row>
    <row r="223" spans="1:22" x14ac:dyDescent="0.25">
      <c r="A223" s="47">
        <v>67</v>
      </c>
      <c r="B223" s="31">
        <f t="shared" si="29"/>
        <v>2</v>
      </c>
      <c r="C223" s="48">
        <f>IF(A223=A222,C222,"")</f>
        <v>45239</v>
      </c>
      <c r="D223" s="47" t="str">
        <f>IF(A223=A222,D222,"")</f>
        <v>Alonso</v>
      </c>
      <c r="E223" s="31" t="str">
        <f t="shared" si="31"/>
        <v>67Alonso2</v>
      </c>
      <c r="I223" s="31" t="str">
        <f t="shared" si="32"/>
        <v xml:space="preserve">Cambio de bolilleros de ruedas delanteras. Cambio de bolilleros de ruedas traseras. Cambiar manguera de gaseo. Cambiar buje de barra estabilizadora izquierda. Sellar grietas. Cambiar escobilla limpia parabrisas. Control general del vehiculo para viaje. </v>
      </c>
      <c r="K223" s="26" t="s">
        <v>312</v>
      </c>
      <c r="P223" s="27">
        <v>1</v>
      </c>
      <c r="Q223" s="34">
        <v>27000</v>
      </c>
      <c r="R223" s="36">
        <f t="shared" si="30"/>
        <v>27000</v>
      </c>
      <c r="U223" s="39">
        <f t="shared" si="28"/>
        <v>0</v>
      </c>
      <c r="V223" s="41">
        <f t="shared" si="33"/>
        <v>60000</v>
      </c>
    </row>
    <row r="224" spans="1:22" x14ac:dyDescent="0.25">
      <c r="A224" s="47">
        <v>67</v>
      </c>
      <c r="B224" s="31">
        <f t="shared" si="29"/>
        <v>3</v>
      </c>
      <c r="C224" s="48">
        <f>IF(A224=A223,C223,"")</f>
        <v>45239</v>
      </c>
      <c r="D224" s="47" t="str">
        <f>IF(A224=A223,D223,"")</f>
        <v>Alonso</v>
      </c>
      <c r="E224" s="31" t="str">
        <f t="shared" si="31"/>
        <v>67Alonso3</v>
      </c>
      <c r="I224" s="31" t="str">
        <f t="shared" si="32"/>
        <v xml:space="preserve">Cambio de bolilleros de ruedas delanteras. Cambio de bolilleros de ruedas traseras. Cambiar manguera de gaseo. Cambiar buje de barra estabilizadora izquierda. Sellar grietas. Cambiar escobilla limpia parabrisas. Control general del vehiculo para viaje.  </v>
      </c>
      <c r="K224" s="26" t="s">
        <v>313</v>
      </c>
      <c r="P224" s="27">
        <v>1</v>
      </c>
      <c r="Q224" s="34">
        <v>13900</v>
      </c>
      <c r="R224" s="36">
        <f t="shared" si="30"/>
        <v>13900</v>
      </c>
      <c r="U224" s="39">
        <f t="shared" si="28"/>
        <v>0</v>
      </c>
      <c r="V224" s="41">
        <f t="shared" si="33"/>
        <v>60000</v>
      </c>
    </row>
    <row r="225" spans="1:22" x14ac:dyDescent="0.25">
      <c r="A225" s="47">
        <v>67</v>
      </c>
      <c r="B225" s="31">
        <f t="shared" si="29"/>
        <v>4</v>
      </c>
      <c r="C225" s="48">
        <f>IF(A225=A224,C224,"")</f>
        <v>45239</v>
      </c>
      <c r="D225" s="47" t="str">
        <f>IF(A225=A224,D224,"")</f>
        <v>Alonso</v>
      </c>
      <c r="E225" s="31" t="str">
        <f t="shared" si="31"/>
        <v>67Alonso4</v>
      </c>
      <c r="I225" s="31" t="str">
        <f t="shared" si="32"/>
        <v xml:space="preserve">Cambio de bolilleros de ruedas delanteras. Cambio de bolilleros de ruedas traseras. Cambiar manguera de gaseo. Cambiar buje de barra estabilizadora izquierda. Sellar grietas. Cambiar escobilla limpia parabrisas. Control general del vehiculo para viaje.   </v>
      </c>
      <c r="K225" s="26" t="s">
        <v>317</v>
      </c>
      <c r="P225" s="27">
        <v>1</v>
      </c>
      <c r="Q225" s="34">
        <v>8000</v>
      </c>
      <c r="R225" s="36">
        <f t="shared" si="30"/>
        <v>8000</v>
      </c>
      <c r="U225" s="39">
        <f t="shared" si="28"/>
        <v>0</v>
      </c>
      <c r="V225" s="41">
        <f t="shared" si="33"/>
        <v>60000</v>
      </c>
    </row>
    <row r="226" spans="1:22" x14ac:dyDescent="0.25">
      <c r="A226" s="47">
        <v>67</v>
      </c>
      <c r="B226" s="31">
        <f t="shared" si="29"/>
        <v>5</v>
      </c>
      <c r="C226" s="48">
        <f>IF(A226=A225,C225,"")</f>
        <v>45239</v>
      </c>
      <c r="D226" s="47" t="str">
        <f>IF(A226=A225,D225,"")</f>
        <v>Alonso</v>
      </c>
      <c r="E226" s="31" t="str">
        <f t="shared" si="31"/>
        <v>67Alonso5</v>
      </c>
      <c r="I226" s="31" t="str">
        <f t="shared" si="32"/>
        <v xml:space="preserve">Cambio de bolilleros de ruedas delanteras. Cambio de bolilleros de ruedas traseras. Cambiar manguera de gaseo. Cambiar buje de barra estabilizadora izquierda. Sellar grietas. Cambiar escobilla limpia parabrisas. Control general del vehiculo para viaje.    </v>
      </c>
      <c r="K226" s="26" t="s">
        <v>314</v>
      </c>
      <c r="P226" s="27">
        <v>1</v>
      </c>
      <c r="Q226" s="34">
        <v>10000</v>
      </c>
      <c r="R226" s="36">
        <f t="shared" si="30"/>
        <v>10000</v>
      </c>
      <c r="U226" s="39">
        <f t="shared" si="28"/>
        <v>0</v>
      </c>
      <c r="V226" s="41">
        <f t="shared" si="33"/>
        <v>60000</v>
      </c>
    </row>
    <row r="227" spans="1:22" x14ac:dyDescent="0.25">
      <c r="A227" s="47">
        <v>67</v>
      </c>
      <c r="B227" s="31">
        <f t="shared" si="29"/>
        <v>6</v>
      </c>
      <c r="C227" s="48">
        <f>IF(A227=A226,C226,"")</f>
        <v>45239</v>
      </c>
      <c r="D227" s="47" t="str">
        <f>IF(A227=A226,D226,"")</f>
        <v>Alonso</v>
      </c>
      <c r="E227" s="31" t="str">
        <f t="shared" si="31"/>
        <v>67Alonso6</v>
      </c>
      <c r="I227" s="31" t="str">
        <f t="shared" si="32"/>
        <v xml:space="preserve">Cambio de bolilleros de ruedas delanteras. Cambio de bolilleros de ruedas traseras. Cambiar manguera de gaseo. Cambiar buje de barra estabilizadora izquierda. Sellar grietas. Cambiar escobilla limpia parabrisas. Control general del vehiculo para viaje.     </v>
      </c>
      <c r="K227" s="26" t="s">
        <v>315</v>
      </c>
      <c r="P227" s="27">
        <v>1</v>
      </c>
      <c r="Q227" s="34">
        <v>8400</v>
      </c>
      <c r="R227" s="36">
        <f t="shared" si="30"/>
        <v>8400</v>
      </c>
      <c r="U227" s="39">
        <f t="shared" si="28"/>
        <v>0</v>
      </c>
      <c r="V227" s="41">
        <f t="shared" si="33"/>
        <v>60000</v>
      </c>
    </row>
    <row r="228" spans="1:22" x14ac:dyDescent="0.25">
      <c r="A228" s="47">
        <v>68</v>
      </c>
      <c r="B228" s="31">
        <f t="shared" si="29"/>
        <v>1</v>
      </c>
      <c r="C228" s="48">
        <v>45243</v>
      </c>
      <c r="D228" s="47" t="s">
        <v>318</v>
      </c>
      <c r="E228" s="31" t="str">
        <f t="shared" si="31"/>
        <v>68Magra Ignacio1</v>
      </c>
      <c r="G228" s="47" t="s">
        <v>319</v>
      </c>
      <c r="H228" s="26" t="s">
        <v>320</v>
      </c>
      <c r="I228" s="31" t="str">
        <f t="shared" si="32"/>
        <v>Cambio de distribucion</v>
      </c>
      <c r="K228" s="26" t="s">
        <v>321</v>
      </c>
      <c r="P228" s="27">
        <v>1</v>
      </c>
      <c r="Q228" s="34">
        <v>135000</v>
      </c>
      <c r="R228" s="36">
        <f t="shared" si="30"/>
        <v>135000</v>
      </c>
      <c r="S228" s="6">
        <v>1</v>
      </c>
      <c r="T228" s="7">
        <v>48000</v>
      </c>
      <c r="U228" s="39">
        <f t="shared" si="28"/>
        <v>48000</v>
      </c>
      <c r="V228" s="41">
        <f t="shared" si="33"/>
        <v>48000</v>
      </c>
    </row>
    <row r="229" spans="1:22" x14ac:dyDescent="0.25">
      <c r="A229" s="47">
        <v>68</v>
      </c>
      <c r="B229" s="31">
        <f t="shared" si="29"/>
        <v>2</v>
      </c>
      <c r="C229" s="48">
        <f>IF(A229=A228,C228,"")</f>
        <v>45243</v>
      </c>
      <c r="D229" s="47" t="str">
        <f>IF(A229=A228,D228,"")</f>
        <v>Magra Ignacio</v>
      </c>
      <c r="E229" s="31" t="str">
        <f t="shared" si="31"/>
        <v>68Magra Ignacio2</v>
      </c>
      <c r="I229" s="31" t="str">
        <f t="shared" si="32"/>
        <v xml:space="preserve">Cambio de distribucion </v>
      </c>
      <c r="K229" s="26" t="s">
        <v>69</v>
      </c>
      <c r="P229" s="27">
        <v>1</v>
      </c>
      <c r="Q229" s="34">
        <v>47500</v>
      </c>
      <c r="R229" s="36">
        <f t="shared" si="30"/>
        <v>47500</v>
      </c>
      <c r="U229" s="39">
        <f t="shared" si="28"/>
        <v>0</v>
      </c>
      <c r="V229" s="41">
        <f t="shared" si="33"/>
        <v>48000</v>
      </c>
    </row>
    <row r="230" spans="1:22" x14ac:dyDescent="0.25">
      <c r="A230" s="47">
        <v>68</v>
      </c>
      <c r="B230" s="31">
        <f t="shared" si="29"/>
        <v>3</v>
      </c>
      <c r="C230" s="48">
        <f>IF(A230=A229,C229,"")</f>
        <v>45243</v>
      </c>
      <c r="D230" s="47" t="str">
        <f>IF(A230=A229,D229,"")</f>
        <v>Magra Ignacio</v>
      </c>
      <c r="E230" s="31" t="str">
        <f t="shared" si="31"/>
        <v>68Magra Ignacio3</v>
      </c>
      <c r="I230" s="31" t="str">
        <f t="shared" si="32"/>
        <v xml:space="preserve">Cambio de distribucion  </v>
      </c>
      <c r="K230" s="26" t="s">
        <v>323</v>
      </c>
      <c r="P230" s="27">
        <v>1</v>
      </c>
      <c r="Q230" s="34">
        <v>15600</v>
      </c>
      <c r="R230" s="36">
        <f t="shared" si="30"/>
        <v>15600</v>
      </c>
      <c r="U230" s="39">
        <f t="shared" si="28"/>
        <v>0</v>
      </c>
      <c r="V230" s="41">
        <f t="shared" si="33"/>
        <v>48000</v>
      </c>
    </row>
    <row r="231" spans="1:22" x14ac:dyDescent="0.25">
      <c r="A231" s="47">
        <v>68</v>
      </c>
      <c r="B231" s="31">
        <f t="shared" si="29"/>
        <v>4</v>
      </c>
      <c r="C231" s="48">
        <f>IF(A231=A230,C230,"")</f>
        <v>45243</v>
      </c>
      <c r="D231" s="47" t="str">
        <f>IF(A231=A230,D230,"")</f>
        <v>Magra Ignacio</v>
      </c>
      <c r="E231" s="31" t="str">
        <f t="shared" si="31"/>
        <v>68Magra Ignacio4</v>
      </c>
      <c r="I231" s="31" t="str">
        <f t="shared" si="32"/>
        <v xml:space="preserve">Cambio de distribucion   </v>
      </c>
      <c r="K231" s="26" t="s">
        <v>322</v>
      </c>
      <c r="P231" s="27">
        <v>1</v>
      </c>
      <c r="Q231" s="34">
        <v>20000</v>
      </c>
      <c r="R231" s="36">
        <f t="shared" si="30"/>
        <v>20000</v>
      </c>
      <c r="U231" s="39">
        <f t="shared" si="28"/>
        <v>0</v>
      </c>
      <c r="V231" s="41">
        <f t="shared" si="33"/>
        <v>48000</v>
      </c>
    </row>
    <row r="232" spans="1:22" x14ac:dyDescent="0.25">
      <c r="A232" s="47">
        <v>69</v>
      </c>
      <c r="B232" s="31">
        <f t="shared" si="29"/>
        <v>1</v>
      </c>
      <c r="C232" s="48">
        <v>45247</v>
      </c>
      <c r="D232" s="47" t="s">
        <v>324</v>
      </c>
      <c r="E232" s="31" t="str">
        <f t="shared" si="31"/>
        <v>69Cuello Federico1</v>
      </c>
      <c r="G232" s="47" t="s">
        <v>325</v>
      </c>
      <c r="H232" s="26" t="s">
        <v>308</v>
      </c>
      <c r="I232" s="31" t="str">
        <f t="shared" si="32"/>
        <v>Service completo del vehiculo.                                                                                                                                                                 El valor del servicio abarca el control de mas de 50 puntos del automovil.</v>
      </c>
      <c r="K232" s="26" t="s">
        <v>91</v>
      </c>
      <c r="P232" s="27">
        <v>1</v>
      </c>
      <c r="Q232" s="34">
        <v>25000</v>
      </c>
      <c r="R232" s="36">
        <f t="shared" si="30"/>
        <v>25000</v>
      </c>
      <c r="S232" s="6">
        <v>1</v>
      </c>
      <c r="T232" s="7">
        <v>42800</v>
      </c>
      <c r="U232" s="39">
        <f t="shared" si="28"/>
        <v>42800</v>
      </c>
      <c r="V232" s="41">
        <f t="shared" si="33"/>
        <v>42800</v>
      </c>
    </row>
    <row r="233" spans="1:22" x14ac:dyDescent="0.25">
      <c r="A233" s="47">
        <v>69</v>
      </c>
      <c r="B233" s="31">
        <f t="shared" si="29"/>
        <v>2</v>
      </c>
      <c r="C233" s="48">
        <f>IF(A233=A232,C232,"")</f>
        <v>45247</v>
      </c>
      <c r="D233" s="47" t="str">
        <f>IF(A233=A232,D232,"")</f>
        <v>Cuello Federico</v>
      </c>
      <c r="E233" s="31" t="str">
        <f t="shared" si="31"/>
        <v>69Cuello Federico2</v>
      </c>
      <c r="I233" s="31" t="str">
        <f t="shared" si="32"/>
        <v xml:space="preserve">Service completo del vehiculo.                                                                                                                                                                 El valor del servicio abarca el control de mas de 50 puntos del automovil. </v>
      </c>
      <c r="K233" s="26" t="s">
        <v>326</v>
      </c>
      <c r="P233" s="27">
        <v>4</v>
      </c>
      <c r="Q233" s="34">
        <v>12250</v>
      </c>
      <c r="R233" s="36">
        <f t="shared" si="30"/>
        <v>49000</v>
      </c>
      <c r="U233" s="39">
        <f t="shared" si="28"/>
        <v>0</v>
      </c>
      <c r="V233" s="41">
        <f t="shared" si="33"/>
        <v>42800</v>
      </c>
    </row>
    <row r="234" spans="1:22" x14ac:dyDescent="0.25">
      <c r="A234" s="47">
        <v>70</v>
      </c>
      <c r="B234" s="31">
        <f t="shared" si="29"/>
        <v>1</v>
      </c>
      <c r="C234" s="48">
        <v>45252</v>
      </c>
      <c r="D234" s="47" t="s">
        <v>327</v>
      </c>
      <c r="E234" s="31" t="str">
        <f t="shared" si="31"/>
        <v>70Natasha Torres1</v>
      </c>
      <c r="G234" s="47" t="s">
        <v>187</v>
      </c>
      <c r="H234" s="26" t="s">
        <v>328</v>
      </c>
      <c r="I234" s="31" t="str">
        <f t="shared" si="32"/>
        <v>Cambiar cilindro mayor, liquido de freno y purgar.</v>
      </c>
      <c r="K234" s="26" t="s">
        <v>330</v>
      </c>
      <c r="P234" s="27">
        <v>1</v>
      </c>
      <c r="Q234" s="34">
        <v>44200</v>
      </c>
      <c r="R234" s="36">
        <f t="shared" si="30"/>
        <v>44200</v>
      </c>
      <c r="S234" s="6">
        <v>1</v>
      </c>
      <c r="T234" s="7">
        <v>12000</v>
      </c>
      <c r="U234" s="39">
        <f t="shared" si="28"/>
        <v>12000</v>
      </c>
      <c r="V234" s="41">
        <f t="shared" si="33"/>
        <v>12000</v>
      </c>
    </row>
    <row r="235" spans="1:22" x14ac:dyDescent="0.25">
      <c r="A235" s="47">
        <v>70</v>
      </c>
      <c r="B235" s="31">
        <f t="shared" si="29"/>
        <v>2</v>
      </c>
      <c r="C235" s="48">
        <f>IF(A235=A234,C234,"")</f>
        <v>45252</v>
      </c>
      <c r="D235" s="47" t="str">
        <f>IF(A235=A234,D234,"")</f>
        <v>Natasha Torres</v>
      </c>
      <c r="E235" s="31" t="str">
        <f t="shared" si="31"/>
        <v>70Natasha Torres2</v>
      </c>
      <c r="I235" s="31" t="str">
        <f t="shared" si="32"/>
        <v xml:space="preserve">Cambiar cilindro mayor, liquido de freno y purgar. </v>
      </c>
      <c r="K235" s="26" t="s">
        <v>331</v>
      </c>
      <c r="P235" s="27"/>
      <c r="Q235" s="34"/>
      <c r="R235" s="36">
        <f t="shared" si="30"/>
        <v>0</v>
      </c>
      <c r="U235" s="39">
        <f t="shared" si="28"/>
        <v>0</v>
      </c>
      <c r="V235" s="41">
        <f t="shared" si="33"/>
        <v>12000</v>
      </c>
    </row>
    <row r="236" spans="1:22" x14ac:dyDescent="0.25">
      <c r="A236" s="47">
        <v>71</v>
      </c>
      <c r="B236" s="31">
        <f t="shared" si="29"/>
        <v>1</v>
      </c>
      <c r="C236" s="48">
        <v>45252</v>
      </c>
      <c r="D236" s="47" t="s">
        <v>327</v>
      </c>
      <c r="E236" s="31" t="str">
        <f t="shared" si="31"/>
        <v>71Natasha Torres1</v>
      </c>
      <c r="G236" s="47" t="s">
        <v>187</v>
      </c>
      <c r="H236" s="26" t="s">
        <v>328</v>
      </c>
      <c r="I236" s="31" t="str">
        <f t="shared" si="32"/>
        <v>Cambiar cilindro mayor, liquido de freno y purgar.</v>
      </c>
      <c r="K236" s="26" t="s">
        <v>329</v>
      </c>
      <c r="P236" s="27">
        <v>1</v>
      </c>
      <c r="Q236" s="34">
        <v>68000</v>
      </c>
      <c r="R236" s="36">
        <f t="shared" si="30"/>
        <v>68000</v>
      </c>
      <c r="S236" s="6">
        <v>1</v>
      </c>
      <c r="T236" s="7">
        <v>12000</v>
      </c>
      <c r="U236" s="39">
        <f t="shared" si="28"/>
        <v>12000</v>
      </c>
      <c r="V236" s="41">
        <f t="shared" si="33"/>
        <v>12000</v>
      </c>
    </row>
    <row r="237" spans="1:22" x14ac:dyDescent="0.25">
      <c r="A237" s="47">
        <v>71</v>
      </c>
      <c r="B237" s="31">
        <f t="shared" si="29"/>
        <v>2</v>
      </c>
      <c r="C237" s="48">
        <f>IF(A237=A236,C236,"")</f>
        <v>45252</v>
      </c>
      <c r="D237" s="47" t="str">
        <f>IF(A237=A236,D236,"")</f>
        <v>Natasha Torres</v>
      </c>
      <c r="E237" s="31" t="str">
        <f t="shared" si="31"/>
        <v>71Natasha Torres2</v>
      </c>
      <c r="I237" s="31" t="str">
        <f t="shared" si="32"/>
        <v xml:space="preserve">Cambiar cilindro mayor, liquido de freno y purgar. </v>
      </c>
      <c r="P237" s="27"/>
      <c r="Q237" s="34"/>
      <c r="R237" s="36">
        <f t="shared" si="30"/>
        <v>0</v>
      </c>
      <c r="U237" s="39">
        <f t="shared" si="28"/>
        <v>0</v>
      </c>
      <c r="V237" s="41">
        <f t="shared" si="33"/>
        <v>12000</v>
      </c>
    </row>
    <row r="238" spans="1:22" x14ac:dyDescent="0.25">
      <c r="A238" s="47">
        <v>72</v>
      </c>
      <c r="B238" s="31">
        <f t="shared" si="29"/>
        <v>1</v>
      </c>
      <c r="C238" s="48">
        <v>45252</v>
      </c>
      <c r="D238" s="47" t="s">
        <v>332</v>
      </c>
      <c r="E238" s="31" t="str">
        <f t="shared" si="31"/>
        <v>72Pereyra Daniel1</v>
      </c>
      <c r="G238" s="47" t="s">
        <v>75</v>
      </c>
      <c r="H238" s="26" t="s">
        <v>333</v>
      </c>
      <c r="I238" s="31" t="str">
        <f t="shared" si="32"/>
        <v>Service completo del vehiculo.                                                                                                                                                     El valor del servicio abarca el control de mas de 50 puntos del automovil.</v>
      </c>
      <c r="K238" s="26" t="s">
        <v>91</v>
      </c>
      <c r="P238" s="27">
        <v>1</v>
      </c>
      <c r="Q238" s="34">
        <v>110000</v>
      </c>
      <c r="R238" s="36">
        <f t="shared" si="30"/>
        <v>110000</v>
      </c>
      <c r="S238" s="6">
        <v>1</v>
      </c>
      <c r="T238" s="7">
        <v>59400</v>
      </c>
      <c r="U238" s="39">
        <f t="shared" si="28"/>
        <v>59400</v>
      </c>
      <c r="V238" s="41">
        <f t="shared" si="33"/>
        <v>59400</v>
      </c>
    </row>
    <row r="239" spans="1:22" x14ac:dyDescent="0.25">
      <c r="A239" s="47">
        <v>72</v>
      </c>
      <c r="B239" s="31">
        <f t="shared" si="29"/>
        <v>2</v>
      </c>
      <c r="C239" s="48">
        <f>IF(A239=A238,C238,"")</f>
        <v>45252</v>
      </c>
      <c r="D239" s="47" t="str">
        <f>IF(A239=A238,D238,"")</f>
        <v>Pereyra Daniel</v>
      </c>
      <c r="E239" s="31" t="str">
        <f t="shared" si="31"/>
        <v>72Pereyra Daniel2</v>
      </c>
      <c r="I239" s="31" t="str">
        <f t="shared" si="32"/>
        <v xml:space="preserve">Service completo del vehiculo.                                                                                                                                                     El valor del servicio abarca el control de mas de 50 puntos del automovil. </v>
      </c>
      <c r="K239" s="26" t="s">
        <v>334</v>
      </c>
      <c r="P239" s="27">
        <v>8</v>
      </c>
      <c r="Q239" s="34">
        <v>13500</v>
      </c>
      <c r="R239" s="36">
        <f t="shared" si="30"/>
        <v>108000</v>
      </c>
      <c r="U239" s="39">
        <f t="shared" si="28"/>
        <v>0</v>
      </c>
      <c r="V239" s="41">
        <f t="shared" si="33"/>
        <v>59400</v>
      </c>
    </row>
    <row r="240" spans="1:22" x14ac:dyDescent="0.25">
      <c r="A240" s="47">
        <v>73</v>
      </c>
      <c r="B240" s="31">
        <f t="shared" si="29"/>
        <v>1</v>
      </c>
      <c r="C240" s="48">
        <v>45254</v>
      </c>
      <c r="D240" s="47" t="s">
        <v>335</v>
      </c>
      <c r="E240" s="31" t="str">
        <f t="shared" si="31"/>
        <v>73Pico Gabriel1</v>
      </c>
      <c r="F240" s="47" t="s">
        <v>339</v>
      </c>
      <c r="G240" s="47" t="s">
        <v>336</v>
      </c>
      <c r="H240" s="26" t="s">
        <v>338</v>
      </c>
      <c r="I240" s="31" t="str">
        <f t="shared" si="32"/>
        <v>Cambio kit de distribución completo.</v>
      </c>
      <c r="K240" s="26" t="s">
        <v>321</v>
      </c>
      <c r="P240" s="27">
        <v>1</v>
      </c>
      <c r="Q240" s="34">
        <v>94000</v>
      </c>
      <c r="R240" s="36">
        <f t="shared" si="30"/>
        <v>94000</v>
      </c>
      <c r="S240" s="6">
        <v>1</v>
      </c>
      <c r="T240" s="7">
        <v>80000</v>
      </c>
      <c r="U240" s="39">
        <f t="shared" si="28"/>
        <v>80000</v>
      </c>
      <c r="V240" s="41">
        <f t="shared" si="33"/>
        <v>80000</v>
      </c>
    </row>
    <row r="241" spans="1:22" x14ac:dyDescent="0.25">
      <c r="A241" s="47">
        <v>73</v>
      </c>
      <c r="B241" s="31">
        <f t="shared" si="29"/>
        <v>2</v>
      </c>
      <c r="C241" s="48">
        <f>IF(A241=A240,C240,"")</f>
        <v>45254</v>
      </c>
      <c r="D241" s="47" t="str">
        <f>IF(A241=A240,D240,"")</f>
        <v>Pico Gabriel</v>
      </c>
      <c r="E241" s="31" t="str">
        <f t="shared" si="31"/>
        <v>73Pico Gabriel2</v>
      </c>
      <c r="I241" s="31" t="str">
        <f t="shared" si="32"/>
        <v xml:space="preserve">Cambio kit de distribución completo. </v>
      </c>
      <c r="K241" s="26" t="s">
        <v>69</v>
      </c>
      <c r="P241" s="27">
        <v>1</v>
      </c>
      <c r="Q241" s="34">
        <v>52000</v>
      </c>
      <c r="R241" s="36">
        <f t="shared" si="30"/>
        <v>52000</v>
      </c>
      <c r="U241" s="39">
        <f t="shared" si="28"/>
        <v>0</v>
      </c>
      <c r="V241" s="41">
        <f t="shared" si="33"/>
        <v>80000</v>
      </c>
    </row>
    <row r="242" spans="1:22" x14ac:dyDescent="0.25">
      <c r="A242" s="47">
        <v>73</v>
      </c>
      <c r="B242" s="31">
        <f t="shared" si="29"/>
        <v>3</v>
      </c>
      <c r="C242" s="48">
        <f>IF(A242=A241,C241,"")</f>
        <v>45254</v>
      </c>
      <c r="D242" s="47" t="str">
        <f>IF(A242=A241,D241,"")</f>
        <v>Pico Gabriel</v>
      </c>
      <c r="E242" s="31" t="str">
        <f t="shared" si="31"/>
        <v>73Pico Gabriel3</v>
      </c>
      <c r="I242" s="31" t="str">
        <f t="shared" si="32"/>
        <v xml:space="preserve">Cambio kit de distribución completo.  </v>
      </c>
      <c r="K242" s="26" t="s">
        <v>322</v>
      </c>
      <c r="P242" s="27">
        <v>1</v>
      </c>
      <c r="Q242" s="34">
        <v>18800</v>
      </c>
      <c r="R242" s="36">
        <f t="shared" si="30"/>
        <v>18800</v>
      </c>
      <c r="U242" s="39">
        <f t="shared" si="28"/>
        <v>0</v>
      </c>
      <c r="V242" s="41">
        <f t="shared" si="33"/>
        <v>80000</v>
      </c>
    </row>
    <row r="243" spans="1:22" x14ac:dyDescent="0.25">
      <c r="A243" s="47">
        <v>73</v>
      </c>
      <c r="B243" s="31">
        <f t="shared" si="29"/>
        <v>4</v>
      </c>
      <c r="C243" s="48">
        <f>IF(A243=A242,C242,"")</f>
        <v>45254</v>
      </c>
      <c r="D243" s="47" t="str">
        <f>IF(A243=A242,D242,"")</f>
        <v>Pico Gabriel</v>
      </c>
      <c r="E243" s="31" t="str">
        <f t="shared" si="31"/>
        <v>73Pico Gabriel4</v>
      </c>
      <c r="I243" s="31" t="str">
        <f t="shared" si="32"/>
        <v xml:space="preserve">Cambio kit de distribución completo.   </v>
      </c>
      <c r="K243" s="26" t="s">
        <v>337</v>
      </c>
      <c r="P243" s="27">
        <v>1</v>
      </c>
      <c r="Q243" s="34">
        <v>16600</v>
      </c>
      <c r="R243" s="36">
        <f t="shared" si="30"/>
        <v>16600</v>
      </c>
      <c r="U243" s="39">
        <f t="shared" si="28"/>
        <v>0</v>
      </c>
      <c r="V243" s="41">
        <f t="shared" si="33"/>
        <v>80000</v>
      </c>
    </row>
    <row r="244" spans="1:22" x14ac:dyDescent="0.25">
      <c r="A244" s="47">
        <v>74</v>
      </c>
      <c r="B244" s="31">
        <f t="shared" si="29"/>
        <v>1</v>
      </c>
      <c r="C244" s="48">
        <v>45257</v>
      </c>
      <c r="D244" s="47" t="s">
        <v>153</v>
      </c>
      <c r="E244" s="31" t="str">
        <f t="shared" si="31"/>
        <v>74Giordano Hugo1</v>
      </c>
      <c r="G244" s="47" t="s">
        <v>154</v>
      </c>
      <c r="H244" s="26" t="s">
        <v>340</v>
      </c>
      <c r="I244" s="31" t="str">
        <f t="shared" si="32"/>
        <v>Cambio kit distribución completo.</v>
      </c>
      <c r="K244" s="26" t="s">
        <v>341</v>
      </c>
      <c r="P244" s="27">
        <v>1</v>
      </c>
      <c r="Q244" s="34">
        <v>76000</v>
      </c>
      <c r="R244" s="36">
        <f t="shared" si="30"/>
        <v>76000</v>
      </c>
      <c r="S244" s="6">
        <v>1</v>
      </c>
      <c r="T244" s="7">
        <v>66400</v>
      </c>
      <c r="U244" s="39">
        <f t="shared" si="28"/>
        <v>66400</v>
      </c>
      <c r="V244" s="41">
        <f t="shared" si="33"/>
        <v>66400</v>
      </c>
    </row>
    <row r="245" spans="1:22" x14ac:dyDescent="0.25">
      <c r="A245" s="47">
        <v>74</v>
      </c>
      <c r="B245" s="31">
        <f t="shared" si="29"/>
        <v>2</v>
      </c>
      <c r="C245" s="48">
        <f>IF(A245=A244,C244,"")</f>
        <v>45257</v>
      </c>
      <c r="D245" s="47" t="str">
        <f>IF(A245=A244,D244,"")</f>
        <v>Giordano Hugo</v>
      </c>
      <c r="E245" s="31" t="str">
        <f t="shared" si="31"/>
        <v>74Giordano Hugo2</v>
      </c>
      <c r="I245" s="31" t="str">
        <f t="shared" si="32"/>
        <v xml:space="preserve">Cambio kit distribución completo. </v>
      </c>
      <c r="K245" s="26" t="s">
        <v>322</v>
      </c>
      <c r="P245" s="27">
        <v>1</v>
      </c>
      <c r="Q245" s="34">
        <v>24000</v>
      </c>
      <c r="R245" s="36">
        <f t="shared" si="30"/>
        <v>24000</v>
      </c>
      <c r="U245" s="39">
        <f t="shared" si="28"/>
        <v>0</v>
      </c>
      <c r="V245" s="41">
        <f t="shared" si="33"/>
        <v>66400</v>
      </c>
    </row>
    <row r="246" spans="1:22" x14ac:dyDescent="0.25">
      <c r="A246" s="47">
        <v>74</v>
      </c>
      <c r="B246" s="31">
        <f t="shared" si="29"/>
        <v>3</v>
      </c>
      <c r="C246" s="48">
        <f>IF(A246=A245,C245,"")</f>
        <v>45257</v>
      </c>
      <c r="D246" s="47" t="str">
        <f>IF(A246=A245,D245,"")</f>
        <v>Giordano Hugo</v>
      </c>
      <c r="E246" s="31" t="str">
        <f t="shared" si="31"/>
        <v>74Giordano Hugo3</v>
      </c>
      <c r="I246" s="31" t="str">
        <f t="shared" si="32"/>
        <v xml:space="preserve">Cambio kit distribución completo.  </v>
      </c>
      <c r="K246" s="26" t="s">
        <v>69</v>
      </c>
      <c r="P246" s="27">
        <v>1</v>
      </c>
      <c r="Q246" s="34">
        <v>42000</v>
      </c>
      <c r="R246" s="36">
        <f t="shared" si="30"/>
        <v>42000</v>
      </c>
      <c r="U246" s="39">
        <f t="shared" si="28"/>
        <v>0</v>
      </c>
      <c r="V246" s="41">
        <f t="shared" si="33"/>
        <v>66400</v>
      </c>
    </row>
    <row r="247" spans="1:22" x14ac:dyDescent="0.25">
      <c r="A247" s="47">
        <v>74</v>
      </c>
      <c r="B247" s="31">
        <f t="shared" si="29"/>
        <v>4</v>
      </c>
      <c r="C247" s="48">
        <f>IF(A247=A246,C246,"")</f>
        <v>45257</v>
      </c>
      <c r="D247" s="47" t="str">
        <f>IF(A247=A246,D246,"")</f>
        <v>Giordano Hugo</v>
      </c>
      <c r="E247" s="31" t="str">
        <f t="shared" si="31"/>
        <v>74Giordano Hugo4</v>
      </c>
      <c r="I247" s="31" t="str">
        <f t="shared" si="32"/>
        <v xml:space="preserve">Cambio kit distribución completo.   </v>
      </c>
      <c r="K247" s="26" t="s">
        <v>337</v>
      </c>
      <c r="P247" s="27">
        <v>1</v>
      </c>
      <c r="Q247" s="34">
        <v>16600</v>
      </c>
      <c r="R247" s="36">
        <f t="shared" si="30"/>
        <v>16600</v>
      </c>
      <c r="U247" s="39">
        <f t="shared" si="28"/>
        <v>0</v>
      </c>
      <c r="V247" s="41">
        <f t="shared" si="33"/>
        <v>66400</v>
      </c>
    </row>
    <row r="248" spans="1:22" x14ac:dyDescent="0.25">
      <c r="A248" s="47">
        <v>75</v>
      </c>
      <c r="B248" s="31">
        <f t="shared" si="29"/>
        <v>1</v>
      </c>
      <c r="C248" s="48">
        <v>45258</v>
      </c>
      <c r="D248" s="47" t="s">
        <v>342</v>
      </c>
      <c r="E248" s="31" t="str">
        <f t="shared" si="31"/>
        <v>75Monge Natalia1</v>
      </c>
      <c r="G248" s="47" t="s">
        <v>343</v>
      </c>
      <c r="H248" s="26" t="s">
        <v>344</v>
      </c>
      <c r="I248" s="31" t="str">
        <f t="shared" si="32"/>
        <v>Cambio kit distribucion, bomba de agua, correa poly-v, liquido refrigerante. Purgado circuito de refrigeracion. Puesta a punto. Armado total. Cambio oring parte trasera de arbol de levas.</v>
      </c>
      <c r="K248" s="26" t="s">
        <v>341</v>
      </c>
      <c r="P248" s="27">
        <v>1</v>
      </c>
      <c r="Q248" s="34">
        <v>48000</v>
      </c>
      <c r="R248" s="36">
        <f t="shared" si="30"/>
        <v>48000</v>
      </c>
      <c r="S248" s="6">
        <v>1</v>
      </c>
      <c r="T248" s="7">
        <v>60000</v>
      </c>
      <c r="U248" s="39">
        <f t="shared" si="28"/>
        <v>60000</v>
      </c>
      <c r="V248" s="41">
        <f t="shared" si="33"/>
        <v>60000</v>
      </c>
    </row>
    <row r="249" spans="1:22" x14ac:dyDescent="0.25">
      <c r="A249" s="47">
        <v>75</v>
      </c>
      <c r="B249" s="31">
        <f t="shared" si="29"/>
        <v>2</v>
      </c>
      <c r="C249" s="48">
        <f>IF(A249=A248,C248,"")</f>
        <v>45258</v>
      </c>
      <c r="D249" s="47" t="str">
        <f>IF(A249=A248,D248,"")</f>
        <v>Monge Natalia</v>
      </c>
      <c r="E249" s="31" t="str">
        <f t="shared" si="31"/>
        <v>75Monge Natalia2</v>
      </c>
      <c r="I249" s="31" t="str">
        <f t="shared" si="32"/>
        <v xml:space="preserve">Cambio kit distribucion, bomba de agua, correa poly-v, liquido refrigerante. Purgado circuito de refrigeracion. Puesta a punto. Armado total. Cambio oring parte trasera de arbol de levas. </v>
      </c>
      <c r="K249" s="26" t="s">
        <v>69</v>
      </c>
      <c r="P249" s="27">
        <v>1</v>
      </c>
      <c r="Q249" s="34">
        <v>26000</v>
      </c>
      <c r="R249" s="36">
        <f t="shared" si="30"/>
        <v>26000</v>
      </c>
      <c r="U249" s="39">
        <f t="shared" si="28"/>
        <v>0</v>
      </c>
      <c r="V249" s="41">
        <f t="shared" si="33"/>
        <v>60000</v>
      </c>
    </row>
    <row r="250" spans="1:22" x14ac:dyDescent="0.25">
      <c r="A250" s="47">
        <v>75</v>
      </c>
      <c r="B250" s="31">
        <f t="shared" si="29"/>
        <v>3</v>
      </c>
      <c r="C250" s="48">
        <f>IF(A250=A249,C249,"")</f>
        <v>45258</v>
      </c>
      <c r="D250" s="47" t="str">
        <f>IF(A250=A249,D249,"")</f>
        <v>Monge Natalia</v>
      </c>
      <c r="E250" s="31" t="str">
        <f t="shared" si="31"/>
        <v>75Monge Natalia3</v>
      </c>
      <c r="I250" s="31" t="str">
        <f t="shared" si="32"/>
        <v xml:space="preserve">Cambio kit distribucion, bomba de agua, correa poly-v, liquido refrigerante. Purgado circuito de refrigeracion. Puesta a punto. Armado total. Cambio oring parte trasera de arbol de levas.  </v>
      </c>
      <c r="K250" s="26" t="s">
        <v>322</v>
      </c>
      <c r="P250" s="27">
        <v>1</v>
      </c>
      <c r="Q250" s="34">
        <v>19800</v>
      </c>
      <c r="R250" s="36">
        <f t="shared" si="30"/>
        <v>19800</v>
      </c>
      <c r="U250" s="39">
        <f t="shared" si="28"/>
        <v>0</v>
      </c>
      <c r="V250" s="41">
        <f t="shared" si="33"/>
        <v>60000</v>
      </c>
    </row>
    <row r="251" spans="1:22" x14ac:dyDescent="0.25">
      <c r="A251" s="47">
        <v>75</v>
      </c>
      <c r="B251" s="31">
        <f t="shared" si="29"/>
        <v>4</v>
      </c>
      <c r="C251" s="48">
        <f>IF(A251=A250,C250,"")</f>
        <v>45258</v>
      </c>
      <c r="D251" s="47" t="str">
        <f>IF(A251=A250,D250,"")</f>
        <v>Monge Natalia</v>
      </c>
      <c r="E251" s="31" t="str">
        <f t="shared" si="31"/>
        <v>75Monge Natalia4</v>
      </c>
      <c r="I251" s="31" t="str">
        <f t="shared" si="32"/>
        <v xml:space="preserve">Cambio kit distribucion, bomba de agua, correa poly-v, liquido refrigerante. Purgado circuito de refrigeracion. Puesta a punto. Armado total. Cambio oring parte trasera de arbol de levas.   </v>
      </c>
      <c r="K251" s="26" t="s">
        <v>337</v>
      </c>
      <c r="P251" s="27">
        <v>1</v>
      </c>
      <c r="Q251" s="34">
        <v>16600</v>
      </c>
      <c r="R251" s="36">
        <f t="shared" si="30"/>
        <v>16600</v>
      </c>
      <c r="U251" s="39">
        <f t="shared" si="28"/>
        <v>0</v>
      </c>
      <c r="V251" s="41">
        <f t="shared" si="33"/>
        <v>60000</v>
      </c>
    </row>
    <row r="252" spans="1:22" x14ac:dyDescent="0.25">
      <c r="A252" s="47">
        <v>76</v>
      </c>
      <c r="B252" s="31">
        <f t="shared" si="29"/>
        <v>1</v>
      </c>
      <c r="C252" s="48">
        <v>45259</v>
      </c>
      <c r="D252" s="47" t="s">
        <v>345</v>
      </c>
      <c r="E252" s="31" t="str">
        <f t="shared" si="31"/>
        <v>76Martinengo Mario1</v>
      </c>
      <c r="G252" s="47" t="s">
        <v>346</v>
      </c>
      <c r="H252" s="26" t="s">
        <v>347</v>
      </c>
      <c r="I252" s="31" t="str">
        <f t="shared" si="32"/>
        <v>Cambio kit distribucion, bomba de agua, correa poly-v, liquido refrigerante. Service completo. Cambio de aceite y filtros.</v>
      </c>
      <c r="K252" s="26" t="s">
        <v>341</v>
      </c>
      <c r="P252" s="27">
        <v>1</v>
      </c>
      <c r="Q252" s="34"/>
      <c r="R252" s="36">
        <f t="shared" si="30"/>
        <v>0</v>
      </c>
      <c r="U252" s="39">
        <f t="shared" si="28"/>
        <v>0</v>
      </c>
      <c r="V252" s="41">
        <f t="shared" si="33"/>
        <v>0</v>
      </c>
    </row>
    <row r="253" spans="1:22" x14ac:dyDescent="0.25">
      <c r="A253" s="47">
        <v>76</v>
      </c>
      <c r="B253" s="31">
        <f t="shared" si="29"/>
        <v>2</v>
      </c>
      <c r="C253" s="48">
        <f>IF(A253=A252,C252,"")</f>
        <v>45259</v>
      </c>
      <c r="D253" s="47" t="str">
        <f>IF(A253=A252,D252,"")</f>
        <v>Martinengo Mario</v>
      </c>
      <c r="E253" s="31" t="str">
        <f t="shared" si="31"/>
        <v>76Martinengo Mario2</v>
      </c>
      <c r="I253" s="31" t="str">
        <f t="shared" si="32"/>
        <v xml:space="preserve">Cambio kit distribucion, bomba de agua, correa poly-v, liquido refrigerante. Service completo. Cambio de aceite y filtros. </v>
      </c>
      <c r="K253" s="26" t="s">
        <v>69</v>
      </c>
      <c r="P253" s="27">
        <v>1</v>
      </c>
      <c r="Q253" s="34"/>
      <c r="R253" s="36">
        <f t="shared" si="30"/>
        <v>0</v>
      </c>
      <c r="U253" s="39">
        <f t="shared" si="28"/>
        <v>0</v>
      </c>
      <c r="V253" s="41">
        <f t="shared" si="33"/>
        <v>0</v>
      </c>
    </row>
    <row r="254" spans="1:22" x14ac:dyDescent="0.25">
      <c r="A254" s="47">
        <v>76</v>
      </c>
      <c r="B254" s="31">
        <f t="shared" si="29"/>
        <v>3</v>
      </c>
      <c r="C254" s="48">
        <f>IF(A254=A253,C253,"")</f>
        <v>45259</v>
      </c>
      <c r="D254" s="47" t="str">
        <f>IF(A254=A253,D253,"")</f>
        <v>Martinengo Mario</v>
      </c>
      <c r="E254" s="31" t="str">
        <f t="shared" si="31"/>
        <v>76Martinengo Mario3</v>
      </c>
      <c r="I254" s="31" t="str">
        <f t="shared" si="32"/>
        <v xml:space="preserve">Cambio kit distribucion, bomba de agua, correa poly-v, liquido refrigerante. Service completo. Cambio de aceite y filtros.  </v>
      </c>
      <c r="K254" s="26" t="s">
        <v>322</v>
      </c>
      <c r="P254" s="27">
        <v>1</v>
      </c>
      <c r="Q254" s="34"/>
      <c r="R254" s="36">
        <f t="shared" si="30"/>
        <v>0</v>
      </c>
      <c r="U254" s="39">
        <f t="shared" si="28"/>
        <v>0</v>
      </c>
      <c r="V254" s="41">
        <f t="shared" si="33"/>
        <v>0</v>
      </c>
    </row>
    <row r="255" spans="1:22" x14ac:dyDescent="0.25">
      <c r="A255" s="47">
        <v>76</v>
      </c>
      <c r="B255" s="31">
        <f t="shared" si="29"/>
        <v>4</v>
      </c>
      <c r="C255" s="48">
        <f>IF(A255=A254,C254,"")</f>
        <v>45259</v>
      </c>
      <c r="D255" s="47" t="str">
        <f>IF(A255=A254,D254,"")</f>
        <v>Martinengo Mario</v>
      </c>
      <c r="E255" s="31" t="str">
        <f t="shared" si="31"/>
        <v>76Martinengo Mario4</v>
      </c>
      <c r="I255" s="31" t="str">
        <f t="shared" si="32"/>
        <v xml:space="preserve">Cambio kit distribucion, bomba de agua, correa poly-v, liquido refrigerante. Service completo. Cambio de aceite y filtros.   </v>
      </c>
      <c r="K255" s="26" t="s">
        <v>337</v>
      </c>
      <c r="P255" s="27">
        <v>1</v>
      </c>
      <c r="Q255" s="34">
        <v>16600</v>
      </c>
      <c r="R255" s="36">
        <f t="shared" si="30"/>
        <v>16600</v>
      </c>
      <c r="U255" s="39">
        <f t="shared" si="28"/>
        <v>0</v>
      </c>
      <c r="V255" s="41">
        <f t="shared" si="33"/>
        <v>0</v>
      </c>
    </row>
    <row r="256" spans="1:22" x14ac:dyDescent="0.25">
      <c r="A256" s="47">
        <v>76</v>
      </c>
      <c r="B256" s="31">
        <f t="shared" si="29"/>
        <v>5</v>
      </c>
      <c r="C256" s="48">
        <f>IF(A256=A255,C255,"")</f>
        <v>45259</v>
      </c>
      <c r="D256" s="47" t="str">
        <f>IF(A256=A255,D255,"")</f>
        <v>Martinengo Mario</v>
      </c>
      <c r="E256" s="31" t="str">
        <f t="shared" si="31"/>
        <v>76Martinengo Mario5</v>
      </c>
      <c r="I256" s="31" t="str">
        <f t="shared" si="32"/>
        <v xml:space="preserve">Cambio kit distribucion, bomba de agua, correa poly-v, liquido refrigerante. Service completo. Cambio de aceite y filtros.    </v>
      </c>
      <c r="K256" s="26" t="s">
        <v>91</v>
      </c>
      <c r="P256" s="27">
        <v>1</v>
      </c>
      <c r="Q256" s="34"/>
      <c r="R256" s="36">
        <f t="shared" si="30"/>
        <v>0</v>
      </c>
      <c r="U256" s="39">
        <f t="shared" si="28"/>
        <v>0</v>
      </c>
      <c r="V256" s="41">
        <f t="shared" si="33"/>
        <v>0</v>
      </c>
    </row>
    <row r="257" spans="1:22" x14ac:dyDescent="0.25">
      <c r="A257" s="47">
        <v>76</v>
      </c>
      <c r="B257" s="31">
        <f t="shared" si="29"/>
        <v>6</v>
      </c>
      <c r="C257" s="48">
        <f>IF(A257=A256,C256,"")</f>
        <v>45259</v>
      </c>
      <c r="D257" s="47" t="str">
        <f>IF(A257=A256,D256,"")</f>
        <v>Martinengo Mario</v>
      </c>
      <c r="E257" s="31" t="str">
        <f t="shared" si="31"/>
        <v>76Martinengo Mario6</v>
      </c>
      <c r="I257" s="31" t="str">
        <f t="shared" si="32"/>
        <v xml:space="preserve">Cambio kit distribucion, bomba de agua, correa poly-v, liquido refrigerante. Service completo. Cambio de aceite y filtros.     </v>
      </c>
      <c r="K257" s="26" t="s">
        <v>90</v>
      </c>
      <c r="P257" s="27">
        <v>4.5</v>
      </c>
      <c r="Q257" s="34">
        <v>8750</v>
      </c>
      <c r="R257" s="36">
        <f t="shared" si="30"/>
        <v>39375</v>
      </c>
      <c r="U257" s="39">
        <f t="shared" si="28"/>
        <v>0</v>
      </c>
      <c r="V257" s="41">
        <f t="shared" si="33"/>
        <v>0</v>
      </c>
    </row>
    <row r="258" spans="1:22" x14ac:dyDescent="0.25">
      <c r="A258" s="47">
        <v>77</v>
      </c>
      <c r="B258" s="31">
        <f t="shared" si="29"/>
        <v>1</v>
      </c>
      <c r="C258" s="48">
        <v>45259</v>
      </c>
      <c r="D258" s="47" t="s">
        <v>348</v>
      </c>
      <c r="E258" s="31" t="str">
        <f t="shared" si="31"/>
        <v>77Carrara Luis1</v>
      </c>
      <c r="G258" s="47" t="s">
        <v>349</v>
      </c>
      <c r="H258" s="26" t="s">
        <v>350</v>
      </c>
      <c r="I258" s="31" t="str">
        <f t="shared" si="32"/>
        <v>Service completo. Cambio de aceite y filtros.</v>
      </c>
      <c r="K258" s="26" t="s">
        <v>91</v>
      </c>
      <c r="P258" s="27">
        <v>1</v>
      </c>
      <c r="Q258" s="34">
        <v>76000</v>
      </c>
      <c r="R258" s="36">
        <f t="shared" si="30"/>
        <v>76000</v>
      </c>
      <c r="S258" s="6">
        <v>1</v>
      </c>
      <c r="T258" s="7">
        <v>48000</v>
      </c>
      <c r="U258" s="39">
        <f t="shared" si="28"/>
        <v>48000</v>
      </c>
      <c r="V258" s="41">
        <f t="shared" si="33"/>
        <v>48000</v>
      </c>
    </row>
    <row r="259" spans="1:22" x14ac:dyDescent="0.25">
      <c r="A259" s="47">
        <v>77</v>
      </c>
      <c r="B259" s="31">
        <f t="shared" si="29"/>
        <v>2</v>
      </c>
      <c r="C259" s="48">
        <f>IF(A259=A258,C258,"")</f>
        <v>45259</v>
      </c>
      <c r="D259" s="47" t="str">
        <f>IF(A259=A258,D258,"")</f>
        <v>Carrara Luis</v>
      </c>
      <c r="E259" s="31" t="str">
        <f t="shared" si="31"/>
        <v>77Carrara Luis2</v>
      </c>
      <c r="I259" s="31" t="str">
        <f t="shared" si="32"/>
        <v xml:space="preserve">Service completo. Cambio de aceite y filtros. </v>
      </c>
      <c r="K259" s="26" t="s">
        <v>289</v>
      </c>
      <c r="P259" s="27">
        <v>5</v>
      </c>
      <c r="Q259" s="34">
        <v>8750</v>
      </c>
      <c r="R259" s="36">
        <f t="shared" si="30"/>
        <v>43750</v>
      </c>
      <c r="U259" s="39">
        <f t="shared" si="28"/>
        <v>0</v>
      </c>
      <c r="V259" s="41">
        <f t="shared" si="33"/>
        <v>48000</v>
      </c>
    </row>
    <row r="260" spans="1:22" x14ac:dyDescent="0.25">
      <c r="A260" s="47">
        <v>78</v>
      </c>
      <c r="B260" s="31">
        <f t="shared" si="29"/>
        <v>1</v>
      </c>
      <c r="C260" s="48">
        <v>45260</v>
      </c>
      <c r="D260" s="47" t="s">
        <v>351</v>
      </c>
      <c r="E260" s="31" t="str">
        <f t="shared" si="31"/>
        <v>78Magliano Barbara1</v>
      </c>
      <c r="G260" s="47" t="s">
        <v>352</v>
      </c>
      <c r="H260" s="26" t="s">
        <v>354</v>
      </c>
      <c r="I260" s="31" t="str">
        <f t="shared" si="32"/>
        <v xml:space="preserve">Desarmar suspension lado derecho. Sacar semieje. Cambio reten salida de caja lado derecho. Trasbasado de aceite de caja de velocidad. Completar nivel. Sacar tapa de carter. Sementar. Limpieza y colocacion. Cambiar kit de oring de gasificador. </v>
      </c>
      <c r="K260" s="26" t="s">
        <v>353</v>
      </c>
      <c r="P260" s="27">
        <v>1</v>
      </c>
      <c r="Q260" s="34">
        <v>7800</v>
      </c>
      <c r="R260" s="36">
        <f t="shared" si="30"/>
        <v>7800</v>
      </c>
      <c r="S260" s="6">
        <v>1</v>
      </c>
      <c r="T260" s="7">
        <v>70000</v>
      </c>
      <c r="U260" s="39">
        <f t="shared" ref="U260:U323" si="34">+T260*S260</f>
        <v>70000</v>
      </c>
      <c r="V260" s="41">
        <f t="shared" si="33"/>
        <v>70000</v>
      </c>
    </row>
    <row r="261" spans="1:22" x14ac:dyDescent="0.25">
      <c r="A261" s="47">
        <v>78</v>
      </c>
      <c r="B261" s="31">
        <f t="shared" ref="B261:B324" si="35">IF(A261=A260,B260+1,1)</f>
        <v>2</v>
      </c>
      <c r="C261" s="48">
        <f>IF(A261=A260,C260,"")</f>
        <v>45260</v>
      </c>
      <c r="D261" s="47" t="str">
        <f>IF(A261=A260,D260,"")</f>
        <v>Magliano Barbara</v>
      </c>
      <c r="E261" s="31" t="str">
        <f t="shared" si="31"/>
        <v>78Magliano Barbara2</v>
      </c>
      <c r="I261" s="31" t="str">
        <f t="shared" si="32"/>
        <v xml:space="preserve">Desarmar suspension lado derecho. Sacar semieje. Cambio reten salida de caja lado derecho. Trasbasado de aceite de caja de velocidad. Completar nivel. Sacar tapa de carter. Sementar. Limpieza y colocacion. Cambiar kit de oring de gasificador.  </v>
      </c>
      <c r="P261" s="27"/>
      <c r="Q261" s="34"/>
      <c r="R261" s="36">
        <f t="shared" si="30"/>
        <v>0</v>
      </c>
      <c r="U261" s="39">
        <f t="shared" si="34"/>
        <v>0</v>
      </c>
      <c r="V261" s="41">
        <f t="shared" si="33"/>
        <v>70000</v>
      </c>
    </row>
    <row r="262" spans="1:22" x14ac:dyDescent="0.25">
      <c r="A262" s="47">
        <v>79</v>
      </c>
      <c r="B262" s="31">
        <f t="shared" si="35"/>
        <v>1</v>
      </c>
      <c r="C262" s="48">
        <v>45265</v>
      </c>
      <c r="D262" s="47" t="s">
        <v>355</v>
      </c>
      <c r="E262" s="31" t="str">
        <f t="shared" si="31"/>
        <v>79Velazquez Rocio1</v>
      </c>
      <c r="G262" s="47" t="s">
        <v>336</v>
      </c>
      <c r="H262" s="26" t="s">
        <v>350</v>
      </c>
      <c r="I262" s="31" t="str">
        <f t="shared" si="32"/>
        <v>Service completo. Cambio de aceite y filtros.</v>
      </c>
      <c r="K262" s="26" t="s">
        <v>91</v>
      </c>
      <c r="P262" s="27">
        <v>1</v>
      </c>
      <c r="Q262" s="34">
        <v>26000</v>
      </c>
      <c r="R262" s="36">
        <f t="shared" si="30"/>
        <v>26000</v>
      </c>
      <c r="S262" s="6">
        <v>1</v>
      </c>
      <c r="T262" s="7">
        <v>49000</v>
      </c>
      <c r="U262" s="39">
        <f t="shared" si="34"/>
        <v>49000</v>
      </c>
      <c r="V262" s="41">
        <f t="shared" si="33"/>
        <v>49000</v>
      </c>
    </row>
    <row r="263" spans="1:22" x14ac:dyDescent="0.25">
      <c r="A263" s="47">
        <v>79</v>
      </c>
      <c r="B263" s="31">
        <f t="shared" si="35"/>
        <v>2</v>
      </c>
      <c r="C263" s="48">
        <f>IF(A263=A262,C262,"")</f>
        <v>45265</v>
      </c>
      <c r="D263" s="47" t="str">
        <f>IF(A263=A262,D262,"")</f>
        <v>Velazquez Rocio</v>
      </c>
      <c r="E263" s="31" t="str">
        <f t="shared" si="31"/>
        <v>79Velazquez Rocio2</v>
      </c>
      <c r="I263" s="31" t="str">
        <f t="shared" si="32"/>
        <v xml:space="preserve">Service completo. Cambio de aceite y filtros. </v>
      </c>
      <c r="K263" s="26" t="s">
        <v>90</v>
      </c>
      <c r="P263" s="27">
        <v>4</v>
      </c>
      <c r="Q263" s="34">
        <v>8750</v>
      </c>
      <c r="R263" s="36">
        <f t="shared" si="30"/>
        <v>35000</v>
      </c>
      <c r="U263" s="39">
        <f t="shared" si="34"/>
        <v>0</v>
      </c>
      <c r="V263" s="41">
        <f t="shared" si="33"/>
        <v>49000</v>
      </c>
    </row>
    <row r="264" spans="1:22" x14ac:dyDescent="0.25">
      <c r="A264" s="47">
        <v>80</v>
      </c>
      <c r="B264" s="31">
        <f t="shared" si="35"/>
        <v>1</v>
      </c>
      <c r="C264" s="48">
        <v>45267</v>
      </c>
      <c r="D264" s="47" t="s">
        <v>356</v>
      </c>
      <c r="E264" s="31" t="str">
        <f t="shared" si="31"/>
        <v>80Quaglia Dario1</v>
      </c>
      <c r="G264" s="47" t="s">
        <v>357</v>
      </c>
      <c r="H264" s="26" t="s">
        <v>358</v>
      </c>
      <c r="I264" s="31" t="str">
        <f t="shared" si="32"/>
        <v>Service completo. Cambio de aceite y filtros. Control general del vehiculo.</v>
      </c>
      <c r="K264" s="26" t="s">
        <v>90</v>
      </c>
      <c r="P264" s="27">
        <v>4</v>
      </c>
      <c r="Q264" s="34">
        <v>8750</v>
      </c>
      <c r="R264" s="36">
        <f t="shared" si="30"/>
        <v>35000</v>
      </c>
      <c r="S264" s="6">
        <v>1</v>
      </c>
      <c r="T264" s="7">
        <v>50000</v>
      </c>
      <c r="U264" s="39">
        <f t="shared" si="34"/>
        <v>50000</v>
      </c>
      <c r="V264" s="41">
        <f t="shared" si="33"/>
        <v>50000</v>
      </c>
    </row>
    <row r="265" spans="1:22" x14ac:dyDescent="0.25">
      <c r="A265" s="47">
        <v>80</v>
      </c>
      <c r="B265" s="31">
        <f t="shared" si="35"/>
        <v>2</v>
      </c>
      <c r="C265" s="48">
        <f>IF(A265=A264,C264,"")</f>
        <v>45267</v>
      </c>
      <c r="D265" s="47" t="str">
        <f>IF(A265=A264,D264,"")</f>
        <v>Quaglia Dario</v>
      </c>
      <c r="E265" s="31" t="str">
        <f t="shared" si="31"/>
        <v>80Quaglia Dario2</v>
      </c>
      <c r="I265" s="31" t="str">
        <f t="shared" si="32"/>
        <v xml:space="preserve">Service completo. Cambio de aceite y filtros. Control general del vehiculo. </v>
      </c>
      <c r="K265" s="26" t="s">
        <v>91</v>
      </c>
      <c r="P265" s="27">
        <v>1</v>
      </c>
      <c r="Q265" s="34">
        <v>18800</v>
      </c>
      <c r="R265" s="36">
        <f t="shared" si="30"/>
        <v>18800</v>
      </c>
      <c r="U265" s="39">
        <f t="shared" si="34"/>
        <v>0</v>
      </c>
      <c r="V265" s="41">
        <f t="shared" si="33"/>
        <v>50000</v>
      </c>
    </row>
    <row r="266" spans="1:22" x14ac:dyDescent="0.25">
      <c r="A266" s="47">
        <v>81</v>
      </c>
      <c r="B266" s="31">
        <f t="shared" si="35"/>
        <v>1</v>
      </c>
      <c r="C266" s="48">
        <v>45271</v>
      </c>
      <c r="D266" s="47" t="s">
        <v>335</v>
      </c>
      <c r="E266" s="31" t="str">
        <f t="shared" si="31"/>
        <v>81Pico Gabriel1</v>
      </c>
      <c r="F266" s="47" t="s">
        <v>360</v>
      </c>
      <c r="G266" s="47" t="s">
        <v>359</v>
      </c>
      <c r="H266" s="26" t="s">
        <v>358</v>
      </c>
      <c r="I266" s="31" t="str">
        <f t="shared" si="32"/>
        <v>Service completo. Cambio de aceite y filtros. Control general del vehiculo.</v>
      </c>
      <c r="K266" s="26" t="s">
        <v>91</v>
      </c>
      <c r="P266" s="27">
        <v>1</v>
      </c>
      <c r="Q266" s="34">
        <v>18000</v>
      </c>
      <c r="R266" s="36">
        <f t="shared" si="30"/>
        <v>18000</v>
      </c>
      <c r="U266" s="39">
        <f t="shared" si="34"/>
        <v>0</v>
      </c>
      <c r="V266" s="41">
        <f t="shared" si="33"/>
        <v>0</v>
      </c>
    </row>
    <row r="267" spans="1:22" x14ac:dyDescent="0.25">
      <c r="A267" s="47">
        <v>81</v>
      </c>
      <c r="B267" s="31">
        <f t="shared" si="35"/>
        <v>2</v>
      </c>
      <c r="C267" s="48">
        <f>IF(A267=A266,C266,"")</f>
        <v>45271</v>
      </c>
      <c r="D267" s="47" t="str">
        <f>IF(A267=A266,D266,"")</f>
        <v>Pico Gabriel</v>
      </c>
      <c r="E267" s="31" t="str">
        <f t="shared" si="31"/>
        <v>81Pico Gabriel2</v>
      </c>
      <c r="I267" s="31" t="str">
        <f t="shared" si="32"/>
        <v xml:space="preserve">Service completo. Cambio de aceite y filtros. Control general del vehiculo. </v>
      </c>
      <c r="K267" s="26" t="s">
        <v>108</v>
      </c>
      <c r="P267" s="27">
        <v>4</v>
      </c>
      <c r="Q267" s="34">
        <v>2480</v>
      </c>
      <c r="R267" s="36">
        <f t="shared" si="30"/>
        <v>9920</v>
      </c>
      <c r="U267" s="39">
        <f t="shared" si="34"/>
        <v>0</v>
      </c>
      <c r="V267" s="41">
        <f t="shared" si="33"/>
        <v>0</v>
      </c>
    </row>
    <row r="268" spans="1:22" x14ac:dyDescent="0.25">
      <c r="A268" s="47">
        <v>81</v>
      </c>
      <c r="B268" s="31">
        <f t="shared" si="35"/>
        <v>3</v>
      </c>
      <c r="C268" s="48">
        <f>IF(A268=A267,C267,"")</f>
        <v>45271</v>
      </c>
      <c r="D268" s="47" t="str">
        <f>IF(A268=A267,D267,"")</f>
        <v>Pico Gabriel</v>
      </c>
      <c r="E268" s="31" t="str">
        <f t="shared" si="31"/>
        <v>81Pico Gabriel3</v>
      </c>
      <c r="I268" s="31" t="str">
        <f t="shared" si="32"/>
        <v xml:space="preserve">Service completo. Cambio de aceite y filtros. Control general del vehiculo.  </v>
      </c>
      <c r="K268" s="26" t="s">
        <v>361</v>
      </c>
      <c r="P268" s="27">
        <v>1</v>
      </c>
      <c r="Q268" s="34">
        <v>23600</v>
      </c>
      <c r="R268" s="36">
        <f t="shared" si="30"/>
        <v>23600</v>
      </c>
      <c r="U268" s="39">
        <f t="shared" si="34"/>
        <v>0</v>
      </c>
      <c r="V268" s="41">
        <f t="shared" si="33"/>
        <v>0</v>
      </c>
    </row>
    <row r="269" spans="1:22" x14ac:dyDescent="0.25">
      <c r="A269" s="47">
        <v>82</v>
      </c>
      <c r="B269" s="31">
        <f t="shared" si="35"/>
        <v>1</v>
      </c>
      <c r="C269" s="48">
        <v>45274</v>
      </c>
      <c r="D269" s="47" t="s">
        <v>364</v>
      </c>
      <c r="E269" s="31" t="str">
        <f t="shared" si="31"/>
        <v>82Dimarco Sebastian1</v>
      </c>
      <c r="G269" s="47" t="s">
        <v>362</v>
      </c>
      <c r="H269" s="26" t="s">
        <v>358</v>
      </c>
      <c r="I269" s="31" t="str">
        <f t="shared" si="32"/>
        <v>Service completo. Cambio de aceite y filtros. Control general del vehiculo.</v>
      </c>
      <c r="K269" s="26" t="s">
        <v>91</v>
      </c>
      <c r="P269" s="27">
        <v>1</v>
      </c>
      <c r="Q269" s="34">
        <v>18900</v>
      </c>
      <c r="R269" s="36">
        <f t="shared" si="30"/>
        <v>18900</v>
      </c>
      <c r="S269" s="6">
        <v>1</v>
      </c>
      <c r="T269" s="7">
        <v>55000</v>
      </c>
      <c r="U269" s="39">
        <f t="shared" si="34"/>
        <v>55000</v>
      </c>
      <c r="V269" s="41">
        <f t="shared" si="33"/>
        <v>55000</v>
      </c>
    </row>
    <row r="270" spans="1:22" x14ac:dyDescent="0.25">
      <c r="A270" s="47">
        <v>82</v>
      </c>
      <c r="B270" s="31">
        <f t="shared" si="35"/>
        <v>2</v>
      </c>
      <c r="C270" s="48">
        <f>IF(A270=A269,C269,"")</f>
        <v>45274</v>
      </c>
      <c r="D270" s="47" t="str">
        <f>IF(A270=A269,D269,"")</f>
        <v>Dimarco Sebastian</v>
      </c>
      <c r="E270" s="31" t="str">
        <f t="shared" si="31"/>
        <v>82Dimarco Sebastian2</v>
      </c>
      <c r="I270" s="31" t="str">
        <f t="shared" si="32"/>
        <v xml:space="preserve">Service completo. Cambio de aceite y filtros. Control general del vehiculo. </v>
      </c>
      <c r="K270" s="26" t="s">
        <v>363</v>
      </c>
      <c r="P270" s="27">
        <v>4</v>
      </c>
      <c r="Q270" s="34">
        <v>4950</v>
      </c>
      <c r="R270" s="36">
        <f t="shared" si="30"/>
        <v>19800</v>
      </c>
      <c r="U270" s="39">
        <f t="shared" si="34"/>
        <v>0</v>
      </c>
      <c r="V270" s="41">
        <f t="shared" si="33"/>
        <v>55000</v>
      </c>
    </row>
    <row r="271" spans="1:22" x14ac:dyDescent="0.25">
      <c r="A271" s="47">
        <v>83</v>
      </c>
      <c r="B271" s="31">
        <f t="shared" si="35"/>
        <v>1</v>
      </c>
      <c r="C271" s="48">
        <v>45274</v>
      </c>
      <c r="D271" s="47" t="s">
        <v>365</v>
      </c>
      <c r="E271" s="31" t="str">
        <f t="shared" si="31"/>
        <v>83Olmedo Diego1</v>
      </c>
      <c r="G271" s="47" t="s">
        <v>65</v>
      </c>
      <c r="H271" s="26" t="s">
        <v>366</v>
      </c>
      <c r="I271" s="31" t="str">
        <f t="shared" si="32"/>
        <v>Desarmar distribucion completa. Cambio kit de distribucion, bomba de agua, correa poly-v y liquido refrigerante. Purgado del circuito de refrigeracion. Armado total</v>
      </c>
      <c r="K271" s="26" t="s">
        <v>321</v>
      </c>
      <c r="P271" s="27">
        <v>1</v>
      </c>
      <c r="Q271" s="34">
        <v>230000</v>
      </c>
      <c r="R271" s="36">
        <f t="shared" ref="R271:R334" si="36">Q271*P271</f>
        <v>230000</v>
      </c>
      <c r="S271" s="6">
        <v>1</v>
      </c>
      <c r="T271" s="7">
        <v>70000</v>
      </c>
      <c r="U271" s="39">
        <f t="shared" si="34"/>
        <v>70000</v>
      </c>
      <c r="V271" s="41">
        <f t="shared" si="33"/>
        <v>70000</v>
      </c>
    </row>
    <row r="272" spans="1:22" x14ac:dyDescent="0.25">
      <c r="A272" s="47">
        <v>83</v>
      </c>
      <c r="B272" s="31">
        <f t="shared" si="35"/>
        <v>2</v>
      </c>
      <c r="C272" s="48">
        <f>IF(A272=A271,C271,"")</f>
        <v>45274</v>
      </c>
      <c r="D272" s="47" t="str">
        <f>IF(A272=A271,D271,"")</f>
        <v>Olmedo Diego</v>
      </c>
      <c r="E272" s="31" t="str">
        <f t="shared" si="31"/>
        <v>83Olmedo Diego2</v>
      </c>
      <c r="I272" s="31" t="str">
        <f t="shared" si="32"/>
        <v xml:space="preserve">Desarmar distribucion completa. Cambio kit de distribucion, bomba de agua, correa poly-v y liquido refrigerante. Purgado del circuito de refrigeracion. Armado total </v>
      </c>
      <c r="K272" s="26" t="s">
        <v>69</v>
      </c>
      <c r="P272" s="27">
        <v>1</v>
      </c>
      <c r="Q272" s="34">
        <v>35000</v>
      </c>
      <c r="R272" s="36">
        <f t="shared" si="36"/>
        <v>35000</v>
      </c>
      <c r="U272" s="39">
        <f t="shared" si="34"/>
        <v>0</v>
      </c>
      <c r="V272" s="41">
        <f t="shared" si="33"/>
        <v>70000</v>
      </c>
    </row>
    <row r="273" spans="1:22" x14ac:dyDescent="0.25">
      <c r="A273" s="47">
        <v>83</v>
      </c>
      <c r="B273" s="31">
        <f t="shared" si="35"/>
        <v>3</v>
      </c>
      <c r="C273" s="48">
        <f>IF(A273=A272,C272,"")</f>
        <v>45274</v>
      </c>
      <c r="D273" s="47" t="str">
        <f>IF(A273=A272,D272,"")</f>
        <v>Olmedo Diego</v>
      </c>
      <c r="E273" s="31" t="str">
        <f t="shared" ref="E273:E336" si="37">CONCATENATE(A273,D273,B273)</f>
        <v>83Olmedo Diego3</v>
      </c>
      <c r="I273" s="31" t="str">
        <f t="shared" si="32"/>
        <v xml:space="preserve">Desarmar distribucion completa. Cambio kit de distribucion, bomba de agua, correa poly-v y liquido refrigerante. Purgado del circuito de refrigeracion. Armado total  </v>
      </c>
      <c r="K273" s="26" t="s">
        <v>322</v>
      </c>
      <c r="P273" s="27">
        <v>1</v>
      </c>
      <c r="Q273" s="34">
        <v>25000</v>
      </c>
      <c r="R273" s="36">
        <f t="shared" si="36"/>
        <v>25000</v>
      </c>
      <c r="U273" s="39">
        <f t="shared" si="34"/>
        <v>0</v>
      </c>
      <c r="V273" s="41">
        <f t="shared" si="33"/>
        <v>70000</v>
      </c>
    </row>
    <row r="274" spans="1:22" x14ac:dyDescent="0.25">
      <c r="A274" s="47">
        <v>83</v>
      </c>
      <c r="B274" s="31">
        <f t="shared" si="35"/>
        <v>4</v>
      </c>
      <c r="C274" s="48">
        <f>IF(A274=A273,C273,"")</f>
        <v>45274</v>
      </c>
      <c r="D274" s="47" t="str">
        <f>IF(A274=A273,D273,"")</f>
        <v>Olmedo Diego</v>
      </c>
      <c r="E274" s="31" t="str">
        <f t="shared" si="37"/>
        <v>83Olmedo Diego4</v>
      </c>
      <c r="I274" s="31" t="str">
        <f t="shared" si="32"/>
        <v xml:space="preserve">Desarmar distribucion completa. Cambio kit de distribucion, bomba de agua, correa poly-v y liquido refrigerante. Purgado del circuito de refrigeracion. Armado total   </v>
      </c>
      <c r="K274" s="26" t="s">
        <v>367</v>
      </c>
      <c r="P274" s="27">
        <v>1</v>
      </c>
      <c r="Q274" s="34">
        <v>18000</v>
      </c>
      <c r="R274" s="36">
        <f t="shared" si="36"/>
        <v>18000</v>
      </c>
      <c r="U274" s="39">
        <f t="shared" si="34"/>
        <v>0</v>
      </c>
      <c r="V274" s="41">
        <f t="shared" si="33"/>
        <v>70000</v>
      </c>
    </row>
    <row r="275" spans="1:22" x14ac:dyDescent="0.25">
      <c r="A275" s="47">
        <v>84</v>
      </c>
      <c r="B275" s="31">
        <f t="shared" si="35"/>
        <v>1</v>
      </c>
      <c r="C275" s="48">
        <v>45274</v>
      </c>
      <c r="D275" s="47" t="s">
        <v>368</v>
      </c>
      <c r="E275" s="31" t="str">
        <f t="shared" si="37"/>
        <v>84Constructora Guiar SRL1</v>
      </c>
      <c r="F275" s="47" t="s">
        <v>374</v>
      </c>
      <c r="G275" s="47" t="s">
        <v>369</v>
      </c>
      <c r="H275" s="26" t="s">
        <v>375</v>
      </c>
      <c r="I275" s="31" t="str">
        <f t="shared" si="32"/>
        <v>Sacar tapa de cilindros. Limpieza. Cambio de valvulas. Control juego en guias de valvulas. Hacer asiento de valvulas. Cambio retenes de valvulas. Armado total. Cambio kit distribucion con bomba de agua y tapones. Cambio liquido refrigerante. Purgado del circuito de refrigeracion. Puesta a punto. Sacar y colocar alternador. Cambiar correa poly-v. Puesta en marcha.</v>
      </c>
      <c r="K275" s="26" t="s">
        <v>370</v>
      </c>
      <c r="P275" s="27">
        <v>1</v>
      </c>
      <c r="Q275" s="34">
        <v>310000</v>
      </c>
      <c r="R275" s="36">
        <f t="shared" si="36"/>
        <v>310000</v>
      </c>
      <c r="S275" s="6">
        <v>1</v>
      </c>
      <c r="T275" s="7">
        <v>240000</v>
      </c>
      <c r="U275" s="39">
        <f t="shared" si="34"/>
        <v>240000</v>
      </c>
      <c r="V275" s="41">
        <f t="shared" si="33"/>
        <v>240000</v>
      </c>
    </row>
    <row r="276" spans="1:22" x14ac:dyDescent="0.25">
      <c r="A276" s="47">
        <v>84</v>
      </c>
      <c r="B276" s="31">
        <f t="shared" si="35"/>
        <v>2</v>
      </c>
      <c r="C276" s="48">
        <f>IF(A276=A275,C275,"")</f>
        <v>45274</v>
      </c>
      <c r="D276" s="47" t="str">
        <f>IF(A276=A275,D275,"")</f>
        <v>Constructora Guiar SRL</v>
      </c>
      <c r="E276" s="31" t="str">
        <f t="shared" si="37"/>
        <v>84Constructora Guiar SRL2</v>
      </c>
      <c r="I276" s="31" t="str">
        <f t="shared" ref="I276:I339" si="38">IF(A276=A275,CONCATENATE(I275," ",H276),H276)</f>
        <v xml:space="preserve">Sacar tapa de cilindros. Limpieza. Cambio de valvulas. Control juego en guias de valvulas. Hacer asiento de valvulas. Cambio retenes de valvulas. Armado total. Cambio kit distribucion con bomba de agua y tapones. Cambio liquido refrigerante. Purgado del circuito de refrigeracion. Puesta a punto. Sacar y colocar alternador. Cambiar correa poly-v. Puesta en marcha. </v>
      </c>
      <c r="K276" s="26" t="s">
        <v>322</v>
      </c>
      <c r="P276" s="27">
        <v>1</v>
      </c>
      <c r="Q276" s="34">
        <v>28000</v>
      </c>
      <c r="R276" s="36">
        <f t="shared" si="36"/>
        <v>28000</v>
      </c>
      <c r="U276" s="39">
        <f t="shared" si="34"/>
        <v>0</v>
      </c>
      <c r="V276" s="41">
        <f t="shared" ref="V276:V339" si="39">IF(A276=A275,V275+U276,U276)</f>
        <v>240000</v>
      </c>
    </row>
    <row r="277" spans="1:22" x14ac:dyDescent="0.25">
      <c r="A277" s="47">
        <v>84</v>
      </c>
      <c r="B277" s="31">
        <f t="shared" si="35"/>
        <v>3</v>
      </c>
      <c r="C277" s="48">
        <f>IF(A277=A276,C276,"")</f>
        <v>45274</v>
      </c>
      <c r="D277" s="47" t="str">
        <f>IF(A277=A276,D276,"")</f>
        <v>Constructora Guiar SRL</v>
      </c>
      <c r="E277" s="31" t="str">
        <f t="shared" si="37"/>
        <v>84Constructora Guiar SRL3</v>
      </c>
      <c r="I277" s="31" t="str">
        <f t="shared" si="38"/>
        <v xml:space="preserve">Sacar tapa de cilindros. Limpieza. Cambio de valvulas. Control juego en guias de valvulas. Hacer asiento de valvulas. Cambio retenes de valvulas. Armado total. Cambio kit distribucion con bomba de agua y tapones. Cambio liquido refrigerante. Purgado del circuito de refrigeracion. Puesta a punto. Sacar y colocar alternador. Cambiar correa poly-v. Puesta en marcha.  </v>
      </c>
      <c r="K277" s="26" t="s">
        <v>371</v>
      </c>
      <c r="P277" s="27">
        <v>2</v>
      </c>
      <c r="Q277" s="34">
        <v>11500</v>
      </c>
      <c r="R277" s="36">
        <f t="shared" si="36"/>
        <v>23000</v>
      </c>
      <c r="U277" s="39">
        <f t="shared" si="34"/>
        <v>0</v>
      </c>
      <c r="V277" s="41">
        <f t="shared" si="39"/>
        <v>240000</v>
      </c>
    </row>
    <row r="278" spans="1:22" x14ac:dyDescent="0.25">
      <c r="A278" s="47">
        <v>84</v>
      </c>
      <c r="B278" s="31">
        <f t="shared" si="35"/>
        <v>4</v>
      </c>
      <c r="C278" s="48">
        <f>IF(A278=A277,C277,"")</f>
        <v>45274</v>
      </c>
      <c r="D278" s="47" t="str">
        <f>IF(A278=A277,D277,"")</f>
        <v>Constructora Guiar SRL</v>
      </c>
      <c r="E278" s="31" t="str">
        <f t="shared" si="37"/>
        <v>84Constructora Guiar SRL4</v>
      </c>
      <c r="I278" s="31" t="str">
        <f t="shared" si="38"/>
        <v xml:space="preserve">Sacar tapa de cilindros. Limpieza. Cambio de valvulas. Control juego en guias de valvulas. Hacer asiento de valvulas. Cambio retenes de valvulas. Armado total. Cambio kit distribucion con bomba de agua y tapones. Cambio liquido refrigerante. Purgado del circuito de refrigeracion. Puesta a punto. Sacar y colocar alternador. Cambiar correa poly-v. Puesta en marcha.   </v>
      </c>
      <c r="K278" s="26" t="s">
        <v>372</v>
      </c>
      <c r="P278" s="27">
        <v>1</v>
      </c>
      <c r="Q278" s="34">
        <v>211000</v>
      </c>
      <c r="R278" s="36">
        <f t="shared" si="36"/>
        <v>211000</v>
      </c>
      <c r="U278" s="39">
        <f t="shared" si="34"/>
        <v>0</v>
      </c>
      <c r="V278" s="41">
        <f t="shared" si="39"/>
        <v>240000</v>
      </c>
    </row>
    <row r="279" spans="1:22" x14ac:dyDescent="0.25">
      <c r="A279" s="47">
        <v>84</v>
      </c>
      <c r="B279" s="31">
        <f t="shared" si="35"/>
        <v>5</v>
      </c>
      <c r="C279" s="48">
        <f>IF(A279=A278,C278,"")</f>
        <v>45274</v>
      </c>
      <c r="D279" s="47" t="str">
        <f>IF(A279=A278,D278,"")</f>
        <v>Constructora Guiar SRL</v>
      </c>
      <c r="E279" s="31" t="str">
        <f t="shared" si="37"/>
        <v>84Constructora Guiar SRL5</v>
      </c>
      <c r="I279" s="31" t="str">
        <f t="shared" si="38"/>
        <v xml:space="preserve">Sacar tapa de cilindros. Limpieza. Cambio de valvulas. Control juego en guias de valvulas. Hacer asiento de valvulas. Cambio retenes de valvulas. Armado total. Cambio kit distribucion con bomba de agua y tapones. Cambio liquido refrigerante. Purgado del circuito de refrigeracion. Puesta a punto. Sacar y colocar alternador. Cambiar correa poly-v. Puesta en marcha.    </v>
      </c>
      <c r="K279" s="26" t="s">
        <v>373</v>
      </c>
      <c r="P279" s="27">
        <v>1</v>
      </c>
      <c r="Q279" s="34">
        <v>65900</v>
      </c>
      <c r="R279" s="36">
        <f t="shared" si="36"/>
        <v>65900</v>
      </c>
      <c r="U279" s="39">
        <f t="shared" si="34"/>
        <v>0</v>
      </c>
      <c r="V279" s="41">
        <f t="shared" si="39"/>
        <v>240000</v>
      </c>
    </row>
    <row r="280" spans="1:22" x14ac:dyDescent="0.25">
      <c r="A280" s="47">
        <v>84</v>
      </c>
      <c r="B280" s="31">
        <f t="shared" si="35"/>
        <v>6</v>
      </c>
      <c r="C280" s="48">
        <f>IF(A280=A279,C279,"")</f>
        <v>45274</v>
      </c>
      <c r="D280" s="47" t="str">
        <f>IF(A280=A279,D279,"")</f>
        <v>Constructora Guiar SRL</v>
      </c>
      <c r="E280" s="31" t="str">
        <f t="shared" si="37"/>
        <v>84Constructora Guiar SRL6</v>
      </c>
      <c r="I280" s="31" t="str">
        <f t="shared" si="38"/>
        <v xml:space="preserve">Sacar tapa de cilindros. Limpieza. Cambio de valvulas. Control juego en guias de valvulas. Hacer asiento de valvulas. Cambio retenes de valvulas. Armado total. Cambio kit distribucion con bomba de agua y tapones. Cambio liquido refrigerante. Purgado del circuito de refrigeracion. Puesta a punto. Sacar y colocar alternador. Cambiar correa poly-v. Puesta en marcha.     </v>
      </c>
      <c r="K280" s="26" t="s">
        <v>367</v>
      </c>
      <c r="P280" s="27">
        <v>1</v>
      </c>
      <c r="Q280" s="34">
        <v>18000</v>
      </c>
      <c r="R280" s="36">
        <f t="shared" si="36"/>
        <v>18000</v>
      </c>
      <c r="U280" s="39">
        <f t="shared" si="34"/>
        <v>0</v>
      </c>
      <c r="V280" s="41">
        <f t="shared" si="39"/>
        <v>240000</v>
      </c>
    </row>
    <row r="281" spans="1:22" x14ac:dyDescent="0.25">
      <c r="A281" s="47">
        <v>85</v>
      </c>
      <c r="B281" s="31">
        <f t="shared" si="35"/>
        <v>1</v>
      </c>
      <c r="C281" s="48">
        <v>45275</v>
      </c>
      <c r="D281" s="47" t="s">
        <v>377</v>
      </c>
      <c r="E281" s="31" t="str">
        <f t="shared" si="37"/>
        <v>85Aranda Pablo1</v>
      </c>
      <c r="G281" s="47" t="s">
        <v>376</v>
      </c>
      <c r="H281" s="26" t="s">
        <v>358</v>
      </c>
      <c r="I281" s="31" t="str">
        <f t="shared" si="38"/>
        <v>Service completo. Cambio de aceite y filtros. Control general del vehiculo.</v>
      </c>
      <c r="K281" s="26" t="s">
        <v>91</v>
      </c>
      <c r="P281" s="27">
        <v>1</v>
      </c>
      <c r="Q281" s="34">
        <v>75600</v>
      </c>
      <c r="R281" s="36">
        <f t="shared" si="36"/>
        <v>75600</v>
      </c>
      <c r="S281" s="6">
        <v>1</v>
      </c>
      <c r="T281" s="7">
        <v>70000</v>
      </c>
      <c r="U281" s="39">
        <f t="shared" si="34"/>
        <v>70000</v>
      </c>
      <c r="V281" s="41">
        <f t="shared" si="39"/>
        <v>70000</v>
      </c>
    </row>
    <row r="282" spans="1:22" x14ac:dyDescent="0.25">
      <c r="A282" s="47">
        <v>85</v>
      </c>
      <c r="B282" s="31">
        <f t="shared" si="35"/>
        <v>2</v>
      </c>
      <c r="C282" s="48">
        <f>IF(A282=A281,C281,"")</f>
        <v>45275</v>
      </c>
      <c r="D282" s="47" t="str">
        <f>IF(A282=A281,D281,"")</f>
        <v>Aranda Pablo</v>
      </c>
      <c r="E282" s="31" t="str">
        <f t="shared" si="37"/>
        <v>85Aranda Pablo2</v>
      </c>
      <c r="I282" s="31" t="str">
        <f t="shared" si="38"/>
        <v xml:space="preserve">Service completo. Cambio de aceite y filtros. Control general del vehiculo. </v>
      </c>
      <c r="K282" s="26" t="s">
        <v>90</v>
      </c>
      <c r="P282" s="27">
        <v>9.1999999999999993</v>
      </c>
      <c r="Q282" s="34">
        <v>8750</v>
      </c>
      <c r="R282" s="36">
        <f t="shared" si="36"/>
        <v>80500</v>
      </c>
      <c r="U282" s="39">
        <f t="shared" si="34"/>
        <v>0</v>
      </c>
      <c r="V282" s="41">
        <f t="shared" si="39"/>
        <v>70000</v>
      </c>
    </row>
    <row r="283" spans="1:22" x14ac:dyDescent="0.25">
      <c r="A283" s="47">
        <v>86</v>
      </c>
      <c r="B283" s="31">
        <f t="shared" si="35"/>
        <v>1</v>
      </c>
      <c r="C283" s="48">
        <v>45278</v>
      </c>
      <c r="D283" s="47" t="s">
        <v>378</v>
      </c>
      <c r="E283" s="31" t="str">
        <f t="shared" si="37"/>
        <v>86Ferreiro Jose1</v>
      </c>
      <c r="G283" s="47" t="s">
        <v>379</v>
      </c>
      <c r="H283" s="26" t="s">
        <v>366</v>
      </c>
      <c r="I283" s="31" t="str">
        <f t="shared" si="38"/>
        <v>Desarmar distribucion completa. Cambio kit de distribucion, bomba de agua, correa poly-v y liquido refrigerante. Purgado del circuito de refrigeracion. Armado total</v>
      </c>
      <c r="K283" s="26" t="s">
        <v>341</v>
      </c>
      <c r="P283" s="27">
        <v>1</v>
      </c>
      <c r="Q283" s="34">
        <v>136000</v>
      </c>
      <c r="R283" s="36">
        <f t="shared" si="36"/>
        <v>136000</v>
      </c>
      <c r="S283" s="6">
        <v>1</v>
      </c>
      <c r="T283" s="7">
        <v>70000</v>
      </c>
      <c r="U283" s="39">
        <f t="shared" si="34"/>
        <v>70000</v>
      </c>
      <c r="V283" s="41">
        <f t="shared" si="39"/>
        <v>70000</v>
      </c>
    </row>
    <row r="284" spans="1:22" x14ac:dyDescent="0.25">
      <c r="A284" s="47">
        <v>86</v>
      </c>
      <c r="B284" s="31">
        <f t="shared" si="35"/>
        <v>2</v>
      </c>
      <c r="C284" s="48">
        <f>IF(A284=A283,C283,"")</f>
        <v>45278</v>
      </c>
      <c r="D284" s="47" t="str">
        <f>IF(A284=A283,D283,"")</f>
        <v>Ferreiro Jose</v>
      </c>
      <c r="E284" s="31" t="str">
        <f t="shared" si="37"/>
        <v>86Ferreiro Jose2</v>
      </c>
      <c r="I284" s="31" t="str">
        <f t="shared" si="38"/>
        <v xml:space="preserve">Desarmar distribucion completa. Cambio kit de distribucion, bomba de agua, correa poly-v y liquido refrigerante. Purgado del circuito de refrigeracion. Armado total </v>
      </c>
      <c r="K284" s="26" t="s">
        <v>69</v>
      </c>
      <c r="P284" s="27">
        <v>1</v>
      </c>
      <c r="Q284" s="34">
        <v>98000</v>
      </c>
      <c r="R284" s="36">
        <f t="shared" si="36"/>
        <v>98000</v>
      </c>
      <c r="U284" s="39">
        <f t="shared" si="34"/>
        <v>0</v>
      </c>
      <c r="V284" s="41">
        <f t="shared" si="39"/>
        <v>70000</v>
      </c>
    </row>
    <row r="285" spans="1:22" x14ac:dyDescent="0.25">
      <c r="A285" s="47">
        <v>86</v>
      </c>
      <c r="B285" s="31">
        <f t="shared" si="35"/>
        <v>3</v>
      </c>
      <c r="C285" s="48">
        <f>IF(A285=A284,C284,"")</f>
        <v>45278</v>
      </c>
      <c r="D285" s="47" t="str">
        <f>IF(A285=A284,D284,"")</f>
        <v>Ferreiro Jose</v>
      </c>
      <c r="E285" s="31" t="str">
        <f t="shared" si="37"/>
        <v>86Ferreiro Jose3</v>
      </c>
      <c r="I285" s="31" t="str">
        <f t="shared" si="38"/>
        <v xml:space="preserve">Desarmar distribucion completa. Cambio kit de distribucion, bomba de agua, correa poly-v y liquido refrigerante. Purgado del circuito de refrigeracion. Armado total  </v>
      </c>
      <c r="K285" s="26" t="s">
        <v>322</v>
      </c>
      <c r="P285" s="27">
        <v>1</v>
      </c>
      <c r="Q285" s="34">
        <v>19600</v>
      </c>
      <c r="R285" s="36">
        <f t="shared" si="36"/>
        <v>19600</v>
      </c>
      <c r="U285" s="39">
        <f t="shared" si="34"/>
        <v>0</v>
      </c>
      <c r="V285" s="41">
        <f t="shared" si="39"/>
        <v>70000</v>
      </c>
    </row>
    <row r="286" spans="1:22" x14ac:dyDescent="0.25">
      <c r="A286" s="47">
        <v>87</v>
      </c>
      <c r="B286" s="31">
        <f t="shared" si="35"/>
        <v>1</v>
      </c>
      <c r="C286" s="48">
        <v>45279</v>
      </c>
      <c r="D286" s="47" t="s">
        <v>380</v>
      </c>
      <c r="E286" s="31" t="str">
        <f t="shared" si="37"/>
        <v>87Canepa Carlos1</v>
      </c>
      <c r="G286" s="47" t="s">
        <v>381</v>
      </c>
      <c r="H286" s="26" t="s">
        <v>366</v>
      </c>
      <c r="I286" s="31" t="str">
        <f t="shared" si="38"/>
        <v>Desarmar distribucion completa. Cambio kit de distribucion, bomba de agua, correa poly-v y liquido refrigerante. Purgado del circuito de refrigeracion. Armado total</v>
      </c>
      <c r="K286" s="26" t="s">
        <v>321</v>
      </c>
      <c r="P286" s="27">
        <v>1</v>
      </c>
      <c r="Q286" s="34">
        <v>420000</v>
      </c>
      <c r="R286" s="36">
        <f t="shared" si="36"/>
        <v>420000</v>
      </c>
      <c r="S286" s="6">
        <v>1</v>
      </c>
      <c r="T286" s="7">
        <v>100000</v>
      </c>
      <c r="U286" s="39">
        <f t="shared" si="34"/>
        <v>100000</v>
      </c>
      <c r="V286" s="41">
        <f t="shared" si="39"/>
        <v>100000</v>
      </c>
    </row>
    <row r="287" spans="1:22" x14ac:dyDescent="0.25">
      <c r="A287" s="47">
        <v>87</v>
      </c>
      <c r="B287" s="31">
        <f t="shared" si="35"/>
        <v>2</v>
      </c>
      <c r="C287" s="48">
        <f>IF(A287=A286,C286,"")</f>
        <v>45279</v>
      </c>
      <c r="D287" s="47" t="str">
        <f>IF(A287=A286,D286,"")</f>
        <v>Canepa Carlos</v>
      </c>
      <c r="E287" s="31" t="str">
        <f t="shared" si="37"/>
        <v>87Canepa Carlos2</v>
      </c>
      <c r="I287" s="31" t="str">
        <f t="shared" si="38"/>
        <v xml:space="preserve">Desarmar distribucion completa. Cambio kit de distribucion, bomba de agua, correa poly-v y liquido refrigerante. Purgado del circuito de refrigeracion. Armado total </v>
      </c>
      <c r="K287" s="26" t="s">
        <v>69</v>
      </c>
      <c r="P287" s="27">
        <v>1</v>
      </c>
      <c r="Q287" s="34">
        <v>108000</v>
      </c>
      <c r="R287" s="36">
        <f t="shared" si="36"/>
        <v>108000</v>
      </c>
      <c r="U287" s="39">
        <f t="shared" si="34"/>
        <v>0</v>
      </c>
      <c r="V287" s="41">
        <f t="shared" si="39"/>
        <v>100000</v>
      </c>
    </row>
    <row r="288" spans="1:22" x14ac:dyDescent="0.25">
      <c r="A288" s="47">
        <v>87</v>
      </c>
      <c r="B288" s="31">
        <f t="shared" si="35"/>
        <v>3</v>
      </c>
      <c r="C288" s="48">
        <f>IF(A288=A287,C287,"")</f>
        <v>45279</v>
      </c>
      <c r="D288" s="47" t="str">
        <f>IF(A288=A287,D287,"")</f>
        <v>Canepa Carlos</v>
      </c>
      <c r="E288" s="31" t="str">
        <f t="shared" si="37"/>
        <v>87Canepa Carlos3</v>
      </c>
      <c r="I288" s="31" t="str">
        <f t="shared" si="38"/>
        <v xml:space="preserve">Desarmar distribucion completa. Cambio kit de distribucion, bomba de agua, correa poly-v y liquido refrigerante. Purgado del circuito de refrigeracion. Armado total  </v>
      </c>
      <c r="K288" s="26" t="s">
        <v>322</v>
      </c>
      <c r="P288" s="27">
        <v>1</v>
      </c>
      <c r="Q288" s="34">
        <v>18600</v>
      </c>
      <c r="R288" s="36">
        <f t="shared" si="36"/>
        <v>18600</v>
      </c>
      <c r="U288" s="39">
        <f t="shared" si="34"/>
        <v>0</v>
      </c>
      <c r="V288" s="41">
        <f t="shared" si="39"/>
        <v>100000</v>
      </c>
    </row>
    <row r="289" spans="1:22" x14ac:dyDescent="0.25">
      <c r="A289" s="47">
        <v>87</v>
      </c>
      <c r="B289" s="31">
        <f t="shared" si="35"/>
        <v>4</v>
      </c>
      <c r="C289" s="48">
        <f>IF(A289=A288,C288,"")</f>
        <v>45279</v>
      </c>
      <c r="D289" s="47" t="str">
        <f>IF(A289=A288,D288,"")</f>
        <v>Canepa Carlos</v>
      </c>
      <c r="E289" s="31" t="str">
        <f t="shared" si="37"/>
        <v>87Canepa Carlos4</v>
      </c>
      <c r="I289" s="31" t="str">
        <f t="shared" si="38"/>
        <v xml:space="preserve">Desarmar distribucion completa. Cambio kit de distribucion, bomba de agua, correa poly-v y liquido refrigerante. Purgado del circuito de refrigeracion. Armado total   </v>
      </c>
      <c r="K289" s="26" t="s">
        <v>367</v>
      </c>
      <c r="P289" s="27">
        <v>1</v>
      </c>
      <c r="Q289" s="34">
        <v>20000</v>
      </c>
      <c r="R289" s="36">
        <f t="shared" si="36"/>
        <v>20000</v>
      </c>
      <c r="U289" s="39">
        <f t="shared" si="34"/>
        <v>0</v>
      </c>
      <c r="V289" s="41">
        <f t="shared" si="39"/>
        <v>100000</v>
      </c>
    </row>
    <row r="290" spans="1:22" x14ac:dyDescent="0.25">
      <c r="A290" s="47">
        <v>88</v>
      </c>
      <c r="B290" s="31">
        <f t="shared" si="35"/>
        <v>1</v>
      </c>
      <c r="C290" s="48">
        <v>44929</v>
      </c>
      <c r="D290" s="47" t="s">
        <v>382</v>
      </c>
      <c r="E290" s="31" t="str">
        <f t="shared" si="37"/>
        <v>88Principi Gabriela1</v>
      </c>
      <c r="G290" s="47" t="s">
        <v>383</v>
      </c>
      <c r="H290" s="26" t="s">
        <v>384</v>
      </c>
      <c r="I290" s="31" t="str">
        <f t="shared" si="38"/>
        <v>Desarmar distribucion completa. Cambio kit de distribucion, bomba de agua, correa poly-v y liquido refrigerante. Purgado del circuito de refrigeracion. Armado total. Service completo. Cambio de aceite y filtros. Control general del vehiculo.</v>
      </c>
      <c r="K290" s="26" t="s">
        <v>392</v>
      </c>
      <c r="P290" s="27">
        <v>1</v>
      </c>
      <c r="Q290" s="34">
        <v>290000</v>
      </c>
      <c r="R290" s="36">
        <f t="shared" si="36"/>
        <v>290000</v>
      </c>
      <c r="S290" s="6">
        <v>1</v>
      </c>
      <c r="T290" s="7">
        <v>85000</v>
      </c>
      <c r="U290" s="39">
        <f t="shared" si="34"/>
        <v>85000</v>
      </c>
      <c r="V290" s="41">
        <f t="shared" si="39"/>
        <v>85000</v>
      </c>
    </row>
    <row r="291" spans="1:22" x14ac:dyDescent="0.25">
      <c r="A291" s="47">
        <v>88</v>
      </c>
      <c r="B291" s="31">
        <f t="shared" si="35"/>
        <v>2</v>
      </c>
      <c r="C291" s="48">
        <f>IF(A291=A290,C290,"")</f>
        <v>44929</v>
      </c>
      <c r="D291" s="47" t="str">
        <f>IF(A291=A290,D290,"")</f>
        <v>Principi Gabriela</v>
      </c>
      <c r="E291" s="31" t="str">
        <f t="shared" si="37"/>
        <v>88Principi Gabriela2</v>
      </c>
      <c r="I291" s="31" t="str">
        <f t="shared" si="38"/>
        <v xml:space="preserve">Desarmar distribucion completa. Cambio kit de distribucion, bomba de agua, correa poly-v y liquido refrigerante. Purgado del circuito de refrigeracion. Armado total. Service completo. Cambio de aceite y filtros. Control general del vehiculo. </v>
      </c>
      <c r="K291" s="26" t="s">
        <v>91</v>
      </c>
      <c r="P291" s="27">
        <v>1</v>
      </c>
      <c r="Q291" s="34">
        <v>33000</v>
      </c>
      <c r="R291" s="36">
        <f t="shared" si="36"/>
        <v>33000</v>
      </c>
      <c r="U291" s="39">
        <f t="shared" si="34"/>
        <v>0</v>
      </c>
      <c r="V291" s="41">
        <f t="shared" si="39"/>
        <v>85000</v>
      </c>
    </row>
    <row r="292" spans="1:22" x14ac:dyDescent="0.25">
      <c r="A292" s="47">
        <v>88</v>
      </c>
      <c r="B292" s="31">
        <f t="shared" si="35"/>
        <v>3</v>
      </c>
      <c r="C292" s="48">
        <f>IF(A292=A291,C291,"")</f>
        <v>44929</v>
      </c>
      <c r="D292" s="47" t="str">
        <f>IF(A292=A291,D291,"")</f>
        <v>Principi Gabriela</v>
      </c>
      <c r="E292" s="31" t="str">
        <f t="shared" si="37"/>
        <v>88Principi Gabriela3</v>
      </c>
      <c r="I292" s="31" t="str">
        <f t="shared" si="38"/>
        <v xml:space="preserve">Desarmar distribucion completa. Cambio kit de distribucion, bomba de agua, correa poly-v y liquido refrigerante. Purgado del circuito de refrigeracion. Armado total. Service completo. Cambio de aceite y filtros. Control general del vehiculo.  </v>
      </c>
      <c r="K292" s="26" t="s">
        <v>108</v>
      </c>
      <c r="P292" s="27">
        <v>5</v>
      </c>
      <c r="Q292" s="34">
        <v>8925</v>
      </c>
      <c r="R292" s="36">
        <f t="shared" si="36"/>
        <v>44625</v>
      </c>
      <c r="U292" s="39">
        <f t="shared" si="34"/>
        <v>0</v>
      </c>
      <c r="V292" s="41">
        <f t="shared" si="39"/>
        <v>85000</v>
      </c>
    </row>
    <row r="293" spans="1:22" x14ac:dyDescent="0.25">
      <c r="A293" s="47">
        <v>88</v>
      </c>
      <c r="B293" s="31">
        <f t="shared" si="35"/>
        <v>4</v>
      </c>
      <c r="C293" s="48">
        <f>IF(A293=A292,C292,"")</f>
        <v>44929</v>
      </c>
      <c r="D293" s="47" t="str">
        <f>IF(A293=A292,D292,"")</f>
        <v>Principi Gabriela</v>
      </c>
      <c r="E293" s="31" t="str">
        <f t="shared" si="37"/>
        <v>88Principi Gabriela4</v>
      </c>
      <c r="I293" s="31" t="str">
        <f t="shared" si="38"/>
        <v xml:space="preserve">Desarmar distribucion completa. Cambio kit de distribucion, bomba de agua, correa poly-v y liquido refrigerante. Purgado del circuito de refrigeracion. Armado total. Service completo. Cambio de aceite y filtros. Control general del vehiculo.   </v>
      </c>
      <c r="K293" s="26" t="s">
        <v>367</v>
      </c>
      <c r="P293" s="27">
        <v>1</v>
      </c>
      <c r="Q293" s="34">
        <v>24900</v>
      </c>
      <c r="R293" s="36">
        <f t="shared" si="36"/>
        <v>24900</v>
      </c>
      <c r="U293" s="39">
        <f t="shared" si="34"/>
        <v>0</v>
      </c>
      <c r="V293" s="41">
        <f t="shared" si="39"/>
        <v>85000</v>
      </c>
    </row>
    <row r="294" spans="1:22" x14ac:dyDescent="0.25">
      <c r="A294" s="47">
        <v>88</v>
      </c>
      <c r="B294" s="31">
        <f t="shared" si="35"/>
        <v>5</v>
      </c>
      <c r="C294" s="48">
        <f>IF(A294=A293,C293,"")</f>
        <v>44929</v>
      </c>
      <c r="D294" s="47" t="str">
        <f>IF(A294=A293,D293,"")</f>
        <v>Principi Gabriela</v>
      </c>
      <c r="E294" s="31" t="str">
        <f t="shared" si="37"/>
        <v>88Principi Gabriela5</v>
      </c>
      <c r="I294" s="31" t="str">
        <f t="shared" si="38"/>
        <v xml:space="preserve">Desarmar distribucion completa. Cambio kit de distribucion, bomba de agua, correa poly-v y liquido refrigerante. Purgado del circuito de refrigeracion. Armado total. Service completo. Cambio de aceite y filtros. Control general del vehiculo.    </v>
      </c>
      <c r="P294" s="27"/>
      <c r="Q294" s="34"/>
      <c r="R294" s="36">
        <f t="shared" si="36"/>
        <v>0</v>
      </c>
      <c r="U294" s="39">
        <f t="shared" si="34"/>
        <v>0</v>
      </c>
      <c r="V294" s="41">
        <f t="shared" si="39"/>
        <v>85000</v>
      </c>
    </row>
    <row r="295" spans="1:22" x14ac:dyDescent="0.25">
      <c r="A295" s="47">
        <v>88</v>
      </c>
      <c r="B295" s="31">
        <f t="shared" si="35"/>
        <v>6</v>
      </c>
      <c r="C295" s="48">
        <f>IF(A295=A294,C294,"")</f>
        <v>44929</v>
      </c>
      <c r="D295" s="47" t="str">
        <f>IF(A295=A294,D294,"")</f>
        <v>Principi Gabriela</v>
      </c>
      <c r="E295" s="31" t="str">
        <f t="shared" si="37"/>
        <v>88Principi Gabriela6</v>
      </c>
      <c r="I295" s="31" t="str">
        <f t="shared" si="38"/>
        <v xml:space="preserve">Desarmar distribucion completa. Cambio kit de distribucion, bomba de agua, correa poly-v y liquido refrigerante. Purgado del circuito de refrigeracion. Armado total. Service completo. Cambio de aceite y filtros. Control general del vehiculo.     </v>
      </c>
      <c r="P295" s="27"/>
      <c r="Q295" s="34"/>
      <c r="R295" s="36">
        <f t="shared" si="36"/>
        <v>0</v>
      </c>
      <c r="U295" s="39">
        <f t="shared" si="34"/>
        <v>0</v>
      </c>
      <c r="V295" s="41">
        <f t="shared" si="39"/>
        <v>85000</v>
      </c>
    </row>
    <row r="296" spans="1:22" x14ac:dyDescent="0.25">
      <c r="A296" s="47">
        <v>89</v>
      </c>
      <c r="B296" s="31">
        <f t="shared" si="35"/>
        <v>1</v>
      </c>
      <c r="C296" s="48">
        <v>44929</v>
      </c>
      <c r="D296" s="47" t="s">
        <v>385</v>
      </c>
      <c r="E296" s="31" t="str">
        <f t="shared" si="37"/>
        <v>89Paz Jose Maria1</v>
      </c>
      <c r="F296" s="47" t="s">
        <v>386</v>
      </c>
      <c r="G296" s="47" t="s">
        <v>387</v>
      </c>
      <c r="H296" s="26" t="s">
        <v>391</v>
      </c>
      <c r="I296" s="31" t="str">
        <f t="shared" si="38"/>
        <v>Sacar ambas campanas de frenos traseros. Control, limpieza y regulacion de los mismos. Control del tren delantero. Ambas rotulas lado derecho rotas. Rotula inferior izquierda rota. Sacar manguera de toma de aire. Limpieza. Agregar aceite de direccion hidraulica. Chequear perdidas de agua. Cambiar rotulas derechas inferior y superior. Cambiar rotula izquierda inferior. Regulacion de convergencia. Medir alineacion.</v>
      </c>
      <c r="K296" s="26" t="s">
        <v>388</v>
      </c>
      <c r="P296" s="27">
        <v>2</v>
      </c>
      <c r="Q296" s="34">
        <v>42800</v>
      </c>
      <c r="R296" s="36">
        <f t="shared" si="36"/>
        <v>85600</v>
      </c>
      <c r="S296" s="6">
        <v>1</v>
      </c>
      <c r="T296" s="7">
        <v>100000</v>
      </c>
      <c r="U296" s="39">
        <f t="shared" si="34"/>
        <v>100000</v>
      </c>
      <c r="V296" s="41">
        <f t="shared" si="39"/>
        <v>100000</v>
      </c>
    </row>
    <row r="297" spans="1:22" x14ac:dyDescent="0.25">
      <c r="A297" s="47">
        <v>89</v>
      </c>
      <c r="B297" s="31">
        <f t="shared" si="35"/>
        <v>2</v>
      </c>
      <c r="C297" s="48">
        <f>IF(A297=A296,C296,"")</f>
        <v>44929</v>
      </c>
      <c r="D297" s="47" t="str">
        <f>IF(A297=A296,D296,"")</f>
        <v>Paz Jose Maria</v>
      </c>
      <c r="E297" s="31" t="str">
        <f t="shared" si="37"/>
        <v>89Paz Jose Maria2</v>
      </c>
      <c r="I297" s="31" t="str">
        <f t="shared" si="38"/>
        <v xml:space="preserve">Sacar ambas campanas de frenos traseros. Control, limpieza y regulacion de los mismos. Control del tren delantero. Ambas rotulas lado derecho rotas. Rotula inferior izquierda rota. Sacar manguera de toma de aire. Limpieza. Agregar aceite de direccion hidraulica. Chequear perdidas de agua. Cambiar rotulas derechas inferior y superior. Cambiar rotula izquierda inferior. Regulacion de convergencia. Medir alineacion. </v>
      </c>
      <c r="K297" s="26" t="s">
        <v>389</v>
      </c>
      <c r="P297" s="27">
        <v>1</v>
      </c>
      <c r="Q297" s="34">
        <v>40000</v>
      </c>
      <c r="R297" s="36">
        <f t="shared" si="36"/>
        <v>40000</v>
      </c>
      <c r="U297" s="39">
        <f t="shared" si="34"/>
        <v>0</v>
      </c>
      <c r="V297" s="41">
        <f t="shared" si="39"/>
        <v>100000</v>
      </c>
    </row>
    <row r="298" spans="1:22" x14ac:dyDescent="0.25">
      <c r="A298" s="47">
        <v>89</v>
      </c>
      <c r="B298" s="31">
        <f t="shared" si="35"/>
        <v>3</v>
      </c>
      <c r="C298" s="48">
        <f>IF(A298=A297,C297,"")</f>
        <v>44929</v>
      </c>
      <c r="D298" s="47" t="str">
        <f>IF(A298=A297,D297,"")</f>
        <v>Paz Jose Maria</v>
      </c>
      <c r="E298" s="31" t="str">
        <f t="shared" si="37"/>
        <v>89Paz Jose Maria3</v>
      </c>
      <c r="I298" s="31" t="str">
        <f t="shared" si="38"/>
        <v xml:space="preserve">Sacar ambas campanas de frenos traseros. Control, limpieza y regulacion de los mismos. Control del tren delantero. Ambas rotulas lado derecho rotas. Rotula inferior izquierda rota. Sacar manguera de toma de aire. Limpieza. Agregar aceite de direccion hidraulica. Chequear perdidas de agua. Cambiar rotulas derechas inferior y superior. Cambiar rotula izquierda inferior. Regulacion de convergencia. Medir alineacion.  </v>
      </c>
      <c r="K298" s="26" t="s">
        <v>390</v>
      </c>
      <c r="P298" s="27">
        <v>0.5</v>
      </c>
      <c r="Q298" s="34">
        <v>10200</v>
      </c>
      <c r="R298" s="36">
        <f t="shared" si="36"/>
        <v>5100</v>
      </c>
      <c r="U298" s="39">
        <f t="shared" si="34"/>
        <v>0</v>
      </c>
      <c r="V298" s="41">
        <f t="shared" si="39"/>
        <v>100000</v>
      </c>
    </row>
    <row r="299" spans="1:22" x14ac:dyDescent="0.25">
      <c r="A299" s="47">
        <v>90</v>
      </c>
      <c r="B299" s="31">
        <f t="shared" si="35"/>
        <v>1</v>
      </c>
      <c r="C299" s="48">
        <v>45296</v>
      </c>
      <c r="D299" s="47" t="s">
        <v>394</v>
      </c>
      <c r="E299" s="31" t="str">
        <f t="shared" si="37"/>
        <v>90Rosas Alfredo1</v>
      </c>
      <c r="G299" s="47" t="s">
        <v>393</v>
      </c>
      <c r="H299" s="26" t="s">
        <v>395</v>
      </c>
      <c r="I299" s="31" t="str">
        <f t="shared" si="38"/>
        <v>Service completo. Cambio de aceite y filtros. Control general del vehiculo. Desarmar distribucion completa. Cambio kit de distribucion, bomba de agua, correa poly-v y liquido refrigerante. Purgado del circuito de refrigeracion. Puesta a punto. Armado total.</v>
      </c>
      <c r="P299" s="27"/>
      <c r="Q299" s="34"/>
      <c r="R299" s="36">
        <f t="shared" si="36"/>
        <v>0</v>
      </c>
      <c r="S299" s="6">
        <v>1</v>
      </c>
      <c r="T299" s="7">
        <v>105000</v>
      </c>
      <c r="U299" s="39">
        <f t="shared" si="34"/>
        <v>105000</v>
      </c>
      <c r="V299" s="41">
        <f t="shared" si="39"/>
        <v>105000</v>
      </c>
    </row>
    <row r="300" spans="1:22" x14ac:dyDescent="0.25">
      <c r="A300" s="47">
        <v>90</v>
      </c>
      <c r="B300" s="31">
        <f t="shared" si="35"/>
        <v>2</v>
      </c>
      <c r="C300" s="48">
        <f>IF(A300=A299,C299,"")</f>
        <v>45296</v>
      </c>
      <c r="D300" s="47" t="s">
        <v>394</v>
      </c>
      <c r="E300" s="31" t="str">
        <f t="shared" si="37"/>
        <v>90Rosas Alfredo2</v>
      </c>
      <c r="I300" s="31" t="str">
        <f t="shared" si="38"/>
        <v xml:space="preserve">Service completo. Cambio de aceite y filtros. Control general del vehiculo. Desarmar distribucion completa. Cambio kit de distribucion, bomba de agua, correa poly-v y liquido refrigerante. Purgado del circuito de refrigeracion. Puesta a punto. Armado total. </v>
      </c>
      <c r="P300" s="27"/>
      <c r="Q300" s="34"/>
      <c r="R300" s="36">
        <f t="shared" si="36"/>
        <v>0</v>
      </c>
      <c r="U300" s="39">
        <f t="shared" si="34"/>
        <v>0</v>
      </c>
      <c r="V300" s="41">
        <f t="shared" si="39"/>
        <v>105000</v>
      </c>
    </row>
    <row r="301" spans="1:22" x14ac:dyDescent="0.25">
      <c r="A301" s="47">
        <v>91</v>
      </c>
      <c r="B301" s="31">
        <f t="shared" si="35"/>
        <v>1</v>
      </c>
      <c r="C301" s="48">
        <v>45299</v>
      </c>
      <c r="D301" s="47" t="s">
        <v>396</v>
      </c>
      <c r="E301" s="31" t="str">
        <f t="shared" si="37"/>
        <v>91Raul Trivigno1</v>
      </c>
      <c r="G301" s="47" t="s">
        <v>268</v>
      </c>
      <c r="H301" s="26" t="s">
        <v>358</v>
      </c>
      <c r="I301" s="31" t="str">
        <f t="shared" si="38"/>
        <v>Service completo. Cambio de aceite y filtros. Control general del vehiculo.</v>
      </c>
      <c r="K301" s="26" t="s">
        <v>91</v>
      </c>
      <c r="P301" s="27">
        <v>1</v>
      </c>
      <c r="Q301" s="34">
        <v>38900</v>
      </c>
      <c r="R301" s="36">
        <f t="shared" si="36"/>
        <v>38900</v>
      </c>
      <c r="S301" s="6">
        <v>1</v>
      </c>
      <c r="T301" s="7">
        <v>60000</v>
      </c>
      <c r="U301" s="39">
        <f t="shared" si="34"/>
        <v>60000</v>
      </c>
      <c r="V301" s="41">
        <f t="shared" si="39"/>
        <v>60000</v>
      </c>
    </row>
    <row r="302" spans="1:22" x14ac:dyDescent="0.25">
      <c r="A302" s="47">
        <v>91</v>
      </c>
      <c r="B302" s="31">
        <f t="shared" si="35"/>
        <v>2</v>
      </c>
      <c r="C302" s="48">
        <f>IF(A302=A301,C301,"")</f>
        <v>45299</v>
      </c>
      <c r="D302" s="47" t="str">
        <f>IF(A302=A301,D301,"")</f>
        <v>Raul Trivigno</v>
      </c>
      <c r="E302" s="31" t="str">
        <f t="shared" si="37"/>
        <v>91Raul Trivigno2</v>
      </c>
      <c r="I302" s="31" t="str">
        <f t="shared" si="38"/>
        <v xml:space="preserve">Service completo. Cambio de aceite y filtros. Control general del vehiculo. </v>
      </c>
      <c r="K302" s="26" t="s">
        <v>90</v>
      </c>
      <c r="P302" s="27">
        <v>8.25</v>
      </c>
      <c r="Q302" s="34">
        <v>14000</v>
      </c>
      <c r="R302" s="36">
        <f t="shared" si="36"/>
        <v>115500</v>
      </c>
      <c r="U302" s="39">
        <f t="shared" si="34"/>
        <v>0</v>
      </c>
      <c r="V302" s="41">
        <f t="shared" si="39"/>
        <v>60000</v>
      </c>
    </row>
    <row r="303" spans="1:22" x14ac:dyDescent="0.25">
      <c r="A303" s="47">
        <v>92</v>
      </c>
      <c r="B303" s="31">
        <f t="shared" si="35"/>
        <v>1</v>
      </c>
      <c r="C303" s="48">
        <v>45299</v>
      </c>
      <c r="D303" s="47" t="s">
        <v>398</v>
      </c>
      <c r="E303" s="31" t="str">
        <f t="shared" si="37"/>
        <v>92Perotti Luciano1</v>
      </c>
      <c r="G303" s="47" t="s">
        <v>399</v>
      </c>
      <c r="H303" s="26" t="s">
        <v>358</v>
      </c>
      <c r="I303" s="31" t="str">
        <f t="shared" si="38"/>
        <v>Service completo. Cambio de aceite y filtros. Control general del vehiculo.</v>
      </c>
      <c r="K303" s="26" t="s">
        <v>91</v>
      </c>
      <c r="P303" s="27">
        <v>1</v>
      </c>
      <c r="Q303" s="34">
        <v>79000</v>
      </c>
      <c r="R303" s="36">
        <f t="shared" si="36"/>
        <v>79000</v>
      </c>
      <c r="S303" s="6">
        <v>1</v>
      </c>
      <c r="T303" s="7">
        <v>65000</v>
      </c>
      <c r="U303" s="39">
        <f t="shared" si="34"/>
        <v>65000</v>
      </c>
      <c r="V303" s="41">
        <f t="shared" si="39"/>
        <v>65000</v>
      </c>
    </row>
    <row r="304" spans="1:22" x14ac:dyDescent="0.25">
      <c r="A304" s="47">
        <v>92</v>
      </c>
      <c r="B304" s="31">
        <f t="shared" si="35"/>
        <v>2</v>
      </c>
      <c r="C304" s="48">
        <f>IF(A304=A303,C303,"")</f>
        <v>45299</v>
      </c>
      <c r="D304" s="47" t="str">
        <f>IF(A304=A303,D303,"")</f>
        <v>Perotti Luciano</v>
      </c>
      <c r="E304" s="31" t="str">
        <f t="shared" si="37"/>
        <v>92Perotti Luciano2</v>
      </c>
      <c r="I304" s="31" t="str">
        <f t="shared" si="38"/>
        <v xml:space="preserve">Service completo. Cambio de aceite y filtros. Control general del vehiculo. </v>
      </c>
      <c r="K304" s="26" t="s">
        <v>363</v>
      </c>
      <c r="P304" s="27">
        <v>4.5</v>
      </c>
      <c r="Q304" s="34">
        <v>8910</v>
      </c>
      <c r="R304" s="36">
        <f t="shared" si="36"/>
        <v>40095</v>
      </c>
      <c r="U304" s="39">
        <f t="shared" si="34"/>
        <v>0</v>
      </c>
      <c r="V304" s="41">
        <f t="shared" si="39"/>
        <v>65000</v>
      </c>
    </row>
    <row r="305" spans="1:22" x14ac:dyDescent="0.25">
      <c r="A305" s="47">
        <v>93</v>
      </c>
      <c r="B305" s="31">
        <f t="shared" si="35"/>
        <v>1</v>
      </c>
      <c r="C305" s="48">
        <v>45302</v>
      </c>
      <c r="D305" s="47" t="s">
        <v>400</v>
      </c>
      <c r="E305" s="31" t="str">
        <f t="shared" si="37"/>
        <v>93Bassino Ruben1</v>
      </c>
      <c r="G305" s="47" t="s">
        <v>401</v>
      </c>
      <c r="H305" s="26" t="s">
        <v>358</v>
      </c>
      <c r="I305" s="31" t="str">
        <f t="shared" si="38"/>
        <v>Service completo. Cambio de aceite y filtros. Control general del vehiculo.</v>
      </c>
      <c r="K305" s="26" t="s">
        <v>91</v>
      </c>
      <c r="P305" s="27">
        <v>1</v>
      </c>
      <c r="Q305" s="34">
        <v>58000</v>
      </c>
      <c r="R305" s="36">
        <f t="shared" si="36"/>
        <v>58000</v>
      </c>
      <c r="S305" s="6">
        <v>1</v>
      </c>
      <c r="T305" s="7">
        <v>65000</v>
      </c>
      <c r="U305" s="39">
        <f t="shared" si="34"/>
        <v>65000</v>
      </c>
      <c r="V305" s="41">
        <f t="shared" si="39"/>
        <v>65000</v>
      </c>
    </row>
    <row r="306" spans="1:22" x14ac:dyDescent="0.25">
      <c r="A306" s="47">
        <v>93</v>
      </c>
      <c r="B306" s="31">
        <f t="shared" si="35"/>
        <v>2</v>
      </c>
      <c r="C306" s="48">
        <f>IF(A306=A305,C305,"")</f>
        <v>45302</v>
      </c>
      <c r="D306" s="47" t="str">
        <f>IF(A306=A305,D305,"")</f>
        <v>Bassino Ruben</v>
      </c>
      <c r="E306" s="31" t="str">
        <f t="shared" si="37"/>
        <v>93Bassino Ruben2</v>
      </c>
      <c r="I306" s="31" t="str">
        <f t="shared" si="38"/>
        <v xml:space="preserve">Service completo. Cambio de aceite y filtros. Control general del vehiculo. </v>
      </c>
      <c r="K306" s="26" t="s">
        <v>326</v>
      </c>
      <c r="P306" s="27">
        <v>4</v>
      </c>
      <c r="Q306" s="34">
        <v>22050</v>
      </c>
      <c r="R306" s="36">
        <f t="shared" si="36"/>
        <v>88200</v>
      </c>
      <c r="U306" s="39">
        <f t="shared" si="34"/>
        <v>0</v>
      </c>
      <c r="V306" s="41">
        <f t="shared" si="39"/>
        <v>65000</v>
      </c>
    </row>
    <row r="307" spans="1:22" x14ac:dyDescent="0.25">
      <c r="A307" s="47">
        <v>94</v>
      </c>
      <c r="B307" s="31">
        <f t="shared" si="35"/>
        <v>1</v>
      </c>
      <c r="C307" s="48">
        <v>45306</v>
      </c>
      <c r="D307" s="47" t="s">
        <v>402</v>
      </c>
      <c r="E307" s="31" t="str">
        <f t="shared" si="37"/>
        <v>94Gimenez Agustina1</v>
      </c>
      <c r="G307" s="47" t="s">
        <v>403</v>
      </c>
      <c r="H307" s="26" t="s">
        <v>405</v>
      </c>
      <c r="I307" s="31" t="str">
        <f t="shared" si="38"/>
        <v xml:space="preserve">Service completo. Cambio de aceite y filtros. Control general de mas de 60 puntos del vehiculo. </v>
      </c>
      <c r="K307" s="26" t="s">
        <v>91</v>
      </c>
      <c r="P307" s="27">
        <v>1</v>
      </c>
      <c r="Q307" s="34">
        <v>33500</v>
      </c>
      <c r="R307" s="36">
        <f t="shared" si="36"/>
        <v>33500</v>
      </c>
      <c r="S307" s="6">
        <v>1</v>
      </c>
      <c r="T307" s="7">
        <v>60000</v>
      </c>
      <c r="U307" s="39">
        <f t="shared" si="34"/>
        <v>60000</v>
      </c>
      <c r="V307" s="41">
        <f t="shared" si="39"/>
        <v>60000</v>
      </c>
    </row>
    <row r="308" spans="1:22" x14ac:dyDescent="0.25">
      <c r="A308" s="47">
        <v>94</v>
      </c>
      <c r="B308" s="31">
        <f t="shared" si="35"/>
        <v>2</v>
      </c>
      <c r="C308" s="48">
        <f>IF(A308=A307,C307,"")</f>
        <v>45306</v>
      </c>
      <c r="D308" s="47" t="str">
        <f>IF(A308=A307,D307,"")</f>
        <v>Gimenez Agustina</v>
      </c>
      <c r="E308" s="31" t="str">
        <f t="shared" si="37"/>
        <v>94Gimenez Agustina2</v>
      </c>
      <c r="I308" s="31" t="str">
        <f t="shared" si="38"/>
        <v xml:space="preserve">Service completo. Cambio de aceite y filtros. Control general de mas de 60 puntos del vehiculo.  </v>
      </c>
      <c r="K308" s="26" t="s">
        <v>108</v>
      </c>
      <c r="P308" s="27">
        <v>4</v>
      </c>
      <c r="Q308" s="34">
        <v>10700</v>
      </c>
      <c r="R308" s="36">
        <f t="shared" si="36"/>
        <v>42800</v>
      </c>
      <c r="U308" s="39">
        <f t="shared" si="34"/>
        <v>0</v>
      </c>
      <c r="V308" s="41">
        <f t="shared" si="39"/>
        <v>60000</v>
      </c>
    </row>
    <row r="309" spans="1:22" x14ac:dyDescent="0.25">
      <c r="A309" s="47">
        <v>95</v>
      </c>
      <c r="B309" s="31">
        <f t="shared" si="35"/>
        <v>1</v>
      </c>
      <c r="C309" s="48">
        <v>45306</v>
      </c>
      <c r="D309" s="47" t="s">
        <v>402</v>
      </c>
      <c r="E309" s="31" t="str">
        <f t="shared" si="37"/>
        <v>95Gimenez Agustina1</v>
      </c>
      <c r="G309" s="47" t="s">
        <v>403</v>
      </c>
      <c r="H309" s="26" t="s">
        <v>404</v>
      </c>
      <c r="I309" s="31" t="str">
        <f t="shared" si="38"/>
        <v>Cambio de aceite y filtros. Control limitado del vehiculo.</v>
      </c>
      <c r="K309" s="26" t="s">
        <v>91</v>
      </c>
      <c r="P309" s="27">
        <v>1</v>
      </c>
      <c r="Q309" s="34">
        <v>33500</v>
      </c>
      <c r="R309" s="36">
        <f t="shared" si="36"/>
        <v>33500</v>
      </c>
      <c r="S309" s="6">
        <v>1</v>
      </c>
      <c r="T309" s="7">
        <v>30000</v>
      </c>
      <c r="U309" s="39">
        <f t="shared" si="34"/>
        <v>30000</v>
      </c>
      <c r="V309" s="41">
        <f t="shared" si="39"/>
        <v>30000</v>
      </c>
    </row>
    <row r="310" spans="1:22" x14ac:dyDescent="0.25">
      <c r="A310" s="47">
        <v>95</v>
      </c>
      <c r="B310" s="31">
        <f t="shared" si="35"/>
        <v>2</v>
      </c>
      <c r="C310" s="48">
        <f>IF(A310=A309,C309,"")</f>
        <v>45306</v>
      </c>
      <c r="D310" s="47" t="str">
        <f>IF(A310=A309,D309,"")</f>
        <v>Gimenez Agustina</v>
      </c>
      <c r="E310" s="31" t="str">
        <f t="shared" si="37"/>
        <v>95Gimenez Agustina2</v>
      </c>
      <c r="I310" s="31" t="str">
        <f t="shared" si="38"/>
        <v xml:space="preserve">Cambio de aceite y filtros. Control limitado del vehiculo. </v>
      </c>
      <c r="K310" s="26" t="s">
        <v>108</v>
      </c>
      <c r="P310" s="27">
        <v>4</v>
      </c>
      <c r="Q310" s="34">
        <v>10700</v>
      </c>
      <c r="R310" s="36">
        <f t="shared" si="36"/>
        <v>42800</v>
      </c>
      <c r="U310" s="39">
        <f t="shared" si="34"/>
        <v>0</v>
      </c>
      <c r="V310" s="41">
        <f t="shared" si="39"/>
        <v>30000</v>
      </c>
    </row>
    <row r="311" spans="1:22" x14ac:dyDescent="0.25">
      <c r="A311" s="47">
        <v>96</v>
      </c>
      <c r="B311" s="31">
        <f t="shared" si="35"/>
        <v>1</v>
      </c>
      <c r="C311" s="48">
        <v>45306</v>
      </c>
      <c r="D311" s="47" t="s">
        <v>74</v>
      </c>
      <c r="E311" s="31" t="str">
        <f t="shared" si="37"/>
        <v>96Moreno Orlando1</v>
      </c>
      <c r="G311" s="47" t="s">
        <v>406</v>
      </c>
      <c r="H311" s="26" t="s">
        <v>407</v>
      </c>
      <c r="I311" s="31" t="str">
        <f t="shared" si="38"/>
        <v>Desarmar distribucion completa. Cambiar kit, bomba de agua, correa poly-v y liquido refrigerante. Purgado del circuito de refrigeracion. Puesta a punto. Armado total.</v>
      </c>
      <c r="K311" s="26" t="s">
        <v>408</v>
      </c>
      <c r="P311" s="27">
        <v>1</v>
      </c>
      <c r="Q311" s="34">
        <v>570000</v>
      </c>
      <c r="R311" s="36">
        <f t="shared" si="36"/>
        <v>570000</v>
      </c>
      <c r="S311" s="6">
        <v>1</v>
      </c>
      <c r="T311" s="7">
        <v>110000</v>
      </c>
      <c r="U311" s="39">
        <f t="shared" si="34"/>
        <v>110000</v>
      </c>
      <c r="V311" s="41">
        <f t="shared" si="39"/>
        <v>110000</v>
      </c>
    </row>
    <row r="312" spans="1:22" x14ac:dyDescent="0.25">
      <c r="A312" s="47">
        <v>96</v>
      </c>
      <c r="B312" s="31">
        <f t="shared" si="35"/>
        <v>2</v>
      </c>
      <c r="C312" s="48">
        <f>IF(A312=A311,C311,"")</f>
        <v>45306</v>
      </c>
      <c r="D312" s="47" t="str">
        <f>IF(A312=A311,D311,"")</f>
        <v>Moreno Orlando</v>
      </c>
      <c r="E312" s="31" t="str">
        <f t="shared" si="37"/>
        <v>96Moreno Orlando2</v>
      </c>
      <c r="I312" s="31" t="str">
        <f t="shared" si="38"/>
        <v xml:space="preserve">Desarmar distribucion completa. Cambiar kit, bomba de agua, correa poly-v y liquido refrigerante. Purgado del circuito de refrigeracion. Puesta a punto. Armado total. </v>
      </c>
      <c r="K312" s="26" t="s">
        <v>322</v>
      </c>
      <c r="P312" s="27">
        <v>1</v>
      </c>
      <c r="Q312" s="34">
        <v>31000</v>
      </c>
      <c r="R312" s="36">
        <f t="shared" si="36"/>
        <v>31000</v>
      </c>
      <c r="U312" s="39">
        <f t="shared" si="34"/>
        <v>0</v>
      </c>
      <c r="V312" s="41">
        <f t="shared" si="39"/>
        <v>110000</v>
      </c>
    </row>
    <row r="313" spans="1:22" x14ac:dyDescent="0.25">
      <c r="A313" s="47">
        <v>96</v>
      </c>
      <c r="B313" s="31">
        <f t="shared" si="35"/>
        <v>3</v>
      </c>
      <c r="C313" s="48">
        <f>IF(A313=A312,C312,"")</f>
        <v>45306</v>
      </c>
      <c r="D313" s="47" t="str">
        <f>IF(A313=A312,D312,"")</f>
        <v>Moreno Orlando</v>
      </c>
      <c r="E313" s="31" t="str">
        <f t="shared" si="37"/>
        <v>96Moreno Orlando3</v>
      </c>
      <c r="I313" s="31" t="str">
        <f t="shared" si="38"/>
        <v xml:space="preserve">Desarmar distribucion completa. Cambiar kit, bomba de agua, correa poly-v y liquido refrigerante. Purgado del circuito de refrigeracion. Puesta a punto. Armado total.  </v>
      </c>
      <c r="K313" s="26" t="s">
        <v>409</v>
      </c>
      <c r="P313" s="27">
        <v>2</v>
      </c>
      <c r="Q313" s="34">
        <v>8640</v>
      </c>
      <c r="R313" s="36">
        <f t="shared" si="36"/>
        <v>17280</v>
      </c>
      <c r="U313" s="39">
        <f t="shared" si="34"/>
        <v>0</v>
      </c>
      <c r="V313" s="41">
        <f t="shared" si="39"/>
        <v>110000</v>
      </c>
    </row>
    <row r="314" spans="1:22" x14ac:dyDescent="0.25">
      <c r="A314" s="47">
        <v>96</v>
      </c>
      <c r="B314" s="31">
        <f t="shared" si="35"/>
        <v>4</v>
      </c>
      <c r="C314" s="48">
        <f>IF(A314=A313,C313,"")</f>
        <v>45306</v>
      </c>
      <c r="D314" s="47" t="str">
        <f>IF(A314=A313,D313,"")</f>
        <v>Moreno Orlando</v>
      </c>
      <c r="E314" s="31" t="str">
        <f t="shared" si="37"/>
        <v>96Moreno Orlando4</v>
      </c>
      <c r="I314" s="31" t="str">
        <f t="shared" si="38"/>
        <v xml:space="preserve">Desarmar distribucion completa. Cambiar kit, bomba de agua, correa poly-v y liquido refrigerante. Purgado del circuito de refrigeracion. Puesta a punto. Armado total.   </v>
      </c>
      <c r="K314" s="26" t="s">
        <v>410</v>
      </c>
      <c r="P314" s="27">
        <v>1</v>
      </c>
      <c r="Q314" s="34">
        <v>3000</v>
      </c>
      <c r="R314" s="36">
        <f t="shared" si="36"/>
        <v>3000</v>
      </c>
      <c r="U314" s="39">
        <f t="shared" si="34"/>
        <v>0</v>
      </c>
      <c r="V314" s="41">
        <f t="shared" si="39"/>
        <v>110000</v>
      </c>
    </row>
    <row r="315" spans="1:22" x14ac:dyDescent="0.25">
      <c r="A315" s="47">
        <v>97</v>
      </c>
      <c r="B315" s="31">
        <f t="shared" si="35"/>
        <v>1</v>
      </c>
      <c r="C315" s="48">
        <v>45308</v>
      </c>
      <c r="D315" s="47" t="s">
        <v>411</v>
      </c>
      <c r="E315" s="31" t="str">
        <f t="shared" si="37"/>
        <v>97Emder David1</v>
      </c>
      <c r="G315" s="47" t="s">
        <v>412</v>
      </c>
      <c r="H315" s="26" t="s">
        <v>395</v>
      </c>
      <c r="I315" s="31" t="str">
        <f t="shared" si="38"/>
        <v>Service completo. Cambio de aceite y filtros. Control general del vehiculo. Desarmar distribucion completa. Cambio kit de distribucion, bomba de agua, correa poly-v y liquido refrigerante. Purgado del circuito de refrigeracion. Puesta a punto. Armado total.</v>
      </c>
      <c r="K315" s="26" t="s">
        <v>408</v>
      </c>
      <c r="P315" s="27">
        <v>1</v>
      </c>
      <c r="Q315" s="34">
        <v>292000</v>
      </c>
      <c r="R315" s="36">
        <f t="shared" si="36"/>
        <v>292000</v>
      </c>
      <c r="S315" s="6">
        <v>1</v>
      </c>
      <c r="T315" s="7">
        <v>100000</v>
      </c>
      <c r="U315" s="39">
        <f t="shared" si="34"/>
        <v>100000</v>
      </c>
      <c r="V315" s="41">
        <f t="shared" si="39"/>
        <v>100000</v>
      </c>
    </row>
    <row r="316" spans="1:22" x14ac:dyDescent="0.25">
      <c r="A316" s="47">
        <v>97</v>
      </c>
      <c r="B316" s="31">
        <f t="shared" si="35"/>
        <v>2</v>
      </c>
      <c r="C316" s="48">
        <f>IF(A316=A315,C315,"")</f>
        <v>45308</v>
      </c>
      <c r="D316" s="47" t="str">
        <f>IF(A316=A315,D315,"")</f>
        <v>Emder David</v>
      </c>
      <c r="E316" s="31" t="str">
        <f t="shared" si="37"/>
        <v>97Emder David2</v>
      </c>
      <c r="I316" s="31" t="str">
        <f t="shared" si="38"/>
        <v xml:space="preserve">Service completo. Cambio de aceite y filtros. Control general del vehiculo. Desarmar distribucion completa. Cambio kit de distribucion, bomba de agua, correa poly-v y liquido refrigerante. Purgado del circuito de refrigeracion. Puesta a punto. Armado total. </v>
      </c>
      <c r="K316" s="26" t="s">
        <v>322</v>
      </c>
      <c r="P316" s="27">
        <v>1</v>
      </c>
      <c r="Q316" s="34">
        <v>32000</v>
      </c>
      <c r="R316" s="36">
        <f t="shared" si="36"/>
        <v>32000</v>
      </c>
      <c r="U316" s="39">
        <f t="shared" si="34"/>
        <v>0</v>
      </c>
      <c r="V316" s="41">
        <f t="shared" si="39"/>
        <v>100000</v>
      </c>
    </row>
    <row r="317" spans="1:22" x14ac:dyDescent="0.25">
      <c r="A317" s="47">
        <v>97</v>
      </c>
      <c r="B317" s="31">
        <f t="shared" si="35"/>
        <v>3</v>
      </c>
      <c r="C317" s="48">
        <f>IF(A317=A316,C316,"")</f>
        <v>45308</v>
      </c>
      <c r="D317" s="47" t="str">
        <f>IF(A317=A316,D316,"")</f>
        <v>Emder David</v>
      </c>
      <c r="E317" s="31" t="str">
        <f t="shared" si="37"/>
        <v>97Emder David3</v>
      </c>
      <c r="I317" s="31" t="str">
        <f t="shared" si="38"/>
        <v xml:space="preserve">Service completo. Cambio de aceite y filtros. Control general del vehiculo. Desarmar distribucion completa. Cambio kit de distribucion, bomba de agua, correa poly-v y liquido refrigerante. Purgado del circuito de refrigeracion. Puesta a punto. Armado total.  </v>
      </c>
      <c r="K317" s="26" t="s">
        <v>91</v>
      </c>
      <c r="P317" s="27">
        <v>1</v>
      </c>
      <c r="Q317" s="34">
        <v>38000</v>
      </c>
      <c r="R317" s="36">
        <f t="shared" si="36"/>
        <v>38000</v>
      </c>
      <c r="U317" s="39">
        <f t="shared" si="34"/>
        <v>0</v>
      </c>
      <c r="V317" s="41">
        <f t="shared" si="39"/>
        <v>100000</v>
      </c>
    </row>
    <row r="318" spans="1:22" x14ac:dyDescent="0.25">
      <c r="A318" s="47">
        <v>97</v>
      </c>
      <c r="B318" s="31">
        <f t="shared" si="35"/>
        <v>4</v>
      </c>
      <c r="C318" s="48">
        <f>IF(A318=A317,C317,"")</f>
        <v>45308</v>
      </c>
      <c r="D318" s="47" t="str">
        <f>IF(A318=A317,D317,"")</f>
        <v>Emder David</v>
      </c>
      <c r="E318" s="31" t="str">
        <f t="shared" si="37"/>
        <v>97Emder David4</v>
      </c>
      <c r="I318" s="31" t="str">
        <f t="shared" si="38"/>
        <v xml:space="preserve">Service completo. Cambio de aceite y filtros. Control general del vehiculo. Desarmar distribucion completa. Cambio kit de distribucion, bomba de agua, correa poly-v y liquido refrigerante. Purgado del circuito de refrigeracion. Puesta a punto. Armado total.   </v>
      </c>
      <c r="K318" s="26" t="s">
        <v>409</v>
      </c>
      <c r="P318" s="27">
        <v>2</v>
      </c>
      <c r="Q318" s="34">
        <v>8640</v>
      </c>
      <c r="R318" s="36">
        <f t="shared" si="36"/>
        <v>17280</v>
      </c>
      <c r="U318" s="39">
        <f t="shared" si="34"/>
        <v>0</v>
      </c>
      <c r="V318" s="41">
        <f t="shared" si="39"/>
        <v>100000</v>
      </c>
    </row>
    <row r="319" spans="1:22" x14ac:dyDescent="0.25">
      <c r="A319" s="47">
        <v>97</v>
      </c>
      <c r="B319" s="31">
        <f t="shared" si="35"/>
        <v>5</v>
      </c>
      <c r="C319" s="48">
        <f>IF(A319=A318,C318,"")</f>
        <v>45308</v>
      </c>
      <c r="D319" s="47" t="str">
        <f>IF(A319=A318,D318,"")</f>
        <v>Emder David</v>
      </c>
      <c r="E319" s="31" t="str">
        <f t="shared" si="37"/>
        <v>97Emder David5</v>
      </c>
      <c r="I319" s="31" t="str">
        <f t="shared" si="38"/>
        <v xml:space="preserve">Service completo. Cambio de aceite y filtros. Control general del vehiculo. Desarmar distribucion completa. Cambio kit de distribucion, bomba de agua, correa poly-v y liquido refrigerante. Purgado del circuito de refrigeracion. Puesta a punto. Armado total.    </v>
      </c>
      <c r="K319" s="26" t="s">
        <v>410</v>
      </c>
      <c r="P319" s="27">
        <v>1</v>
      </c>
      <c r="Q319" s="34">
        <v>3000</v>
      </c>
      <c r="R319" s="36">
        <f t="shared" si="36"/>
        <v>3000</v>
      </c>
      <c r="U319" s="39">
        <f t="shared" si="34"/>
        <v>0</v>
      </c>
      <c r="V319" s="41">
        <f t="shared" si="39"/>
        <v>100000</v>
      </c>
    </row>
    <row r="320" spans="1:22" x14ac:dyDescent="0.25">
      <c r="A320" s="47">
        <v>97</v>
      </c>
      <c r="B320" s="31">
        <f t="shared" si="35"/>
        <v>6</v>
      </c>
      <c r="C320" s="48">
        <f>IF(A320=A319,C319,"")</f>
        <v>45308</v>
      </c>
      <c r="D320" s="47" t="str">
        <f>IF(A320=A319,D319,"")</f>
        <v>Emder David</v>
      </c>
      <c r="E320" s="31" t="str">
        <f t="shared" si="37"/>
        <v>97Emder David6</v>
      </c>
      <c r="I320" s="31" t="str">
        <f t="shared" si="38"/>
        <v xml:space="preserve">Service completo. Cambio de aceite y filtros. Control general del vehiculo. Desarmar distribucion completa. Cambio kit de distribucion, bomba de agua, correa poly-v y liquido refrigerante. Purgado del circuito de refrigeracion. Puesta a punto. Armado total.     </v>
      </c>
      <c r="K320" s="26" t="s">
        <v>90</v>
      </c>
      <c r="P320" s="27">
        <v>5</v>
      </c>
      <c r="Q320" s="34">
        <v>15750</v>
      </c>
      <c r="R320" s="36">
        <f t="shared" si="36"/>
        <v>78750</v>
      </c>
      <c r="U320" s="39">
        <f t="shared" si="34"/>
        <v>0</v>
      </c>
      <c r="V320" s="41">
        <f t="shared" si="39"/>
        <v>100000</v>
      </c>
    </row>
    <row r="321" spans="1:22" x14ac:dyDescent="0.25">
      <c r="A321" s="47">
        <v>98</v>
      </c>
      <c r="B321" s="31">
        <f t="shared" si="35"/>
        <v>1</v>
      </c>
      <c r="C321" s="48">
        <v>45308</v>
      </c>
      <c r="D321" s="47" t="s">
        <v>413</v>
      </c>
      <c r="E321" s="31" t="str">
        <f t="shared" si="37"/>
        <v>98Manassero Fanny1</v>
      </c>
      <c r="G321" s="47" t="s">
        <v>414</v>
      </c>
      <c r="H321" s="26" t="s">
        <v>415</v>
      </c>
      <c r="I321" s="31" t="str">
        <f t="shared" si="38"/>
        <v>Cambiar fuelle semieje izquierdo lado caja.</v>
      </c>
      <c r="K321" s="26" t="s">
        <v>416</v>
      </c>
      <c r="P321" s="27">
        <v>1</v>
      </c>
      <c r="Q321" s="34">
        <v>12500</v>
      </c>
      <c r="R321" s="36">
        <f t="shared" si="36"/>
        <v>12500</v>
      </c>
      <c r="S321" s="6">
        <v>1</v>
      </c>
      <c r="T321" s="7">
        <v>20000</v>
      </c>
      <c r="U321" s="39">
        <f t="shared" si="34"/>
        <v>20000</v>
      </c>
      <c r="V321" s="41">
        <f t="shared" si="39"/>
        <v>20000</v>
      </c>
    </row>
    <row r="322" spans="1:22" x14ac:dyDescent="0.25">
      <c r="A322" s="47">
        <v>98</v>
      </c>
      <c r="B322" s="31">
        <f t="shared" si="35"/>
        <v>2</v>
      </c>
      <c r="C322" s="48">
        <f>IF(A322=A321,C321,"")</f>
        <v>45308</v>
      </c>
      <c r="D322" s="47" t="str">
        <f>IF(A322=A321,D321,"")</f>
        <v>Manassero Fanny</v>
      </c>
      <c r="E322" s="31" t="str">
        <f t="shared" si="37"/>
        <v>98Manassero Fanny2</v>
      </c>
      <c r="I322" s="31" t="str">
        <f t="shared" si="38"/>
        <v xml:space="preserve">Cambiar fuelle semieje izquierdo lado caja. </v>
      </c>
      <c r="P322" s="27"/>
      <c r="Q322" s="34"/>
      <c r="R322" s="36">
        <f t="shared" si="36"/>
        <v>0</v>
      </c>
      <c r="U322" s="39">
        <f t="shared" si="34"/>
        <v>0</v>
      </c>
      <c r="V322" s="41">
        <f t="shared" si="39"/>
        <v>20000</v>
      </c>
    </row>
    <row r="323" spans="1:22" x14ac:dyDescent="0.25">
      <c r="A323" s="47">
        <v>99</v>
      </c>
      <c r="B323" s="31">
        <f t="shared" si="35"/>
        <v>1</v>
      </c>
      <c r="C323" s="48">
        <v>45308</v>
      </c>
      <c r="D323" s="47" t="s">
        <v>417</v>
      </c>
      <c r="E323" s="31" t="str">
        <f t="shared" si="37"/>
        <v>99Castro Juan Pablo1</v>
      </c>
      <c r="G323" s="47" t="s">
        <v>418</v>
      </c>
      <c r="H323" s="26" t="s">
        <v>424</v>
      </c>
      <c r="I323" s="31" t="str">
        <f t="shared" si="38"/>
        <v>Sacar tapa de clindros. Desarmar integra. Controlar guias de valvulas. Esmerilar asientos de valvulas. Cambiar retenes de vavulas. Cambiar retenes de arbol de levas. Armado total de tapa. Sacar carter, pistones. Control de cilindros. Brunido de cilindros. Limpieza de pistones. Controlar pernos (ajuste). Controlar cojinetes de biela. En su defecto, cambiar. Armado con aros nuevos. Armado total del motor. Colocar aceite y filtro de aceite nuevo. Puesta en marcha.</v>
      </c>
      <c r="K323" s="26" t="s">
        <v>240</v>
      </c>
      <c r="P323" s="27">
        <v>1</v>
      </c>
      <c r="Q323" s="34">
        <v>7800</v>
      </c>
      <c r="R323" s="36">
        <f t="shared" si="36"/>
        <v>7800</v>
      </c>
      <c r="U323" s="39">
        <f t="shared" si="34"/>
        <v>0</v>
      </c>
      <c r="V323" s="41">
        <f t="shared" si="39"/>
        <v>0</v>
      </c>
    </row>
    <row r="324" spans="1:22" x14ac:dyDescent="0.25">
      <c r="A324" s="47">
        <v>99</v>
      </c>
      <c r="B324" s="31">
        <f t="shared" si="35"/>
        <v>2</v>
      </c>
      <c r="C324" s="48">
        <f t="shared" ref="C324:C329" si="40">IF(A324=A323,C323,"")</f>
        <v>45308</v>
      </c>
      <c r="D324" s="47" t="str">
        <f t="shared" ref="D324:D329" si="41">IF(A324=A323,D323,"")</f>
        <v>Castro Juan Pablo</v>
      </c>
      <c r="E324" s="31" t="str">
        <f t="shared" si="37"/>
        <v>99Castro Juan Pablo2</v>
      </c>
      <c r="I324" s="31" t="str">
        <f t="shared" si="38"/>
        <v xml:space="preserve">Sacar tapa de clindros. Desarmar integra. Controlar guias de valvulas. Esmerilar asientos de valvulas. Cambiar retenes de vavulas. Cambiar retenes de arbol de levas. Armado total de tapa. Sacar carter, pistones. Control de cilindros. Brunido de cilindros. Limpieza de pistones. Controlar pernos (ajuste). Controlar cojinetes de biela. En su defecto, cambiar. Armado con aros nuevos. Armado total del motor. Colocar aceite y filtro de aceite nuevo. Puesta en marcha. </v>
      </c>
      <c r="K324" s="26" t="s">
        <v>419</v>
      </c>
      <c r="P324" s="27">
        <v>1</v>
      </c>
      <c r="Q324" s="34">
        <v>153000</v>
      </c>
      <c r="R324" s="36">
        <f t="shared" si="36"/>
        <v>153000</v>
      </c>
      <c r="S324" s="6">
        <v>1</v>
      </c>
      <c r="T324" s="7">
        <v>250000</v>
      </c>
      <c r="U324" s="39">
        <f t="shared" ref="U324:U387" si="42">+T324*S324</f>
        <v>250000</v>
      </c>
      <c r="V324" s="41">
        <f t="shared" si="39"/>
        <v>250000</v>
      </c>
    </row>
    <row r="325" spans="1:22" x14ac:dyDescent="0.25">
      <c r="A325" s="47">
        <v>99</v>
      </c>
      <c r="B325" s="31">
        <f t="shared" ref="B325:B388" si="43">IF(A325=A324,B324+1,1)</f>
        <v>3</v>
      </c>
      <c r="C325" s="48">
        <f t="shared" si="40"/>
        <v>45308</v>
      </c>
      <c r="D325" s="47" t="str">
        <f t="shared" si="41"/>
        <v>Castro Juan Pablo</v>
      </c>
      <c r="E325" s="31" t="str">
        <f t="shared" si="37"/>
        <v>99Castro Juan Pablo3</v>
      </c>
      <c r="I325" s="31" t="str">
        <f t="shared" si="38"/>
        <v xml:space="preserve">Sacar tapa de clindros. Desarmar integra. Controlar guias de valvulas. Esmerilar asientos de valvulas. Cambiar retenes de vavulas. Cambiar retenes de arbol de levas. Armado total de tapa. Sacar carter, pistones. Control de cilindros. Brunido de cilindros. Limpieza de pistones. Controlar pernos (ajuste). Controlar cojinetes de biela. En su defecto, cambiar. Armado con aros nuevos. Armado total del motor. Colocar aceite y filtro de aceite nuevo. Puesta en marcha.  </v>
      </c>
      <c r="K325" s="26" t="s">
        <v>420</v>
      </c>
      <c r="P325" s="27">
        <v>1</v>
      </c>
      <c r="Q325" s="34">
        <v>34000</v>
      </c>
      <c r="R325" s="36">
        <f t="shared" si="36"/>
        <v>34000</v>
      </c>
      <c r="U325" s="39">
        <f t="shared" si="42"/>
        <v>0</v>
      </c>
      <c r="V325" s="41">
        <f t="shared" si="39"/>
        <v>250000</v>
      </c>
    </row>
    <row r="326" spans="1:22" x14ac:dyDescent="0.25">
      <c r="A326" s="47">
        <v>99</v>
      </c>
      <c r="B326" s="31">
        <f t="shared" si="43"/>
        <v>4</v>
      </c>
      <c r="C326" s="48">
        <f t="shared" si="40"/>
        <v>45308</v>
      </c>
      <c r="D326" s="47" t="str">
        <f t="shared" si="41"/>
        <v>Castro Juan Pablo</v>
      </c>
      <c r="E326" s="31" t="str">
        <f t="shared" si="37"/>
        <v>99Castro Juan Pablo4</v>
      </c>
      <c r="I326" s="31" t="str">
        <f t="shared" si="38"/>
        <v xml:space="preserve">Sacar tapa de clindros. Desarmar integra. Controlar guias de valvulas. Esmerilar asientos de valvulas. Cambiar retenes de vavulas. Cambiar retenes de arbol de levas. Armado total de tapa. Sacar carter, pistones. Control de cilindros. Brunido de cilindros. Limpieza de pistones. Controlar pernos (ajuste). Controlar cojinetes de biela. En su defecto, cambiar. Armado con aros nuevos. Armado total del motor. Colocar aceite y filtro de aceite nuevo. Puesta en marcha.   </v>
      </c>
      <c r="K326" s="26" t="s">
        <v>421</v>
      </c>
      <c r="P326" s="27">
        <v>1</v>
      </c>
      <c r="Q326" s="34">
        <v>86500</v>
      </c>
      <c r="R326" s="36">
        <f t="shared" si="36"/>
        <v>86500</v>
      </c>
      <c r="U326" s="39">
        <f t="shared" si="42"/>
        <v>0</v>
      </c>
      <c r="V326" s="41">
        <f t="shared" si="39"/>
        <v>250000</v>
      </c>
    </row>
    <row r="327" spans="1:22" x14ac:dyDescent="0.25">
      <c r="A327" s="47">
        <v>99</v>
      </c>
      <c r="B327" s="31">
        <f t="shared" si="43"/>
        <v>5</v>
      </c>
      <c r="C327" s="48">
        <f t="shared" si="40"/>
        <v>45308</v>
      </c>
      <c r="D327" s="47" t="str">
        <f t="shared" si="41"/>
        <v>Castro Juan Pablo</v>
      </c>
      <c r="E327" s="31" t="str">
        <f t="shared" si="37"/>
        <v>99Castro Juan Pablo5</v>
      </c>
      <c r="I327" s="31" t="str">
        <f t="shared" si="38"/>
        <v xml:space="preserve">Sacar tapa de clindros. Desarmar integra. Controlar guias de valvulas. Esmerilar asientos de valvulas. Cambiar retenes de vavulas. Cambiar retenes de arbol de levas. Armado total de tapa. Sacar carter, pistones. Control de cilindros. Brunido de cilindros. Limpieza de pistones. Controlar pernos (ajuste). Controlar cojinetes de biela. En su defecto, cambiar. Armado con aros nuevos. Armado total del motor. Colocar aceite y filtro de aceite nuevo. Puesta en marcha.    </v>
      </c>
      <c r="K327" s="26" t="s">
        <v>422</v>
      </c>
      <c r="P327" s="27">
        <v>2</v>
      </c>
      <c r="Q327" s="34">
        <v>9500</v>
      </c>
      <c r="R327" s="36">
        <f t="shared" si="36"/>
        <v>19000</v>
      </c>
      <c r="U327" s="39">
        <f t="shared" si="42"/>
        <v>0</v>
      </c>
      <c r="V327" s="41">
        <f t="shared" si="39"/>
        <v>250000</v>
      </c>
    </row>
    <row r="328" spans="1:22" x14ac:dyDescent="0.25">
      <c r="A328" s="47">
        <v>99</v>
      </c>
      <c r="B328" s="31">
        <f t="shared" si="43"/>
        <v>6</v>
      </c>
      <c r="C328" s="48">
        <f t="shared" si="40"/>
        <v>45308</v>
      </c>
      <c r="D328" s="47" t="str">
        <f t="shared" si="41"/>
        <v>Castro Juan Pablo</v>
      </c>
      <c r="E328" s="31" t="str">
        <f t="shared" si="37"/>
        <v>99Castro Juan Pablo6</v>
      </c>
      <c r="I328" s="31" t="str">
        <f t="shared" si="38"/>
        <v xml:space="preserve">Sacar tapa de clindros. Desarmar integra. Controlar guias de valvulas. Esmerilar asientos de valvulas. Cambiar retenes de vavulas. Cambiar retenes de arbol de levas. Armado total de tapa. Sacar carter, pistones. Control de cilindros. Brunido de cilindros. Limpieza de pistones. Controlar pernos (ajuste). Controlar cojinetes de biela. En su defecto, cambiar. Armado con aros nuevos. Armado total del motor. Colocar aceite y filtro de aceite nuevo. Puesta en marcha.     </v>
      </c>
      <c r="K328" s="26" t="s">
        <v>423</v>
      </c>
      <c r="P328" s="27">
        <v>1</v>
      </c>
      <c r="Q328" s="34">
        <v>33000</v>
      </c>
      <c r="R328" s="36">
        <f t="shared" si="36"/>
        <v>33000</v>
      </c>
      <c r="U328" s="39">
        <f t="shared" si="42"/>
        <v>0</v>
      </c>
      <c r="V328" s="41">
        <f t="shared" si="39"/>
        <v>250000</v>
      </c>
    </row>
    <row r="329" spans="1:22" x14ac:dyDescent="0.25">
      <c r="A329" s="47">
        <v>99</v>
      </c>
      <c r="B329" s="31">
        <f t="shared" si="43"/>
        <v>7</v>
      </c>
      <c r="C329" s="48">
        <f t="shared" si="40"/>
        <v>45308</v>
      </c>
      <c r="D329" s="47" t="str">
        <f t="shared" si="41"/>
        <v>Castro Juan Pablo</v>
      </c>
      <c r="E329" s="31" t="str">
        <f t="shared" si="37"/>
        <v>99Castro Juan Pablo7</v>
      </c>
      <c r="I329" s="31" t="str">
        <f t="shared" si="38"/>
        <v xml:space="preserve">Sacar tapa de clindros. Desarmar integra. Controlar guias de valvulas. Esmerilar asientos de valvulas. Cambiar retenes de vavulas. Cambiar retenes de arbol de levas. Armado total de tapa. Sacar carter, pistones. Control de cilindros. Brunido de cilindros. Limpieza de pistones. Controlar pernos (ajuste). Controlar cojinetes de biela. En su defecto, cambiar. Armado con aros nuevos. Armado total del motor. Colocar aceite y filtro de aceite nuevo. Puesta en marcha.      </v>
      </c>
      <c r="K329" s="26" t="s">
        <v>108</v>
      </c>
      <c r="P329" s="27">
        <v>4</v>
      </c>
      <c r="Q329" s="34">
        <v>10700</v>
      </c>
      <c r="R329" s="36">
        <f t="shared" si="36"/>
        <v>42800</v>
      </c>
      <c r="U329" s="39">
        <f t="shared" si="42"/>
        <v>0</v>
      </c>
      <c r="V329" s="41">
        <f t="shared" si="39"/>
        <v>250000</v>
      </c>
    </row>
    <row r="330" spans="1:22" x14ac:dyDescent="0.25">
      <c r="A330" s="47">
        <v>100</v>
      </c>
      <c r="B330" s="31">
        <f t="shared" si="43"/>
        <v>1</v>
      </c>
      <c r="C330" s="48">
        <v>45313</v>
      </c>
      <c r="D330" s="47" t="s">
        <v>425</v>
      </c>
      <c r="E330" s="31" t="str">
        <f t="shared" si="37"/>
        <v>100Curti Carlos1</v>
      </c>
      <c r="G330" s="47" t="s">
        <v>426</v>
      </c>
      <c r="H330" s="26" t="s">
        <v>405</v>
      </c>
      <c r="I330" s="31" t="str">
        <f t="shared" si="38"/>
        <v xml:space="preserve">Service completo. Cambio de aceite y filtros. Control general de mas de 60 puntos del vehiculo. </v>
      </c>
      <c r="K330" s="26" t="s">
        <v>427</v>
      </c>
      <c r="P330" s="49">
        <v>1</v>
      </c>
      <c r="Q330" s="32">
        <v>34800</v>
      </c>
      <c r="R330" s="37">
        <f t="shared" si="36"/>
        <v>34800</v>
      </c>
      <c r="S330" s="6">
        <v>1</v>
      </c>
      <c r="T330" s="7">
        <v>50000</v>
      </c>
      <c r="U330" s="39">
        <f t="shared" si="42"/>
        <v>50000</v>
      </c>
      <c r="V330" s="41">
        <f t="shared" si="39"/>
        <v>50000</v>
      </c>
    </row>
    <row r="331" spans="1:22" x14ac:dyDescent="0.25">
      <c r="A331" s="47">
        <v>100</v>
      </c>
      <c r="B331" s="31">
        <f t="shared" si="43"/>
        <v>2</v>
      </c>
      <c r="C331" s="48">
        <f>IF(A331=A330,C330,"")</f>
        <v>45313</v>
      </c>
      <c r="D331" s="47" t="str">
        <f>IF(A331=A330,D330,"")</f>
        <v>Curti Carlos</v>
      </c>
      <c r="E331" s="31" t="str">
        <f t="shared" si="37"/>
        <v>100Curti Carlos2</v>
      </c>
      <c r="I331" s="31" t="str">
        <f t="shared" si="38"/>
        <v xml:space="preserve">Service completo. Cambio de aceite y filtros. Control general de mas de 60 puntos del vehiculo.  </v>
      </c>
      <c r="K331" s="26" t="s">
        <v>108</v>
      </c>
      <c r="P331" s="27">
        <v>4</v>
      </c>
      <c r="Q331" s="34">
        <v>10700</v>
      </c>
      <c r="R331" s="36">
        <f t="shared" si="36"/>
        <v>42800</v>
      </c>
      <c r="U331" s="39">
        <f t="shared" si="42"/>
        <v>0</v>
      </c>
      <c r="V331" s="41">
        <f t="shared" si="39"/>
        <v>50000</v>
      </c>
    </row>
    <row r="332" spans="1:22" x14ac:dyDescent="0.25">
      <c r="A332" s="47">
        <v>101</v>
      </c>
      <c r="B332" s="31">
        <f t="shared" si="43"/>
        <v>1</v>
      </c>
      <c r="C332" s="48">
        <v>45313</v>
      </c>
      <c r="D332" s="47" t="s">
        <v>425</v>
      </c>
      <c r="E332" s="31" t="str">
        <f t="shared" si="37"/>
        <v>101Curti Carlos1</v>
      </c>
      <c r="G332" s="47" t="s">
        <v>426</v>
      </c>
      <c r="H332" s="26" t="s">
        <v>428</v>
      </c>
      <c r="I332" s="31" t="str">
        <f t="shared" si="38"/>
        <v>Cambio de aceite y filtros. Control de pastillas de freno. Control de cubiertas.</v>
      </c>
      <c r="K332" s="26" t="s">
        <v>427</v>
      </c>
      <c r="P332" s="27">
        <v>1</v>
      </c>
      <c r="Q332" s="34">
        <v>34800</v>
      </c>
      <c r="R332" s="36">
        <f t="shared" si="36"/>
        <v>34800</v>
      </c>
      <c r="S332" s="6">
        <v>1</v>
      </c>
      <c r="T332" s="7">
        <v>30000</v>
      </c>
      <c r="U332" s="39">
        <f t="shared" si="42"/>
        <v>30000</v>
      </c>
      <c r="V332" s="41">
        <f t="shared" si="39"/>
        <v>30000</v>
      </c>
    </row>
    <row r="333" spans="1:22" x14ac:dyDescent="0.25">
      <c r="A333" s="47">
        <v>101</v>
      </c>
      <c r="B333" s="31">
        <f t="shared" si="43"/>
        <v>2</v>
      </c>
      <c r="C333" s="48">
        <f>IF(A333=A332,C332,"")</f>
        <v>45313</v>
      </c>
      <c r="D333" s="47" t="str">
        <f>IF(A333=A332,D332,"")</f>
        <v>Curti Carlos</v>
      </c>
      <c r="E333" s="31" t="str">
        <f t="shared" si="37"/>
        <v>101Curti Carlos2</v>
      </c>
      <c r="I333" s="31" t="str">
        <f t="shared" si="38"/>
        <v xml:space="preserve">Cambio de aceite y filtros. Control de pastillas de freno. Control de cubiertas. </v>
      </c>
      <c r="K333" s="26" t="s">
        <v>108</v>
      </c>
      <c r="P333" s="27">
        <v>4</v>
      </c>
      <c r="Q333" s="34">
        <v>10700</v>
      </c>
      <c r="R333" s="36">
        <f t="shared" si="36"/>
        <v>42800</v>
      </c>
      <c r="U333" s="39">
        <f t="shared" si="42"/>
        <v>0</v>
      </c>
      <c r="V333" s="41">
        <f t="shared" si="39"/>
        <v>30000</v>
      </c>
    </row>
    <row r="334" spans="1:22" x14ac:dyDescent="0.25">
      <c r="A334" s="47">
        <v>102</v>
      </c>
      <c r="B334" s="31">
        <f t="shared" si="43"/>
        <v>1</v>
      </c>
      <c r="C334" s="48">
        <v>45316</v>
      </c>
      <c r="D334" s="47" t="s">
        <v>429</v>
      </c>
      <c r="E334" s="31" t="str">
        <f t="shared" si="37"/>
        <v>102Depascuale Carolina1</v>
      </c>
      <c r="G334" s="47" t="s">
        <v>403</v>
      </c>
      <c r="H334" s="26" t="s">
        <v>430</v>
      </c>
      <c r="I334" s="31" t="str">
        <f t="shared" si="38"/>
        <v>Sacar caja de velocidad, placa de disco y volante motor. Limpieza completa de la zona. Cambio de reten de bancada. Puesta a punto con herramienta especifica. Armado total. Puesta en marcha</v>
      </c>
      <c r="K334" s="26" t="s">
        <v>431</v>
      </c>
      <c r="P334" s="27">
        <v>1</v>
      </c>
      <c r="Q334" s="34">
        <v>78000</v>
      </c>
      <c r="R334" s="36">
        <f t="shared" si="36"/>
        <v>78000</v>
      </c>
      <c r="S334" s="6">
        <v>1</v>
      </c>
      <c r="T334" s="7">
        <v>100000</v>
      </c>
      <c r="U334" s="39">
        <f t="shared" si="42"/>
        <v>100000</v>
      </c>
      <c r="V334" s="41">
        <f t="shared" si="39"/>
        <v>100000</v>
      </c>
    </row>
    <row r="335" spans="1:22" x14ac:dyDescent="0.25">
      <c r="A335" s="47">
        <v>102</v>
      </c>
      <c r="B335" s="31">
        <f t="shared" si="43"/>
        <v>2</v>
      </c>
      <c r="C335" s="48">
        <f>IF(A335=A334,C334,"")</f>
        <v>45316</v>
      </c>
      <c r="D335" s="47" t="str">
        <f>IF(A335=A334,D334,"")</f>
        <v>Depascuale Carolina</v>
      </c>
      <c r="E335" s="31" t="str">
        <f t="shared" si="37"/>
        <v>102Depascuale Carolina2</v>
      </c>
      <c r="I335" s="31" t="str">
        <f t="shared" si="38"/>
        <v xml:space="preserve">Sacar caja de velocidad, placa de disco y volante motor. Limpieza completa de la zona. Cambio de reten de bancada. Puesta a punto con herramienta especifica. Armado total. Puesta en marcha </v>
      </c>
      <c r="P335" s="27"/>
      <c r="Q335" s="34"/>
      <c r="R335" s="36">
        <f t="shared" ref="R335:R398" si="44">Q335*P335</f>
        <v>0</v>
      </c>
      <c r="U335" s="39">
        <f t="shared" si="42"/>
        <v>0</v>
      </c>
      <c r="V335" s="41">
        <f t="shared" si="39"/>
        <v>100000</v>
      </c>
    </row>
    <row r="336" spans="1:22" x14ac:dyDescent="0.25">
      <c r="A336" s="47">
        <v>103</v>
      </c>
      <c r="B336" s="31">
        <f t="shared" si="43"/>
        <v>1</v>
      </c>
      <c r="C336" s="48">
        <v>45321</v>
      </c>
      <c r="D336" s="47" t="s">
        <v>432</v>
      </c>
      <c r="E336" s="31" t="str">
        <f t="shared" si="37"/>
        <v>103Pucca Veronica1</v>
      </c>
      <c r="G336" s="47" t="s">
        <v>433</v>
      </c>
      <c r="H336" s="26" t="s">
        <v>434</v>
      </c>
      <c r="I336" s="31" t="str">
        <f t="shared" si="38"/>
        <v>Cambiar ambos amortiguadores traseros. Sacar amb as parrilas de suspension. Reparar con bujes nuevos. Armado total. Regular convergencia.</v>
      </c>
      <c r="K336" s="26" t="s">
        <v>435</v>
      </c>
      <c r="P336" s="27">
        <v>2</v>
      </c>
      <c r="Q336" s="34">
        <v>28000</v>
      </c>
      <c r="R336" s="36">
        <f t="shared" si="44"/>
        <v>56000</v>
      </c>
      <c r="S336" s="6">
        <v>1</v>
      </c>
      <c r="T336" s="7">
        <v>70000</v>
      </c>
      <c r="U336" s="39">
        <f t="shared" si="42"/>
        <v>70000</v>
      </c>
      <c r="V336" s="41">
        <f t="shared" si="39"/>
        <v>70000</v>
      </c>
    </row>
    <row r="337" spans="1:22" x14ac:dyDescent="0.25">
      <c r="A337" s="47">
        <v>103</v>
      </c>
      <c r="B337" s="31">
        <f t="shared" si="43"/>
        <v>2</v>
      </c>
      <c r="C337" s="48">
        <f>IF(A337=A336,C336,"")</f>
        <v>45321</v>
      </c>
      <c r="D337" s="47" t="str">
        <f>IF(A337=A336,D336,"")</f>
        <v>Pucca Veronica</v>
      </c>
      <c r="E337" s="31" t="str">
        <f t="shared" ref="E337:E400" si="45">CONCATENATE(A337,D337,B337)</f>
        <v>103Pucca Veronica2</v>
      </c>
      <c r="I337" s="31" t="str">
        <f t="shared" si="38"/>
        <v xml:space="preserve">Cambiar ambos amortiguadores traseros. Sacar amb as parrilas de suspension. Reparar con bujes nuevos. Armado total. Regular convergencia. </v>
      </c>
      <c r="K337" s="26" t="s">
        <v>436</v>
      </c>
      <c r="P337" s="27">
        <v>4</v>
      </c>
      <c r="Q337" s="34">
        <v>4300</v>
      </c>
      <c r="R337" s="36">
        <f t="shared" si="44"/>
        <v>17200</v>
      </c>
      <c r="U337" s="39">
        <f t="shared" si="42"/>
        <v>0</v>
      </c>
      <c r="V337" s="41">
        <f t="shared" si="39"/>
        <v>70000</v>
      </c>
    </row>
    <row r="338" spans="1:22" x14ac:dyDescent="0.25">
      <c r="A338" s="47">
        <v>103</v>
      </c>
      <c r="B338" s="31">
        <f t="shared" si="43"/>
        <v>3</v>
      </c>
      <c r="C338" s="48">
        <f>IF(A338=A337,C337,"")</f>
        <v>45321</v>
      </c>
      <c r="D338" s="47" t="str">
        <f>IF(A338=A337,D337,"")</f>
        <v>Pucca Veronica</v>
      </c>
      <c r="E338" s="31" t="str">
        <f t="shared" si="45"/>
        <v>103Pucca Veronica3</v>
      </c>
      <c r="I338" s="31" t="str">
        <f t="shared" si="38"/>
        <v xml:space="preserve">Cambiar ambos amortiguadores traseros. Sacar amb as parrilas de suspension. Reparar con bujes nuevos. Armado total. Regular convergencia.  </v>
      </c>
      <c r="K338" s="26" t="s">
        <v>437</v>
      </c>
      <c r="P338" s="27">
        <v>2</v>
      </c>
      <c r="Q338" s="34">
        <v>9000</v>
      </c>
      <c r="R338" s="36">
        <f t="shared" si="44"/>
        <v>18000</v>
      </c>
      <c r="U338" s="39">
        <f t="shared" si="42"/>
        <v>0</v>
      </c>
      <c r="V338" s="41">
        <f t="shared" si="39"/>
        <v>70000</v>
      </c>
    </row>
    <row r="339" spans="1:22" x14ac:dyDescent="0.25">
      <c r="A339" s="47">
        <v>104</v>
      </c>
      <c r="B339" s="31">
        <f t="shared" si="43"/>
        <v>1</v>
      </c>
      <c r="C339" s="48">
        <v>45321</v>
      </c>
      <c r="D339" s="47" t="s">
        <v>438</v>
      </c>
      <c r="E339" s="31" t="str">
        <f t="shared" si="45"/>
        <v>104Uretta Agustin1</v>
      </c>
      <c r="G339" s="47" t="s">
        <v>439</v>
      </c>
      <c r="H339" s="26" t="s">
        <v>440</v>
      </c>
      <c r="I339" s="31" t="str">
        <f t="shared" si="38"/>
        <v>Service completo. Cambio de aceite y filtros. Control general de mas de 50 puntos del vehiculo.</v>
      </c>
      <c r="K339" s="26" t="s">
        <v>299</v>
      </c>
      <c r="P339" s="27">
        <v>1</v>
      </c>
      <c r="Q339" s="34">
        <v>98000</v>
      </c>
      <c r="R339" s="36">
        <f t="shared" si="44"/>
        <v>98000</v>
      </c>
      <c r="S339" s="6">
        <v>1</v>
      </c>
      <c r="T339" s="7">
        <v>60000</v>
      </c>
      <c r="U339" s="39">
        <f t="shared" si="42"/>
        <v>60000</v>
      </c>
      <c r="V339" s="41">
        <f t="shared" si="39"/>
        <v>60000</v>
      </c>
    </row>
    <row r="340" spans="1:22" x14ac:dyDescent="0.25">
      <c r="A340" s="47">
        <v>104</v>
      </c>
      <c r="B340" s="31">
        <f t="shared" si="43"/>
        <v>2</v>
      </c>
      <c r="C340" s="48">
        <f>IF(A340=A339,C339,"")</f>
        <v>45321</v>
      </c>
      <c r="D340" s="47" t="str">
        <f>IF(A340=A339,D339,"")</f>
        <v>Uretta Agustin</v>
      </c>
      <c r="E340" s="31" t="str">
        <f t="shared" si="45"/>
        <v>104Uretta Agustin2</v>
      </c>
      <c r="I340" s="31" t="str">
        <f t="shared" ref="I340:I403" si="46">IF(A340=A339,CONCATENATE(I339," ",H340),H340)</f>
        <v xml:space="preserve">Service completo. Cambio de aceite y filtros. Control general de mas de 50 puntos del vehiculo. </v>
      </c>
      <c r="K340" s="26" t="s">
        <v>443</v>
      </c>
      <c r="P340" s="27">
        <v>4.5</v>
      </c>
      <c r="Q340" s="34">
        <v>15700</v>
      </c>
      <c r="R340" s="36">
        <f t="shared" si="44"/>
        <v>70650</v>
      </c>
      <c r="U340" s="39">
        <f t="shared" si="42"/>
        <v>0</v>
      </c>
      <c r="V340" s="41">
        <f t="shared" ref="V340:V403" si="47">IF(A340=A339,V339+U340,U340)</f>
        <v>60000</v>
      </c>
    </row>
    <row r="341" spans="1:22" x14ac:dyDescent="0.25">
      <c r="A341" s="47">
        <v>105</v>
      </c>
      <c r="B341" s="31">
        <f t="shared" si="43"/>
        <v>1</v>
      </c>
      <c r="C341" s="48">
        <v>45322</v>
      </c>
      <c r="D341" s="47" t="s">
        <v>441</v>
      </c>
      <c r="E341" s="31" t="str">
        <f t="shared" si="45"/>
        <v>105Stap Calos1</v>
      </c>
      <c r="G341" s="47" t="s">
        <v>442</v>
      </c>
      <c r="H341" s="26" t="s">
        <v>440</v>
      </c>
      <c r="I341" s="31" t="str">
        <f t="shared" si="46"/>
        <v>Service completo. Cambio de aceite y filtros. Control general de mas de 50 puntos del vehiculo.</v>
      </c>
      <c r="K341" s="26" t="s">
        <v>299</v>
      </c>
      <c r="P341" s="27">
        <v>1</v>
      </c>
      <c r="Q341" s="34">
        <v>82400</v>
      </c>
      <c r="R341" s="36">
        <f t="shared" si="44"/>
        <v>82400</v>
      </c>
      <c r="S341" s="6">
        <v>1</v>
      </c>
      <c r="T341" s="7">
        <v>50000</v>
      </c>
      <c r="U341" s="39">
        <f t="shared" si="42"/>
        <v>50000</v>
      </c>
      <c r="V341" s="41">
        <f t="shared" si="47"/>
        <v>50000</v>
      </c>
    </row>
    <row r="342" spans="1:22" x14ac:dyDescent="0.25">
      <c r="A342" s="47">
        <v>105</v>
      </c>
      <c r="B342" s="31">
        <f t="shared" si="43"/>
        <v>2</v>
      </c>
      <c r="C342" s="48">
        <f>IF(A342=A341,C341,"")</f>
        <v>45322</v>
      </c>
      <c r="D342" s="47" t="str">
        <f>IF(A342=A341,D341,"")</f>
        <v>Stap Calos</v>
      </c>
      <c r="E342" s="31" t="str">
        <f t="shared" si="45"/>
        <v>105Stap Calos2</v>
      </c>
      <c r="I342" s="31" t="str">
        <f t="shared" si="46"/>
        <v xml:space="preserve">Service completo. Cambio de aceite y filtros. Control general de mas de 50 puntos del vehiculo. </v>
      </c>
      <c r="K342" s="26" t="s">
        <v>90</v>
      </c>
      <c r="P342" s="27">
        <v>7.5</v>
      </c>
      <c r="Q342" s="34">
        <v>15700</v>
      </c>
      <c r="R342" s="36">
        <f t="shared" si="44"/>
        <v>117750</v>
      </c>
      <c r="U342" s="39">
        <f t="shared" si="42"/>
        <v>0</v>
      </c>
      <c r="V342" s="41">
        <f t="shared" si="47"/>
        <v>50000</v>
      </c>
    </row>
    <row r="343" spans="1:22" x14ac:dyDescent="0.25">
      <c r="A343" s="47">
        <v>106</v>
      </c>
      <c r="B343" s="31">
        <f t="shared" si="43"/>
        <v>1</v>
      </c>
      <c r="C343" s="48">
        <v>45322</v>
      </c>
      <c r="D343" s="47" t="s">
        <v>444</v>
      </c>
      <c r="E343" s="31" t="str">
        <f t="shared" si="45"/>
        <v>106Ferrari Colo1</v>
      </c>
      <c r="G343" s="47" t="s">
        <v>403</v>
      </c>
      <c r="H343" s="26" t="s">
        <v>440</v>
      </c>
      <c r="I343" s="31" t="str">
        <f t="shared" si="46"/>
        <v>Service completo. Cambio de aceite y filtros. Control general de mas de 50 puntos del vehiculo.</v>
      </c>
      <c r="K343" s="26" t="s">
        <v>299</v>
      </c>
      <c r="P343" s="27">
        <v>1</v>
      </c>
      <c r="Q343" s="34">
        <v>32000</v>
      </c>
      <c r="R343" s="36">
        <f t="shared" si="44"/>
        <v>32000</v>
      </c>
      <c r="S343" s="6">
        <v>1</v>
      </c>
      <c r="T343" s="7">
        <v>52000</v>
      </c>
      <c r="U343" s="39">
        <f t="shared" si="42"/>
        <v>52000</v>
      </c>
      <c r="V343" s="41">
        <f t="shared" si="47"/>
        <v>52000</v>
      </c>
    </row>
    <row r="344" spans="1:22" x14ac:dyDescent="0.25">
      <c r="A344" s="47">
        <v>106</v>
      </c>
      <c r="B344" s="31">
        <f t="shared" si="43"/>
        <v>2</v>
      </c>
      <c r="C344" s="48">
        <f>IF(A344=A343,C343,"")</f>
        <v>45322</v>
      </c>
      <c r="D344" s="47" t="str">
        <f>IF(A344=A343,D343,"")</f>
        <v>Ferrari Colo</v>
      </c>
      <c r="E344" s="31" t="str">
        <f t="shared" si="45"/>
        <v>106Ferrari Colo2</v>
      </c>
      <c r="I344" s="31" t="str">
        <f t="shared" si="46"/>
        <v xml:space="preserve">Service completo. Cambio de aceite y filtros. Control general de mas de 50 puntos del vehiculo. </v>
      </c>
      <c r="K344" s="26" t="s">
        <v>108</v>
      </c>
      <c r="P344" s="27">
        <v>4</v>
      </c>
      <c r="Q344" s="34">
        <v>10700</v>
      </c>
      <c r="R344" s="36">
        <f t="shared" si="44"/>
        <v>42800</v>
      </c>
      <c r="U344" s="39">
        <f t="shared" si="42"/>
        <v>0</v>
      </c>
      <c r="V344" s="41">
        <f t="shared" si="47"/>
        <v>52000</v>
      </c>
    </row>
    <row r="345" spans="1:22" x14ac:dyDescent="0.25">
      <c r="A345" s="47">
        <v>107</v>
      </c>
      <c r="B345" s="31">
        <f t="shared" si="43"/>
        <v>1</v>
      </c>
      <c r="C345" s="48">
        <v>45327</v>
      </c>
      <c r="D345" s="47" t="s">
        <v>445</v>
      </c>
      <c r="E345" s="31" t="str">
        <f t="shared" si="45"/>
        <v>107Clemente Jose Luis1</v>
      </c>
      <c r="G345" s="47" t="s">
        <v>446</v>
      </c>
      <c r="H345" s="26" t="s">
        <v>449</v>
      </c>
      <c r="I345" s="31" t="str">
        <f t="shared" si="46"/>
        <v>Cambiar amortiguadores traseros.</v>
      </c>
      <c r="K345" s="26" t="s">
        <v>447</v>
      </c>
      <c r="P345" s="27">
        <v>1</v>
      </c>
      <c r="Q345" s="34">
        <v>120000</v>
      </c>
      <c r="R345" s="36">
        <f t="shared" si="44"/>
        <v>120000</v>
      </c>
      <c r="S345" s="6">
        <v>1</v>
      </c>
      <c r="T345" s="7">
        <v>30000</v>
      </c>
      <c r="U345" s="39">
        <f t="shared" si="42"/>
        <v>30000</v>
      </c>
      <c r="V345" s="41">
        <f t="shared" si="47"/>
        <v>30000</v>
      </c>
    </row>
    <row r="346" spans="1:22" x14ac:dyDescent="0.25">
      <c r="A346" s="47">
        <v>107</v>
      </c>
      <c r="B346" s="31">
        <f t="shared" si="43"/>
        <v>2</v>
      </c>
      <c r="C346" s="48">
        <f>IF(A346=A345,C345,"")</f>
        <v>45327</v>
      </c>
      <c r="D346" s="47" t="str">
        <f>IF(A346=A345,D345,"")</f>
        <v>Clemente Jose Luis</v>
      </c>
      <c r="E346" s="31" t="str">
        <f t="shared" si="45"/>
        <v>107Clemente Jose Luis2</v>
      </c>
      <c r="I346" s="31" t="str">
        <f t="shared" si="46"/>
        <v xml:space="preserve">Cambiar amortiguadores traseros. </v>
      </c>
      <c r="K346" s="26" t="s">
        <v>448</v>
      </c>
      <c r="P346" s="27">
        <v>2</v>
      </c>
      <c r="Q346" s="34">
        <v>10000</v>
      </c>
      <c r="R346" s="36">
        <f t="shared" si="44"/>
        <v>20000</v>
      </c>
      <c r="U346" s="39">
        <f t="shared" si="42"/>
        <v>0</v>
      </c>
      <c r="V346" s="41">
        <f t="shared" si="47"/>
        <v>30000</v>
      </c>
    </row>
    <row r="347" spans="1:22" x14ac:dyDescent="0.25">
      <c r="A347" s="47">
        <v>108</v>
      </c>
      <c r="B347" s="31">
        <f t="shared" si="43"/>
        <v>1</v>
      </c>
      <c r="C347" s="48">
        <v>45328</v>
      </c>
      <c r="D347" s="47" t="s">
        <v>413</v>
      </c>
      <c r="E347" s="31" t="str">
        <f t="shared" si="45"/>
        <v>108Manassero Fanny1</v>
      </c>
      <c r="G347" s="47" t="s">
        <v>414</v>
      </c>
      <c r="H347" s="26" t="s">
        <v>450</v>
      </c>
      <c r="I347" s="31" t="str">
        <f t="shared" si="46"/>
        <v>Cambiar rotula inferior izquierda. Regular convergencia.</v>
      </c>
      <c r="K347" s="26" t="s">
        <v>451</v>
      </c>
      <c r="P347" s="27">
        <v>1</v>
      </c>
      <c r="Q347" s="34">
        <v>96700</v>
      </c>
      <c r="R347" s="36">
        <f t="shared" si="44"/>
        <v>96700</v>
      </c>
      <c r="S347" s="6">
        <v>1</v>
      </c>
      <c r="T347" s="7">
        <v>30000</v>
      </c>
      <c r="U347" s="39">
        <f t="shared" si="42"/>
        <v>30000</v>
      </c>
      <c r="V347" s="41">
        <f t="shared" si="47"/>
        <v>30000</v>
      </c>
    </row>
    <row r="348" spans="1:22" x14ac:dyDescent="0.25">
      <c r="A348" s="47">
        <v>108</v>
      </c>
      <c r="B348" s="31">
        <f t="shared" si="43"/>
        <v>2</v>
      </c>
      <c r="C348" s="48">
        <f>IF(A348=A347,C347,"")</f>
        <v>45328</v>
      </c>
      <c r="D348" s="47" t="str">
        <f>IF(A348=A347,D347,"")</f>
        <v>Manassero Fanny</v>
      </c>
      <c r="E348" s="31" t="str">
        <f t="shared" si="45"/>
        <v>108Manassero Fanny2</v>
      </c>
      <c r="I348" s="31" t="str">
        <f t="shared" si="46"/>
        <v xml:space="preserve">Cambiar rotula inferior izquierda. Regular convergencia. </v>
      </c>
      <c r="P348" s="27"/>
      <c r="Q348" s="34"/>
      <c r="R348" s="36">
        <f t="shared" si="44"/>
        <v>0</v>
      </c>
      <c r="U348" s="39">
        <f t="shared" si="42"/>
        <v>0</v>
      </c>
      <c r="V348" s="41">
        <f t="shared" si="47"/>
        <v>30000</v>
      </c>
    </row>
    <row r="349" spans="1:22" x14ac:dyDescent="0.25">
      <c r="A349" s="47">
        <v>109</v>
      </c>
      <c r="B349" s="31">
        <f t="shared" si="43"/>
        <v>1</v>
      </c>
      <c r="C349" s="48">
        <v>45330</v>
      </c>
      <c r="D349" s="47" t="s">
        <v>453</v>
      </c>
      <c r="E349" s="31" t="str">
        <f t="shared" si="45"/>
        <v>109Barral Juan1</v>
      </c>
      <c r="G349" s="47" t="s">
        <v>452</v>
      </c>
      <c r="H349" s="26" t="s">
        <v>440</v>
      </c>
      <c r="I349" s="31" t="str">
        <f t="shared" si="46"/>
        <v>Service completo. Cambio de aceite y filtros. Control general de mas de 50 puntos del vehiculo.</v>
      </c>
      <c r="K349" s="26" t="s">
        <v>91</v>
      </c>
      <c r="P349" s="27">
        <v>1</v>
      </c>
      <c r="Q349" s="34">
        <v>41200</v>
      </c>
      <c r="R349" s="36">
        <f t="shared" si="44"/>
        <v>41200</v>
      </c>
      <c r="S349" s="6">
        <v>1</v>
      </c>
      <c r="T349" s="7">
        <v>55000</v>
      </c>
      <c r="U349" s="39">
        <f t="shared" si="42"/>
        <v>55000</v>
      </c>
      <c r="V349" s="41">
        <f t="shared" si="47"/>
        <v>55000</v>
      </c>
    </row>
    <row r="350" spans="1:22" x14ac:dyDescent="0.25">
      <c r="A350" s="47">
        <v>109</v>
      </c>
      <c r="B350" s="31">
        <f t="shared" si="43"/>
        <v>2</v>
      </c>
      <c r="C350" s="48">
        <f>IF(A350=A349,C349,"")</f>
        <v>45330</v>
      </c>
      <c r="D350" s="47" t="str">
        <f>IF(A350=A349,D349,"")</f>
        <v>Barral Juan</v>
      </c>
      <c r="E350" s="31" t="str">
        <f t="shared" si="45"/>
        <v>109Barral Juan2</v>
      </c>
      <c r="I350" s="31" t="str">
        <f t="shared" si="46"/>
        <v xml:space="preserve">Service completo. Cambio de aceite y filtros. Control general de mas de 50 puntos del vehiculo. </v>
      </c>
      <c r="K350" s="26" t="s">
        <v>90</v>
      </c>
      <c r="P350" s="27">
        <v>4</v>
      </c>
      <c r="Q350" s="34">
        <v>15750</v>
      </c>
      <c r="R350" s="36">
        <f t="shared" si="44"/>
        <v>63000</v>
      </c>
      <c r="U350" s="39">
        <f t="shared" si="42"/>
        <v>0</v>
      </c>
      <c r="V350" s="41">
        <f t="shared" si="47"/>
        <v>55000</v>
      </c>
    </row>
    <row r="351" spans="1:22" x14ac:dyDescent="0.25">
      <c r="A351" s="47">
        <v>110</v>
      </c>
      <c r="B351" s="31">
        <f t="shared" si="43"/>
        <v>1</v>
      </c>
      <c r="C351" s="48">
        <v>45331</v>
      </c>
      <c r="D351" s="47" t="s">
        <v>454</v>
      </c>
      <c r="E351" s="31" t="str">
        <f t="shared" si="45"/>
        <v>110Martin Maria Elena1</v>
      </c>
      <c r="F351" s="47" t="s">
        <v>455</v>
      </c>
      <c r="G351" s="47" t="s">
        <v>456</v>
      </c>
      <c r="H351" s="26" t="s">
        <v>464</v>
      </c>
      <c r="I351" s="31" t="str">
        <f t="shared" si="46"/>
        <v>Cambiar cuna bajo motor. Cambiar ambas parrillas de suspensión. Cambiar ambos amortiguadores delanteros. Cambiar ambas bieletas de barra estabilizadora. Alineación del tren delantero. Cambiar ambos precap y ambos extremos de dirección. Cambiar radiador de agua. Agregar liquido refrigerante. Purgado del circuito de refrigeración.</v>
      </c>
      <c r="K351" s="26" t="s">
        <v>93</v>
      </c>
      <c r="P351" s="27">
        <v>1</v>
      </c>
      <c r="Q351" s="34">
        <v>134000</v>
      </c>
      <c r="R351" s="36">
        <f t="shared" si="44"/>
        <v>134000</v>
      </c>
      <c r="S351" s="6">
        <v>1</v>
      </c>
      <c r="T351" s="7">
        <v>500000</v>
      </c>
      <c r="U351" s="39">
        <f t="shared" si="42"/>
        <v>500000</v>
      </c>
      <c r="V351" s="41">
        <f t="shared" si="47"/>
        <v>500000</v>
      </c>
    </row>
    <row r="352" spans="1:22" x14ac:dyDescent="0.25">
      <c r="A352" s="47">
        <v>110</v>
      </c>
      <c r="B352" s="31">
        <f t="shared" si="43"/>
        <v>2</v>
      </c>
      <c r="C352" s="48">
        <f t="shared" ref="C352:C362" si="48">IF(A352=A351,C351,"")</f>
        <v>45331</v>
      </c>
      <c r="D352" s="47" t="str">
        <f t="shared" ref="D352:D362" si="49">IF(A352=A351,D351,"")</f>
        <v>Martin Maria Elena</v>
      </c>
      <c r="E352" s="31" t="str">
        <f t="shared" si="45"/>
        <v>110Martin Maria Elena2</v>
      </c>
      <c r="I352" s="31" t="str">
        <f t="shared" si="46"/>
        <v xml:space="preserve">Cambiar cuna bajo motor. Cambiar ambas parrillas de suspensión. Cambiar ambos amortiguadores delanteros. Cambiar ambas bieletas de barra estabilizadora. Alineación del tren delantero. Cambiar ambos precap y ambos extremos de dirección. Cambiar radiador de agua. Agregar liquido refrigerante. Purgado del circuito de refrigeración. </v>
      </c>
      <c r="K352" s="26" t="s">
        <v>101</v>
      </c>
      <c r="P352" s="27">
        <v>2</v>
      </c>
      <c r="Q352" s="34">
        <v>92000</v>
      </c>
      <c r="R352" s="36">
        <f t="shared" si="44"/>
        <v>184000</v>
      </c>
      <c r="U352" s="39">
        <f t="shared" si="42"/>
        <v>0</v>
      </c>
      <c r="V352" s="41">
        <f t="shared" si="47"/>
        <v>500000</v>
      </c>
    </row>
    <row r="353" spans="1:22" x14ac:dyDescent="0.25">
      <c r="A353" s="47">
        <v>110</v>
      </c>
      <c r="B353" s="31">
        <f t="shared" si="43"/>
        <v>3</v>
      </c>
      <c r="C353" s="48">
        <f t="shared" si="48"/>
        <v>45331</v>
      </c>
      <c r="D353" s="47" t="str">
        <f t="shared" si="49"/>
        <v>Martin Maria Elena</v>
      </c>
      <c r="E353" s="31" t="str">
        <f t="shared" si="45"/>
        <v>110Martin Maria Elena3</v>
      </c>
      <c r="I353" s="31" t="str">
        <f t="shared" si="46"/>
        <v xml:space="preserve">Cambiar cuna bajo motor. Cambiar ambas parrillas de suspensión. Cambiar ambos amortiguadores delanteros. Cambiar ambas bieletas de barra estabilizadora. Alineación del tren delantero. Cambiar ambos precap y ambos extremos de dirección. Cambiar radiador de agua. Agregar liquido refrigerante. Purgado del circuito de refrigeración.  </v>
      </c>
      <c r="K353" s="26" t="s">
        <v>457</v>
      </c>
      <c r="P353" s="27">
        <v>2</v>
      </c>
      <c r="Q353" s="34">
        <v>14600</v>
      </c>
      <c r="R353" s="36">
        <f t="shared" si="44"/>
        <v>29200</v>
      </c>
      <c r="U353" s="39">
        <f t="shared" si="42"/>
        <v>0</v>
      </c>
      <c r="V353" s="41">
        <f t="shared" si="47"/>
        <v>500000</v>
      </c>
    </row>
    <row r="354" spans="1:22" x14ac:dyDescent="0.25">
      <c r="A354" s="47">
        <v>110</v>
      </c>
      <c r="B354" s="31">
        <f t="shared" si="43"/>
        <v>4</v>
      </c>
      <c r="C354" s="48">
        <f t="shared" si="48"/>
        <v>45331</v>
      </c>
      <c r="D354" s="47" t="str">
        <f t="shared" si="49"/>
        <v>Martin Maria Elena</v>
      </c>
      <c r="E354" s="31" t="str">
        <f t="shared" si="45"/>
        <v>110Martin Maria Elena4</v>
      </c>
      <c r="I354" s="31" t="str">
        <f t="shared" si="46"/>
        <v xml:space="preserve">Cambiar cuna bajo motor. Cambiar ambas parrillas de suspensión. Cambiar ambos amortiguadores delanteros. Cambiar ambas bieletas de barra estabilizadora. Alineación del tren delantero. Cambiar ambos precap y ambos extremos de dirección. Cambiar radiador de agua. Agregar liquido refrigerante. Purgado del circuito de refrigeración.   </v>
      </c>
      <c r="K354" s="26" t="s">
        <v>225</v>
      </c>
      <c r="P354" s="27">
        <v>2</v>
      </c>
      <c r="Q354" s="34">
        <v>22400</v>
      </c>
      <c r="R354" s="36">
        <f t="shared" si="44"/>
        <v>44800</v>
      </c>
      <c r="U354" s="39">
        <f t="shared" si="42"/>
        <v>0</v>
      </c>
      <c r="V354" s="41">
        <f t="shared" si="47"/>
        <v>500000</v>
      </c>
    </row>
    <row r="355" spans="1:22" x14ac:dyDescent="0.25">
      <c r="A355" s="47">
        <v>110</v>
      </c>
      <c r="B355" s="31">
        <f t="shared" si="43"/>
        <v>5</v>
      </c>
      <c r="C355" s="48">
        <f t="shared" si="48"/>
        <v>45331</v>
      </c>
      <c r="D355" s="47" t="str">
        <f t="shared" si="49"/>
        <v>Martin Maria Elena</v>
      </c>
      <c r="E355" s="31" t="str">
        <f t="shared" si="45"/>
        <v>110Martin Maria Elena5</v>
      </c>
      <c r="I355" s="31" t="str">
        <f t="shared" si="46"/>
        <v xml:space="preserve">Cambiar cuna bajo motor. Cambiar ambas parrillas de suspensión. Cambiar ambos amortiguadores delanteros. Cambiar ambas bieletas de barra estabilizadora. Alineación del tren delantero. Cambiar ambos precap y ambos extremos de dirección. Cambiar radiador de agua. Agregar liquido refrigerante. Purgado del circuito de refrigeración.    </v>
      </c>
      <c r="K355" s="26" t="s">
        <v>462</v>
      </c>
      <c r="P355" s="27">
        <v>2</v>
      </c>
      <c r="Q355" s="34">
        <v>224360</v>
      </c>
      <c r="R355" s="36">
        <f t="shared" si="44"/>
        <v>448720</v>
      </c>
      <c r="U355" s="39">
        <f t="shared" si="42"/>
        <v>0</v>
      </c>
      <c r="V355" s="41">
        <f t="shared" si="47"/>
        <v>500000</v>
      </c>
    </row>
    <row r="356" spans="1:22" x14ac:dyDescent="0.25">
      <c r="A356" s="47">
        <v>110</v>
      </c>
      <c r="B356" s="31">
        <f t="shared" si="43"/>
        <v>6</v>
      </c>
      <c r="C356" s="48">
        <f t="shared" si="48"/>
        <v>45331</v>
      </c>
      <c r="D356" s="47" t="str">
        <f t="shared" si="49"/>
        <v>Martin Maria Elena</v>
      </c>
      <c r="E356" s="31" t="str">
        <f t="shared" si="45"/>
        <v>110Martin Maria Elena6</v>
      </c>
      <c r="I356" s="31" t="str">
        <f t="shared" si="46"/>
        <v xml:space="preserve">Cambiar cuna bajo motor. Cambiar ambas parrillas de suspensión. Cambiar ambos amortiguadores delanteros. Cambiar ambas bieletas de barra estabilizadora. Alineación del tren delantero. Cambiar ambos precap y ambos extremos de dirección. Cambiar radiador de agua. Agregar liquido refrigerante. Purgado del circuito de refrigeración.     </v>
      </c>
      <c r="K356" s="26" t="s">
        <v>458</v>
      </c>
      <c r="P356" s="27">
        <v>1</v>
      </c>
      <c r="Q356" s="34">
        <v>315000</v>
      </c>
      <c r="R356" s="36">
        <f t="shared" si="44"/>
        <v>315000</v>
      </c>
      <c r="U356" s="39">
        <f t="shared" si="42"/>
        <v>0</v>
      </c>
      <c r="V356" s="41">
        <f t="shared" si="47"/>
        <v>500000</v>
      </c>
    </row>
    <row r="357" spans="1:22" x14ac:dyDescent="0.25">
      <c r="A357" s="47">
        <v>110</v>
      </c>
      <c r="B357" s="31">
        <f t="shared" si="43"/>
        <v>7</v>
      </c>
      <c r="C357" s="48">
        <f t="shared" si="48"/>
        <v>45331</v>
      </c>
      <c r="D357" s="47" t="str">
        <f t="shared" si="49"/>
        <v>Martin Maria Elena</v>
      </c>
      <c r="E357" s="31" t="str">
        <f t="shared" si="45"/>
        <v>110Martin Maria Elena7</v>
      </c>
      <c r="I357" s="31" t="str">
        <f t="shared" si="46"/>
        <v xml:space="preserve">Cambiar cuna bajo motor. Cambiar ambas parrillas de suspensión. Cambiar ambos amortiguadores delanteros. Cambiar ambas bieletas de barra estabilizadora. Alineación del tren delantero. Cambiar ambos precap y ambos extremos de dirección. Cambiar radiador de agua. Agregar liquido refrigerante. Purgado del circuito de refrigeración.      </v>
      </c>
      <c r="K357" s="26" t="s">
        <v>459</v>
      </c>
      <c r="P357" s="27">
        <v>2</v>
      </c>
      <c r="Q357" s="34">
        <v>17000</v>
      </c>
      <c r="R357" s="36">
        <f t="shared" si="44"/>
        <v>34000</v>
      </c>
      <c r="U357" s="39">
        <f t="shared" si="42"/>
        <v>0</v>
      </c>
      <c r="V357" s="41">
        <f t="shared" si="47"/>
        <v>500000</v>
      </c>
    </row>
    <row r="358" spans="1:22" x14ac:dyDescent="0.25">
      <c r="A358" s="47">
        <v>110</v>
      </c>
      <c r="B358" s="31">
        <f t="shared" si="43"/>
        <v>8</v>
      </c>
      <c r="C358" s="48">
        <f t="shared" si="48"/>
        <v>45331</v>
      </c>
      <c r="D358" s="47" t="str">
        <f t="shared" si="49"/>
        <v>Martin Maria Elena</v>
      </c>
      <c r="E358" s="31" t="str">
        <f t="shared" si="45"/>
        <v>110Martin Maria Elena8</v>
      </c>
      <c r="I358" s="31" t="str">
        <f t="shared" si="46"/>
        <v xml:space="preserve">Cambiar cuna bajo motor. Cambiar ambas parrillas de suspensión. Cambiar ambos amortiguadores delanteros. Cambiar ambas bieletas de barra estabilizadora. Alineación del tren delantero. Cambiar ambos precap y ambos extremos de dirección. Cambiar radiador de agua. Agregar liquido refrigerante. Purgado del circuito de refrigeración.       </v>
      </c>
      <c r="K358" s="26" t="s">
        <v>460</v>
      </c>
      <c r="P358" s="27">
        <v>1</v>
      </c>
      <c r="Q358" s="34">
        <v>351000</v>
      </c>
      <c r="R358" s="36">
        <f t="shared" si="44"/>
        <v>351000</v>
      </c>
      <c r="U358" s="39">
        <f t="shared" si="42"/>
        <v>0</v>
      </c>
      <c r="V358" s="41">
        <f t="shared" si="47"/>
        <v>500000</v>
      </c>
    </row>
    <row r="359" spans="1:22" x14ac:dyDescent="0.25">
      <c r="A359" s="47">
        <v>110</v>
      </c>
      <c r="B359" s="31">
        <f t="shared" si="43"/>
        <v>9</v>
      </c>
      <c r="C359" s="48">
        <f t="shared" si="48"/>
        <v>45331</v>
      </c>
      <c r="D359" s="47" t="str">
        <f t="shared" si="49"/>
        <v>Martin Maria Elena</v>
      </c>
      <c r="E359" s="31" t="str">
        <f t="shared" si="45"/>
        <v>110Martin Maria Elena9</v>
      </c>
      <c r="I359" s="31" t="str">
        <f t="shared" si="46"/>
        <v xml:space="preserve">Cambiar cuna bajo motor. Cambiar ambas parrillas de suspensión. Cambiar ambos amortiguadores delanteros. Cambiar ambas bieletas de barra estabilizadora. Alineación del tren delantero. Cambiar ambos precap y ambos extremos de dirección. Cambiar radiador de agua. Agregar liquido refrigerante. Purgado del circuito de refrigeración.        </v>
      </c>
      <c r="K359" s="26" t="s">
        <v>461</v>
      </c>
      <c r="P359" s="27">
        <v>2</v>
      </c>
      <c r="Q359" s="34">
        <v>20000</v>
      </c>
      <c r="R359" s="36">
        <f t="shared" si="44"/>
        <v>40000</v>
      </c>
      <c r="U359" s="39">
        <f t="shared" si="42"/>
        <v>0</v>
      </c>
      <c r="V359" s="41">
        <f t="shared" si="47"/>
        <v>500000</v>
      </c>
    </row>
    <row r="360" spans="1:22" x14ac:dyDescent="0.25">
      <c r="A360" s="47">
        <v>110</v>
      </c>
      <c r="B360" s="31">
        <f t="shared" si="43"/>
        <v>10</v>
      </c>
      <c r="C360" s="48">
        <f t="shared" si="48"/>
        <v>45331</v>
      </c>
      <c r="D360" s="47" t="str">
        <f t="shared" si="49"/>
        <v>Martin Maria Elena</v>
      </c>
      <c r="E360" s="31" t="str">
        <f t="shared" si="45"/>
        <v>110Martin Maria Elena10</v>
      </c>
      <c r="I360" s="31" t="str">
        <f t="shared" si="46"/>
        <v xml:space="preserve">Cambiar cuna bajo motor. Cambiar ambas parrillas de suspensión. Cambiar ambos amortiguadores delanteros. Cambiar ambas bieletas de barra estabilizadora. Alineación del tren delantero. Cambiar ambos precap y ambos extremos de dirección. Cambiar radiador de agua. Agregar liquido refrigerante. Purgado del circuito de refrigeración.         </v>
      </c>
      <c r="K360" s="26" t="s">
        <v>410</v>
      </c>
      <c r="P360" s="27">
        <v>1</v>
      </c>
      <c r="Q360" s="34">
        <v>3200</v>
      </c>
      <c r="R360" s="36">
        <f t="shared" si="44"/>
        <v>3200</v>
      </c>
      <c r="U360" s="39">
        <f t="shared" si="42"/>
        <v>0</v>
      </c>
      <c r="V360" s="41">
        <f t="shared" si="47"/>
        <v>500000</v>
      </c>
    </row>
    <row r="361" spans="1:22" x14ac:dyDescent="0.25">
      <c r="A361" s="47">
        <v>110</v>
      </c>
      <c r="B361" s="31">
        <f t="shared" si="43"/>
        <v>11</v>
      </c>
      <c r="C361" s="48">
        <f t="shared" si="48"/>
        <v>45331</v>
      </c>
      <c r="D361" s="47" t="str">
        <f t="shared" si="49"/>
        <v>Martin Maria Elena</v>
      </c>
      <c r="E361" s="31" t="str">
        <f t="shared" si="45"/>
        <v>110Martin Maria Elena11</v>
      </c>
      <c r="I361" s="31" t="str">
        <f t="shared" si="46"/>
        <v xml:space="preserve">Cambiar cuna bajo motor. Cambiar ambas parrillas de suspensión. Cambiar ambos amortiguadores delanteros. Cambiar ambas bieletas de barra estabilizadora. Alineación del tren delantero. Cambiar ambos precap y ambos extremos de dirección. Cambiar radiador de agua. Agregar liquido refrigerante. Purgado del circuito de refrigeración.          </v>
      </c>
      <c r="K361" s="26" t="s">
        <v>409</v>
      </c>
      <c r="P361" s="27">
        <v>5</v>
      </c>
      <c r="Q361" s="34">
        <v>8700</v>
      </c>
      <c r="R361" s="36">
        <f t="shared" si="44"/>
        <v>43500</v>
      </c>
      <c r="U361" s="39">
        <f t="shared" si="42"/>
        <v>0</v>
      </c>
      <c r="V361" s="41">
        <f t="shared" si="47"/>
        <v>500000</v>
      </c>
    </row>
    <row r="362" spans="1:22" x14ac:dyDescent="0.25">
      <c r="A362" s="47">
        <v>110</v>
      </c>
      <c r="B362" s="31">
        <f t="shared" si="43"/>
        <v>12</v>
      </c>
      <c r="C362" s="48">
        <f t="shared" si="48"/>
        <v>45331</v>
      </c>
      <c r="D362" s="47" t="str">
        <f t="shared" si="49"/>
        <v>Martin Maria Elena</v>
      </c>
      <c r="E362" s="31" t="str">
        <f t="shared" si="45"/>
        <v>110Martin Maria Elena12</v>
      </c>
      <c r="I362" s="31" t="str">
        <f t="shared" si="46"/>
        <v xml:space="preserve">Cambiar cuna bajo motor. Cambiar ambas parrillas de suspensión. Cambiar ambos amortiguadores delanteros. Cambiar ambas bieletas de barra estabilizadora. Alineación del tren delantero. Cambiar ambos precap y ambos extremos de dirección. Cambiar radiador de agua. Agregar liquido refrigerante. Purgado del circuito de refrigeración.           </v>
      </c>
      <c r="K362" s="26" t="s">
        <v>463</v>
      </c>
      <c r="P362" s="27">
        <v>1</v>
      </c>
      <c r="Q362" s="34">
        <v>20000</v>
      </c>
      <c r="R362" s="36">
        <f t="shared" si="44"/>
        <v>20000</v>
      </c>
      <c r="U362" s="39">
        <f t="shared" si="42"/>
        <v>0</v>
      </c>
      <c r="V362" s="41">
        <f t="shared" si="47"/>
        <v>500000</v>
      </c>
    </row>
    <row r="363" spans="1:22" x14ac:dyDescent="0.25">
      <c r="A363" s="47">
        <v>111</v>
      </c>
      <c r="B363" s="31">
        <f t="shared" si="43"/>
        <v>1</v>
      </c>
      <c r="C363" s="48">
        <v>45341</v>
      </c>
      <c r="D363" s="47" t="s">
        <v>473</v>
      </c>
      <c r="E363" s="31" t="str">
        <f t="shared" si="45"/>
        <v>111Ramanzin Enrique1</v>
      </c>
      <c r="G363" s="47" t="s">
        <v>468</v>
      </c>
      <c r="H363" s="26" t="s">
        <v>440</v>
      </c>
      <c r="I363" s="31" t="str">
        <f t="shared" si="46"/>
        <v>Service completo. Cambio de aceite y filtros. Control general de mas de 50 puntos del vehiculo.</v>
      </c>
      <c r="K363" s="26" t="s">
        <v>469</v>
      </c>
      <c r="P363" s="27">
        <v>1</v>
      </c>
      <c r="Q363" s="34">
        <v>15500</v>
      </c>
      <c r="R363" s="36">
        <f t="shared" si="44"/>
        <v>15500</v>
      </c>
      <c r="S363" s="6">
        <v>1</v>
      </c>
      <c r="T363" s="7">
        <v>65000</v>
      </c>
      <c r="U363" s="39">
        <f t="shared" si="42"/>
        <v>65000</v>
      </c>
      <c r="V363" s="41">
        <f t="shared" si="47"/>
        <v>65000</v>
      </c>
    </row>
    <row r="364" spans="1:22" x14ac:dyDescent="0.25">
      <c r="A364" s="47">
        <v>111</v>
      </c>
      <c r="B364" s="31">
        <f t="shared" si="43"/>
        <v>2</v>
      </c>
      <c r="C364" s="48">
        <f>IF(A364=A363,C363,"")</f>
        <v>45341</v>
      </c>
      <c r="D364" s="47" t="str">
        <f>IF(A364=A363,D363,"")</f>
        <v>Ramanzin Enrique</v>
      </c>
      <c r="E364" s="31" t="str">
        <f t="shared" si="45"/>
        <v>111Ramanzin Enrique2</v>
      </c>
      <c r="I364" s="31" t="str">
        <f t="shared" si="46"/>
        <v xml:space="preserve">Service completo. Cambio de aceite y filtros. Control general de mas de 50 puntos del vehiculo. </v>
      </c>
      <c r="K364" s="26" t="s">
        <v>472</v>
      </c>
      <c r="P364" s="27">
        <v>1</v>
      </c>
      <c r="Q364" s="34">
        <v>23500</v>
      </c>
      <c r="R364" s="36">
        <f t="shared" si="44"/>
        <v>23500</v>
      </c>
      <c r="U364" s="39">
        <f t="shared" si="42"/>
        <v>0</v>
      </c>
      <c r="V364" s="41">
        <f t="shared" si="47"/>
        <v>65000</v>
      </c>
    </row>
    <row r="365" spans="1:22" x14ac:dyDescent="0.25">
      <c r="A365" s="47">
        <v>111</v>
      </c>
      <c r="B365" s="31">
        <f t="shared" si="43"/>
        <v>3</v>
      </c>
      <c r="C365" s="48">
        <f>IF(A365=A364,C364,"")</f>
        <v>45341</v>
      </c>
      <c r="D365" s="47" t="str">
        <f>IF(A365=A364,D364,"")</f>
        <v>Ramanzin Enrique</v>
      </c>
      <c r="E365" s="31" t="str">
        <f t="shared" si="45"/>
        <v>111Ramanzin Enrique3</v>
      </c>
      <c r="I365" s="31" t="str">
        <f t="shared" si="46"/>
        <v xml:space="preserve">Service completo. Cambio de aceite y filtros. Control general de mas de 50 puntos del vehiculo.  </v>
      </c>
      <c r="K365" s="26" t="s">
        <v>470</v>
      </c>
      <c r="P365" s="27">
        <v>1</v>
      </c>
      <c r="Q365" s="34">
        <v>11000</v>
      </c>
      <c r="R365" s="36">
        <f t="shared" si="44"/>
        <v>11000</v>
      </c>
      <c r="U365" s="39">
        <f t="shared" si="42"/>
        <v>0</v>
      </c>
      <c r="V365" s="41">
        <f t="shared" si="47"/>
        <v>65000</v>
      </c>
    </row>
    <row r="366" spans="1:22" x14ac:dyDescent="0.25">
      <c r="A366" s="47">
        <v>111</v>
      </c>
      <c r="B366" s="31">
        <f t="shared" si="43"/>
        <v>4</v>
      </c>
      <c r="C366" s="48">
        <f>IF(A366=A365,C365,"")</f>
        <v>45341</v>
      </c>
      <c r="D366" s="47" t="str">
        <f>IF(A366=A365,D365,"")</f>
        <v>Ramanzin Enrique</v>
      </c>
      <c r="E366" s="31" t="str">
        <f t="shared" si="45"/>
        <v>111Ramanzin Enrique4</v>
      </c>
      <c r="I366" s="31" t="str">
        <f t="shared" si="46"/>
        <v xml:space="preserve">Service completo. Cambio de aceite y filtros. Control general de mas de 50 puntos del vehiculo.   </v>
      </c>
      <c r="K366" s="26" t="s">
        <v>471</v>
      </c>
      <c r="P366" s="27">
        <v>1</v>
      </c>
      <c r="Q366" s="34">
        <v>19900</v>
      </c>
      <c r="R366" s="36">
        <f t="shared" si="44"/>
        <v>19900</v>
      </c>
      <c r="U366" s="39">
        <f t="shared" si="42"/>
        <v>0</v>
      </c>
      <c r="V366" s="41">
        <f t="shared" si="47"/>
        <v>65000</v>
      </c>
    </row>
    <row r="367" spans="1:22" x14ac:dyDescent="0.25">
      <c r="A367" s="47">
        <v>111</v>
      </c>
      <c r="B367" s="31">
        <f t="shared" si="43"/>
        <v>5</v>
      </c>
      <c r="C367" s="48">
        <f>IF(A367=A366,C366,"")</f>
        <v>45341</v>
      </c>
      <c r="D367" s="47" t="str">
        <f>IF(A367=A366,D366,"")</f>
        <v>Ramanzin Enrique</v>
      </c>
      <c r="E367" s="31" t="str">
        <f t="shared" si="45"/>
        <v>111Ramanzin Enrique5</v>
      </c>
      <c r="I367" s="31" t="str">
        <f t="shared" si="46"/>
        <v xml:space="preserve">Service completo. Cambio de aceite y filtros. Control general de mas de 50 puntos del vehiculo.    </v>
      </c>
      <c r="K367" s="26" t="s">
        <v>108</v>
      </c>
      <c r="P367" s="27">
        <v>7</v>
      </c>
      <c r="Q367" s="34">
        <v>10800</v>
      </c>
      <c r="R367" s="36">
        <f t="shared" si="44"/>
        <v>75600</v>
      </c>
      <c r="U367" s="39">
        <f t="shared" si="42"/>
        <v>0</v>
      </c>
      <c r="V367" s="41">
        <f t="shared" si="47"/>
        <v>65000</v>
      </c>
    </row>
    <row r="368" spans="1:22" x14ac:dyDescent="0.25">
      <c r="A368" s="47">
        <v>112</v>
      </c>
      <c r="B368" s="31">
        <f t="shared" si="43"/>
        <v>1</v>
      </c>
      <c r="C368" s="48">
        <v>45343</v>
      </c>
      <c r="D368" s="47" t="s">
        <v>474</v>
      </c>
      <c r="E368" s="31" t="str">
        <f t="shared" si="45"/>
        <v>112Palloni Sergio Gustavo1</v>
      </c>
      <c r="F368" s="47" t="s">
        <v>475</v>
      </c>
      <c r="G368" s="47" t="s">
        <v>477</v>
      </c>
      <c r="H368" s="26" t="s">
        <v>476</v>
      </c>
      <c r="I368" s="31" t="str">
        <f t="shared" si="46"/>
        <v>Desarmar frente del vehiculo. Sacar marco porta radiadores completo. Limpieza del mismo. Armar con radiador de agua, de aire acondicionado y electroventilador nuevos. Colocar liquido refrigerante. Purgar circuito de refrigeracion. Borrar fallo motor con escaner debido al mal funcionamiento de electroventilador y al desprendimiento de fichas electronicas correspondientes al frente del vehiculo. Armado total. Puesta en marcha.</v>
      </c>
      <c r="P368" s="27"/>
      <c r="Q368" s="34"/>
      <c r="R368" s="36">
        <f t="shared" si="44"/>
        <v>0</v>
      </c>
      <c r="S368" s="6">
        <v>1</v>
      </c>
      <c r="T368" s="7">
        <v>320000</v>
      </c>
      <c r="U368" s="39">
        <f t="shared" si="42"/>
        <v>320000</v>
      </c>
      <c r="V368" s="41">
        <f t="shared" si="47"/>
        <v>320000</v>
      </c>
    </row>
    <row r="369" spans="1:22" x14ac:dyDescent="0.25">
      <c r="A369" s="47">
        <v>112</v>
      </c>
      <c r="B369" s="31">
        <f t="shared" si="43"/>
        <v>2</v>
      </c>
      <c r="C369" s="48">
        <f>IF(A369=A368,C368,"")</f>
        <v>45343</v>
      </c>
      <c r="D369" s="47" t="str">
        <f>IF(A369=A368,D368,"")</f>
        <v>Palloni Sergio Gustavo</v>
      </c>
      <c r="E369" s="31" t="str">
        <f t="shared" si="45"/>
        <v>112Palloni Sergio Gustavo2</v>
      </c>
      <c r="I369" s="31" t="str">
        <f t="shared" si="46"/>
        <v xml:space="preserve">Desarmar frente del vehiculo. Sacar marco porta radiadores completo. Limpieza del mismo. Armar con radiador de agua, de aire acondicionado y electroventilador nuevos. Colocar liquido refrigerante. Purgar circuito de refrigeracion. Borrar fallo motor con escaner debido al mal funcionamiento de electroventilador y al desprendimiento de fichas electronicas correspondientes al frente del vehiculo. Armado total. Puesta en marcha. </v>
      </c>
      <c r="P369" s="27"/>
      <c r="Q369" s="34"/>
      <c r="R369" s="36">
        <f t="shared" si="44"/>
        <v>0</v>
      </c>
      <c r="U369" s="39">
        <f t="shared" si="42"/>
        <v>0</v>
      </c>
      <c r="V369" s="41">
        <f t="shared" si="47"/>
        <v>320000</v>
      </c>
    </row>
    <row r="370" spans="1:22" x14ac:dyDescent="0.25">
      <c r="A370" s="47">
        <v>113</v>
      </c>
      <c r="B370" s="31">
        <f t="shared" si="43"/>
        <v>1</v>
      </c>
      <c r="C370" s="48">
        <v>45343</v>
      </c>
      <c r="D370" s="47" t="s">
        <v>478</v>
      </c>
      <c r="E370" s="31" t="str">
        <f t="shared" si="45"/>
        <v>113Rodriguez Mauricio1</v>
      </c>
      <c r="F370" s="47" t="s">
        <v>479</v>
      </c>
      <c r="G370" s="47" t="s">
        <v>480</v>
      </c>
      <c r="H370" s="26" t="s">
        <v>481</v>
      </c>
      <c r="I370" s="31" t="str">
        <f t="shared" si="46"/>
        <v>Desarmar tapa tarsera de caja de velocidad. Reemplazar kit de quinta. Dar ajustes al mismo. Armado total. Trasbasado de aceite de caja de velocidad. (Posible suma de repuestos fuera del presupuesto a la hora de intervenir el vehiculo).</v>
      </c>
      <c r="K370" s="26" t="s">
        <v>482</v>
      </c>
      <c r="P370" s="27">
        <v>1</v>
      </c>
      <c r="Q370" s="34">
        <v>127800</v>
      </c>
      <c r="R370" s="36">
        <f t="shared" si="44"/>
        <v>127800</v>
      </c>
      <c r="S370" s="6">
        <v>1</v>
      </c>
      <c r="T370" s="7">
        <v>80000</v>
      </c>
      <c r="U370" s="39">
        <f t="shared" si="42"/>
        <v>80000</v>
      </c>
      <c r="V370" s="41">
        <f t="shared" si="47"/>
        <v>80000</v>
      </c>
    </row>
    <row r="371" spans="1:22" x14ac:dyDescent="0.25">
      <c r="A371" s="47">
        <v>113</v>
      </c>
      <c r="B371" s="31">
        <f t="shared" si="43"/>
        <v>2</v>
      </c>
      <c r="C371" s="48">
        <f>IF(A371=A370,C370,"")</f>
        <v>45343</v>
      </c>
      <c r="D371" s="47" t="str">
        <f>IF(A371=A370,D370,"")</f>
        <v>Rodriguez Mauricio</v>
      </c>
      <c r="E371" s="31" t="str">
        <f t="shared" si="45"/>
        <v>113Rodriguez Mauricio2</v>
      </c>
      <c r="I371" s="31" t="str">
        <f t="shared" si="46"/>
        <v xml:space="preserve">Desarmar tapa tarsera de caja de velocidad. Reemplazar kit de quinta. Dar ajustes al mismo. Armado total. Trasbasado de aceite de caja de velocidad. (Posible suma de repuestos fuera del presupuesto a la hora de intervenir el vehiculo). </v>
      </c>
      <c r="K371" s="26" t="s">
        <v>483</v>
      </c>
      <c r="P371" s="27">
        <v>1</v>
      </c>
      <c r="Q371" s="34">
        <v>144000</v>
      </c>
      <c r="R371" s="36">
        <f t="shared" si="44"/>
        <v>144000</v>
      </c>
      <c r="U371" s="39">
        <f t="shared" si="42"/>
        <v>0</v>
      </c>
      <c r="V371" s="41">
        <f t="shared" si="47"/>
        <v>80000</v>
      </c>
    </row>
    <row r="372" spans="1:22" x14ac:dyDescent="0.25">
      <c r="A372" s="47">
        <v>113</v>
      </c>
      <c r="B372" s="31">
        <f t="shared" si="43"/>
        <v>3</v>
      </c>
      <c r="C372" s="48">
        <f>IF(A372=A371,C371,"")</f>
        <v>45343</v>
      </c>
      <c r="D372" s="47" t="str">
        <f>IF(A372=A371,D371,"")</f>
        <v>Rodriguez Mauricio</v>
      </c>
      <c r="E372" s="31" t="str">
        <f t="shared" si="45"/>
        <v>113Rodriguez Mauricio3</v>
      </c>
      <c r="I372" s="31" t="str">
        <f t="shared" si="46"/>
        <v xml:space="preserve">Desarmar tapa tarsera de caja de velocidad. Reemplazar kit de quinta. Dar ajustes al mismo. Armado total. Trasbasado de aceite de caja de velocidad. (Posible suma de repuestos fuera del presupuesto a la hora de intervenir el vehiculo).  </v>
      </c>
      <c r="K372" s="26" t="s">
        <v>484</v>
      </c>
      <c r="P372" s="27">
        <v>1</v>
      </c>
      <c r="Q372" s="34">
        <v>16800</v>
      </c>
      <c r="R372" s="36">
        <f t="shared" si="44"/>
        <v>16800</v>
      </c>
      <c r="U372" s="39">
        <f t="shared" si="42"/>
        <v>0</v>
      </c>
      <c r="V372" s="41">
        <f t="shared" si="47"/>
        <v>80000</v>
      </c>
    </row>
    <row r="373" spans="1:22" x14ac:dyDescent="0.25">
      <c r="A373" s="47">
        <v>113</v>
      </c>
      <c r="B373" s="31">
        <f t="shared" si="43"/>
        <v>4</v>
      </c>
      <c r="C373" s="48">
        <f>IF(A373=A372,C372,"")</f>
        <v>45343</v>
      </c>
      <c r="D373" s="47" t="str">
        <f>IF(A373=A372,D372,"")</f>
        <v>Rodriguez Mauricio</v>
      </c>
      <c r="E373" s="31" t="str">
        <f t="shared" si="45"/>
        <v>113Rodriguez Mauricio4</v>
      </c>
      <c r="I373" s="31" t="str">
        <f t="shared" si="46"/>
        <v xml:space="preserve">Desarmar tapa tarsera de caja de velocidad. Reemplazar kit de quinta. Dar ajustes al mismo. Armado total. Trasbasado de aceite de caja de velocidad. (Posible suma de repuestos fuera del presupuesto a la hora de intervenir el vehiculo).   </v>
      </c>
      <c r="K373" s="26" t="s">
        <v>485</v>
      </c>
      <c r="P373" s="27">
        <v>1</v>
      </c>
      <c r="Q373" s="34">
        <v>37800</v>
      </c>
      <c r="R373" s="36">
        <f t="shared" si="44"/>
        <v>37800</v>
      </c>
      <c r="U373" s="39">
        <f t="shared" si="42"/>
        <v>0</v>
      </c>
      <c r="V373" s="41">
        <f t="shared" si="47"/>
        <v>80000</v>
      </c>
    </row>
    <row r="374" spans="1:22" x14ac:dyDescent="0.25">
      <c r="A374" s="47">
        <v>114</v>
      </c>
      <c r="B374" s="31">
        <f t="shared" si="43"/>
        <v>1</v>
      </c>
      <c r="C374" s="48">
        <v>45343</v>
      </c>
      <c r="D374" s="47" t="s">
        <v>486</v>
      </c>
      <c r="E374" s="31" t="str">
        <f t="shared" si="45"/>
        <v>114Rosende Gerardo1</v>
      </c>
      <c r="G374" s="47" t="s">
        <v>242</v>
      </c>
      <c r="H374" s="26" t="s">
        <v>440</v>
      </c>
      <c r="I374" s="31" t="str">
        <f t="shared" si="46"/>
        <v>Service completo. Cambio de aceite y filtros. Control general de mas de 50 puntos del vehiculo.</v>
      </c>
      <c r="K374" s="26" t="s">
        <v>487</v>
      </c>
      <c r="P374" s="27">
        <v>1</v>
      </c>
      <c r="Q374" s="34">
        <v>8900</v>
      </c>
      <c r="R374" s="36">
        <f t="shared" si="44"/>
        <v>8900</v>
      </c>
      <c r="S374" s="6">
        <v>1</v>
      </c>
      <c r="T374" s="7">
        <v>60000</v>
      </c>
      <c r="U374" s="39">
        <f t="shared" si="42"/>
        <v>60000</v>
      </c>
      <c r="V374" s="41">
        <f t="shared" si="47"/>
        <v>60000</v>
      </c>
    </row>
    <row r="375" spans="1:22" x14ac:dyDescent="0.25">
      <c r="A375" s="47">
        <v>114</v>
      </c>
      <c r="B375" s="31">
        <f t="shared" si="43"/>
        <v>2</v>
      </c>
      <c r="C375" s="48">
        <f>IF(A375=A374,C374,"")</f>
        <v>45343</v>
      </c>
      <c r="D375" s="47" t="str">
        <f>IF(A375=A374,D374,"")</f>
        <v>Rosende Gerardo</v>
      </c>
      <c r="E375" s="31" t="str">
        <f t="shared" si="45"/>
        <v>114Rosende Gerardo2</v>
      </c>
      <c r="I375" s="31" t="str">
        <f t="shared" si="46"/>
        <v xml:space="preserve">Service completo. Cambio de aceite y filtros. Control general de mas de 50 puntos del vehiculo. </v>
      </c>
      <c r="K375" s="26" t="s">
        <v>488</v>
      </c>
      <c r="P375" s="27">
        <v>1</v>
      </c>
      <c r="Q375" s="34">
        <v>9400</v>
      </c>
      <c r="R375" s="36">
        <f t="shared" si="44"/>
        <v>9400</v>
      </c>
      <c r="U375" s="39">
        <f t="shared" si="42"/>
        <v>0</v>
      </c>
      <c r="V375" s="41">
        <f t="shared" si="47"/>
        <v>60000</v>
      </c>
    </row>
    <row r="376" spans="1:22" x14ac:dyDescent="0.25">
      <c r="A376" s="47">
        <v>114</v>
      </c>
      <c r="B376" s="31">
        <f t="shared" si="43"/>
        <v>3</v>
      </c>
      <c r="C376" s="48">
        <f>IF(A376=A375,C375,"")</f>
        <v>45343</v>
      </c>
      <c r="D376" s="47" t="str">
        <f>IF(A376=A375,D375,"")</f>
        <v>Rosende Gerardo</v>
      </c>
      <c r="E376" s="31" t="str">
        <f t="shared" si="45"/>
        <v>114Rosende Gerardo3</v>
      </c>
      <c r="I376" s="31" t="str">
        <f t="shared" si="46"/>
        <v xml:space="preserve">Service completo. Cambio de aceite y filtros. Control general de mas de 50 puntos del vehiculo.  </v>
      </c>
      <c r="K376" s="26" t="s">
        <v>489</v>
      </c>
      <c r="P376" s="27">
        <v>1</v>
      </c>
      <c r="Q376" s="34">
        <v>13600</v>
      </c>
      <c r="R376" s="36">
        <f t="shared" si="44"/>
        <v>13600</v>
      </c>
      <c r="U376" s="39">
        <f t="shared" si="42"/>
        <v>0</v>
      </c>
      <c r="V376" s="41">
        <f t="shared" si="47"/>
        <v>60000</v>
      </c>
    </row>
    <row r="377" spans="1:22" x14ac:dyDescent="0.25">
      <c r="A377" s="47">
        <v>114</v>
      </c>
      <c r="B377" s="31">
        <f t="shared" si="43"/>
        <v>4</v>
      </c>
      <c r="C377" s="48">
        <f>IF(A377=A376,C376,"")</f>
        <v>45343</v>
      </c>
      <c r="D377" s="47" t="str">
        <f>IF(A377=A376,D376,"")</f>
        <v>Rosende Gerardo</v>
      </c>
      <c r="E377" s="31" t="str">
        <f t="shared" si="45"/>
        <v>114Rosende Gerardo4</v>
      </c>
      <c r="I377" s="31" t="str">
        <f t="shared" si="46"/>
        <v xml:space="preserve">Service completo. Cambio de aceite y filtros. Control general de mas de 50 puntos del vehiculo.   </v>
      </c>
      <c r="K377" s="26" t="s">
        <v>490</v>
      </c>
      <c r="P377" s="27">
        <v>1</v>
      </c>
      <c r="Q377" s="34">
        <v>18800</v>
      </c>
      <c r="R377" s="36">
        <f t="shared" si="44"/>
        <v>18800</v>
      </c>
      <c r="U377" s="39">
        <f t="shared" si="42"/>
        <v>0</v>
      </c>
      <c r="V377" s="41">
        <f t="shared" si="47"/>
        <v>60000</v>
      </c>
    </row>
    <row r="378" spans="1:22" x14ac:dyDescent="0.25">
      <c r="A378" s="47">
        <v>114</v>
      </c>
      <c r="B378" s="31">
        <f t="shared" si="43"/>
        <v>5</v>
      </c>
      <c r="C378" s="48">
        <f>IF(A378=A377,C377,"")</f>
        <v>45343</v>
      </c>
      <c r="D378" s="47" t="str">
        <f>IF(A378=A377,D377,"")</f>
        <v>Rosende Gerardo</v>
      </c>
      <c r="E378" s="31" t="str">
        <f t="shared" si="45"/>
        <v>114Rosende Gerardo5</v>
      </c>
      <c r="I378" s="31" t="str">
        <f t="shared" si="46"/>
        <v xml:space="preserve">Service completo. Cambio de aceite y filtros. Control general de mas de 50 puntos del vehiculo.    </v>
      </c>
      <c r="K378" s="26" t="s">
        <v>108</v>
      </c>
      <c r="P378" s="27">
        <v>4</v>
      </c>
      <c r="Q378" s="34">
        <v>10800</v>
      </c>
      <c r="R378" s="36">
        <f t="shared" si="44"/>
        <v>43200</v>
      </c>
      <c r="U378" s="39">
        <f t="shared" si="42"/>
        <v>0</v>
      </c>
      <c r="V378" s="41">
        <f t="shared" si="47"/>
        <v>60000</v>
      </c>
    </row>
    <row r="379" spans="1:22" x14ac:dyDescent="0.25">
      <c r="A379" s="47">
        <v>115</v>
      </c>
      <c r="B379" s="31">
        <f t="shared" si="43"/>
        <v>1</v>
      </c>
      <c r="C379" s="48">
        <v>45345</v>
      </c>
      <c r="D379" s="47" t="s">
        <v>491</v>
      </c>
      <c r="E379" s="31" t="str">
        <f t="shared" si="45"/>
        <v>115Avila Edgardo1</v>
      </c>
      <c r="G379" s="47" t="s">
        <v>285</v>
      </c>
      <c r="H379" s="26" t="s">
        <v>440</v>
      </c>
      <c r="I379" s="31" t="str">
        <f t="shared" si="46"/>
        <v>Service completo. Cambio de aceite y filtros. Control general de mas de 50 puntos del vehiculo.</v>
      </c>
      <c r="K379" s="26" t="s">
        <v>91</v>
      </c>
      <c r="P379" s="27">
        <v>1</v>
      </c>
      <c r="Q379" s="34">
        <v>67800</v>
      </c>
      <c r="R379" s="36">
        <f t="shared" si="44"/>
        <v>67800</v>
      </c>
      <c r="S379" s="6">
        <v>1</v>
      </c>
      <c r="T379" s="7">
        <v>50000</v>
      </c>
      <c r="U379" s="39">
        <f t="shared" si="42"/>
        <v>50000</v>
      </c>
      <c r="V379" s="41">
        <f t="shared" si="47"/>
        <v>50000</v>
      </c>
    </row>
    <row r="380" spans="1:22" x14ac:dyDescent="0.25">
      <c r="A380" s="47">
        <v>115</v>
      </c>
      <c r="B380" s="31">
        <f t="shared" si="43"/>
        <v>2</v>
      </c>
      <c r="C380" s="48">
        <f>IF(A380=A379,C379,"")</f>
        <v>45345</v>
      </c>
      <c r="D380" s="47" t="str">
        <f>IF(A380=A379,D379,"")</f>
        <v>Avila Edgardo</v>
      </c>
      <c r="E380" s="31" t="str">
        <f t="shared" si="45"/>
        <v>115Avila Edgardo2</v>
      </c>
      <c r="I380" s="31" t="str">
        <f t="shared" si="46"/>
        <v xml:space="preserve">Service completo. Cambio de aceite y filtros. Control general de mas de 50 puntos del vehiculo. </v>
      </c>
      <c r="K380" s="26" t="s">
        <v>108</v>
      </c>
      <c r="P380" s="27">
        <v>4.5</v>
      </c>
      <c r="Q380" s="34">
        <v>10800</v>
      </c>
      <c r="R380" s="36">
        <f t="shared" si="44"/>
        <v>48600</v>
      </c>
      <c r="U380" s="39">
        <f t="shared" si="42"/>
        <v>0</v>
      </c>
      <c r="V380" s="41">
        <f t="shared" si="47"/>
        <v>50000</v>
      </c>
    </row>
    <row r="381" spans="1:22" x14ac:dyDescent="0.25">
      <c r="A381" s="47">
        <v>116</v>
      </c>
      <c r="B381" s="31">
        <f t="shared" si="43"/>
        <v>1</v>
      </c>
      <c r="C381" s="48">
        <v>45348</v>
      </c>
      <c r="D381" s="47" t="s">
        <v>492</v>
      </c>
      <c r="E381" s="31" t="str">
        <f t="shared" si="45"/>
        <v>116Fernandez Martin1</v>
      </c>
      <c r="F381" s="47" t="s">
        <v>493</v>
      </c>
      <c r="G381" s="47" t="s">
        <v>494</v>
      </c>
      <c r="H381" s="26" t="s">
        <v>440</v>
      </c>
      <c r="I381" s="31" t="str">
        <f t="shared" si="46"/>
        <v>Service completo. Cambio de aceite y filtros. Control general de mas de 50 puntos del vehiculo.</v>
      </c>
      <c r="K381" s="26" t="s">
        <v>91</v>
      </c>
      <c r="P381" s="27">
        <v>1</v>
      </c>
      <c r="Q381" s="34">
        <v>66000</v>
      </c>
      <c r="R381" s="36">
        <f t="shared" si="44"/>
        <v>66000</v>
      </c>
      <c r="S381" s="6">
        <v>1</v>
      </c>
      <c r="T381" s="7">
        <v>70000</v>
      </c>
      <c r="U381" s="39">
        <f t="shared" si="42"/>
        <v>70000</v>
      </c>
      <c r="V381" s="41">
        <f t="shared" si="47"/>
        <v>70000</v>
      </c>
    </row>
    <row r="382" spans="1:22" x14ac:dyDescent="0.25">
      <c r="A382" s="47">
        <v>116</v>
      </c>
      <c r="B382" s="31">
        <f t="shared" si="43"/>
        <v>2</v>
      </c>
      <c r="C382" s="48">
        <f>IF(A382=A381,C381,"")</f>
        <v>45348</v>
      </c>
      <c r="D382" s="47" t="str">
        <f>IF(A382=A381,D381,"")</f>
        <v>Fernandez Martin</v>
      </c>
      <c r="E382" s="31" t="str">
        <f t="shared" si="45"/>
        <v>116Fernandez Martin2</v>
      </c>
      <c r="I382" s="31" t="str">
        <f t="shared" si="46"/>
        <v xml:space="preserve">Service completo. Cambio de aceite y filtros. Control general de mas de 50 puntos del vehiculo. </v>
      </c>
      <c r="K382" s="26" t="s">
        <v>495</v>
      </c>
      <c r="P382" s="27">
        <v>7.5</v>
      </c>
      <c r="Q382" s="34">
        <v>21200</v>
      </c>
      <c r="R382" s="36">
        <f t="shared" si="44"/>
        <v>159000</v>
      </c>
      <c r="U382" s="39">
        <f t="shared" si="42"/>
        <v>0</v>
      </c>
      <c r="V382" s="41">
        <f t="shared" si="47"/>
        <v>70000</v>
      </c>
    </row>
    <row r="383" spans="1:22" x14ac:dyDescent="0.25">
      <c r="A383" s="47">
        <v>117</v>
      </c>
      <c r="B383" s="31">
        <f t="shared" si="43"/>
        <v>1</v>
      </c>
      <c r="C383" s="48">
        <v>45348</v>
      </c>
      <c r="D383" s="47" t="s">
        <v>492</v>
      </c>
      <c r="E383" s="31" t="str">
        <f t="shared" si="45"/>
        <v>117Fernandez Martin1</v>
      </c>
      <c r="F383" s="47" t="s">
        <v>496</v>
      </c>
      <c r="G383" s="47" t="s">
        <v>497</v>
      </c>
      <c r="H383" s="26" t="s">
        <v>440</v>
      </c>
      <c r="I383" s="31" t="str">
        <f t="shared" si="46"/>
        <v>Service completo. Cambio de aceite y filtros. Control general de mas de 50 puntos del vehiculo.</v>
      </c>
      <c r="K383" s="26" t="s">
        <v>91</v>
      </c>
      <c r="P383" s="27">
        <v>1</v>
      </c>
      <c r="Q383" s="34">
        <v>44000</v>
      </c>
      <c r="R383" s="36">
        <f t="shared" si="44"/>
        <v>44000</v>
      </c>
      <c r="S383" s="6">
        <v>1</v>
      </c>
      <c r="T383" s="7">
        <v>60000</v>
      </c>
      <c r="U383" s="39">
        <f t="shared" si="42"/>
        <v>60000</v>
      </c>
      <c r="V383" s="41">
        <f t="shared" si="47"/>
        <v>60000</v>
      </c>
    </row>
    <row r="384" spans="1:22" x14ac:dyDescent="0.25">
      <c r="A384" s="47">
        <v>117</v>
      </c>
      <c r="B384" s="31">
        <f t="shared" si="43"/>
        <v>2</v>
      </c>
      <c r="C384" s="48">
        <f>IF(A384=A383,C383,"")</f>
        <v>45348</v>
      </c>
      <c r="D384" s="47" t="str">
        <f>IF(A384=A383,D383,"")</f>
        <v>Fernandez Martin</v>
      </c>
      <c r="E384" s="31" t="str">
        <f t="shared" si="45"/>
        <v>117Fernandez Martin2</v>
      </c>
      <c r="I384" s="31" t="str">
        <f t="shared" si="46"/>
        <v xml:space="preserve">Service completo. Cambio de aceite y filtros. Control general de mas de 50 puntos del vehiculo. </v>
      </c>
      <c r="K384" s="26" t="s">
        <v>108</v>
      </c>
      <c r="P384" s="27">
        <v>4</v>
      </c>
      <c r="Q384" s="34">
        <v>10850</v>
      </c>
      <c r="R384" s="36">
        <f t="shared" si="44"/>
        <v>43400</v>
      </c>
      <c r="U384" s="39">
        <f t="shared" si="42"/>
        <v>0</v>
      </c>
      <c r="V384" s="41">
        <f t="shared" si="47"/>
        <v>60000</v>
      </c>
    </row>
    <row r="385" spans="1:22" x14ac:dyDescent="0.25">
      <c r="A385" s="47">
        <v>118</v>
      </c>
      <c r="B385" s="31">
        <f t="shared" si="43"/>
        <v>1</v>
      </c>
      <c r="C385" s="48">
        <v>45351</v>
      </c>
      <c r="D385" s="47" t="s">
        <v>498</v>
      </c>
      <c r="E385" s="31" t="str">
        <f t="shared" si="45"/>
        <v>118Sabaini Ignacio1</v>
      </c>
      <c r="F385" s="47" t="s">
        <v>500</v>
      </c>
      <c r="G385" s="47" t="s">
        <v>499</v>
      </c>
      <c r="H385" s="26" t="s">
        <v>511</v>
      </c>
      <c r="I385" s="31" t="str">
        <f t="shared" si="46"/>
        <v xml:space="preserve">Desarme íntegro de motor. Sacar tapa de cilindros. Dejar en remojo con descarbonizante. Lavar al brillo. Controlar valvulas. Realizar asientos. Cambiar retenes. Sacar pistones. Controlar bielas y cojinetes. Cambiar aros y rearmar. Desarmar distribucion completa. Cambiar kit, bomba de agua, correa poly-v, polea fija poly-v y liquido refrigerante. Purgado del circuito de refrigeracion. Puesta a punto. Armado total. Cambio de filtros de aceite y aire. Agregar aceite motor. Cambiar taco motor. Lavado motor. Reparacion de turbo. </v>
      </c>
      <c r="K385" s="26" t="s">
        <v>501</v>
      </c>
      <c r="P385" s="27">
        <v>1</v>
      </c>
      <c r="Q385" s="34">
        <v>33000</v>
      </c>
      <c r="R385" s="36">
        <f t="shared" si="44"/>
        <v>33000</v>
      </c>
      <c r="S385" s="6">
        <v>1</v>
      </c>
      <c r="T385" s="7">
        <v>1000000</v>
      </c>
      <c r="U385" s="39">
        <f t="shared" si="42"/>
        <v>1000000</v>
      </c>
      <c r="V385" s="41">
        <f t="shared" si="47"/>
        <v>1000000</v>
      </c>
    </row>
    <row r="386" spans="1:22" x14ac:dyDescent="0.25">
      <c r="A386" s="47">
        <v>118</v>
      </c>
      <c r="B386" s="31">
        <f t="shared" si="43"/>
        <v>2</v>
      </c>
      <c r="C386" s="48">
        <f t="shared" ref="C386:C397" si="50">IF(A386=A385,C385,"")</f>
        <v>45351</v>
      </c>
      <c r="D386" s="47" t="str">
        <f t="shared" ref="D386:D397" si="51">IF(A386=A385,D385,"")</f>
        <v>Sabaini Ignacio</v>
      </c>
      <c r="E386" s="31" t="str">
        <f t="shared" si="45"/>
        <v>118Sabaini Ignacio2</v>
      </c>
      <c r="I386" s="31" t="str">
        <f t="shared" si="46"/>
        <v xml:space="preserve">Desarme íntegro de motor. Sacar tapa de cilindros. Dejar en remojo con descarbonizante. Lavar al brillo. Controlar valvulas. Realizar asientos. Cambiar retenes. Sacar pistones. Controlar bielas y cojinetes. Cambiar aros y rearmar. Desarmar distribucion completa. Cambiar kit, bomba de agua, correa poly-v, polea fija poly-v y liquido refrigerante. Purgado del circuito de refrigeracion. Puesta a punto. Armado total. Cambio de filtros de aceite y aire. Agregar aceite motor. Cambiar taco motor. Lavado motor. Reparacion de turbo.  </v>
      </c>
      <c r="K386" s="26" t="s">
        <v>502</v>
      </c>
      <c r="P386" s="27">
        <v>1</v>
      </c>
      <c r="Q386" s="34">
        <v>12800</v>
      </c>
      <c r="R386" s="36">
        <f t="shared" si="44"/>
        <v>12800</v>
      </c>
      <c r="U386" s="39">
        <f t="shared" si="42"/>
        <v>0</v>
      </c>
      <c r="V386" s="41">
        <f t="shared" si="47"/>
        <v>1000000</v>
      </c>
    </row>
    <row r="387" spans="1:22" x14ac:dyDescent="0.25">
      <c r="A387" s="47">
        <v>118</v>
      </c>
      <c r="B387" s="31">
        <f t="shared" si="43"/>
        <v>3</v>
      </c>
      <c r="C387" s="48">
        <f t="shared" si="50"/>
        <v>45351</v>
      </c>
      <c r="D387" s="47" t="str">
        <f t="shared" si="51"/>
        <v>Sabaini Ignacio</v>
      </c>
      <c r="E387" s="31" t="str">
        <f t="shared" si="45"/>
        <v>118Sabaini Ignacio3</v>
      </c>
      <c r="I387" s="31" t="str">
        <f t="shared" si="46"/>
        <v xml:space="preserve">Desarme íntegro de motor. Sacar tapa de cilindros. Dejar en remojo con descarbonizante. Lavar al brillo. Controlar valvulas. Realizar asientos. Cambiar retenes. Sacar pistones. Controlar bielas y cojinetes. Cambiar aros y rearmar. Desarmar distribucion completa. Cambiar kit, bomba de agua, correa poly-v, polea fija poly-v y liquido refrigerante. Purgado del circuito de refrigeracion. Puesta a punto. Armado total. Cambio de filtros de aceite y aire. Agregar aceite motor. Cambiar taco motor. Lavado motor. Reparacion de turbo.   </v>
      </c>
      <c r="K387" s="26" t="s">
        <v>289</v>
      </c>
      <c r="P387" s="27">
        <v>4</v>
      </c>
      <c r="Q387" s="34">
        <v>15800</v>
      </c>
      <c r="R387" s="36">
        <f t="shared" si="44"/>
        <v>63200</v>
      </c>
      <c r="U387" s="39">
        <f t="shared" si="42"/>
        <v>0</v>
      </c>
      <c r="V387" s="41">
        <f t="shared" si="47"/>
        <v>1000000</v>
      </c>
    </row>
    <row r="388" spans="1:22" x14ac:dyDescent="0.25">
      <c r="A388" s="47">
        <v>118</v>
      </c>
      <c r="B388" s="31">
        <f t="shared" si="43"/>
        <v>4</v>
      </c>
      <c r="C388" s="48">
        <f t="shared" si="50"/>
        <v>45351</v>
      </c>
      <c r="D388" s="47" t="str">
        <f t="shared" si="51"/>
        <v>Sabaini Ignacio</v>
      </c>
      <c r="E388" s="31" t="str">
        <f t="shared" si="45"/>
        <v>118Sabaini Ignacio4</v>
      </c>
      <c r="I388" s="31" t="str">
        <f t="shared" si="46"/>
        <v xml:space="preserve">Desarme íntegro de motor. Sacar tapa de cilindros. Dejar en remojo con descarbonizante. Lavar al brillo. Controlar valvulas. Realizar asientos. Cambiar retenes. Sacar pistones. Controlar bielas y cojinetes. Cambiar aros y rearmar. Desarmar distribucion completa. Cambiar kit, bomba de agua, correa poly-v, polea fija poly-v y liquido refrigerante. Purgado del circuito de refrigeracion. Puesta a punto. Armado total. Cambio de filtros de aceite y aire. Agregar aceite motor. Cambiar taco motor. Lavado motor. Reparacion de turbo.    </v>
      </c>
      <c r="K388" s="26" t="s">
        <v>503</v>
      </c>
      <c r="P388" s="27">
        <v>1</v>
      </c>
      <c r="Q388" s="34">
        <v>309500</v>
      </c>
      <c r="R388" s="36">
        <f t="shared" si="44"/>
        <v>309500</v>
      </c>
      <c r="U388" s="39">
        <f t="shared" ref="U388:U451" si="52">+T388*S388</f>
        <v>0</v>
      </c>
      <c r="V388" s="41">
        <f t="shared" si="47"/>
        <v>1000000</v>
      </c>
    </row>
    <row r="389" spans="1:22" x14ac:dyDescent="0.25">
      <c r="A389" s="47">
        <v>118</v>
      </c>
      <c r="B389" s="31">
        <f t="shared" ref="B389:B413" si="53">IF(A389=A388,B388+1,1)</f>
        <v>5</v>
      </c>
      <c r="C389" s="48">
        <f t="shared" si="50"/>
        <v>45351</v>
      </c>
      <c r="D389" s="47" t="str">
        <f t="shared" si="51"/>
        <v>Sabaini Ignacio</v>
      </c>
      <c r="E389" s="31" t="str">
        <f t="shared" si="45"/>
        <v>118Sabaini Ignacio5</v>
      </c>
      <c r="I389" s="31" t="str">
        <f t="shared" si="46"/>
        <v xml:space="preserve">Desarme íntegro de motor. Sacar tapa de cilindros. Dejar en remojo con descarbonizante. Lavar al brillo. Controlar valvulas. Realizar asientos. Cambiar retenes. Sacar pistones. Controlar bielas y cojinetes. Cambiar aros y rearmar. Desarmar distribucion completa. Cambiar kit, bomba de agua, correa poly-v, polea fija poly-v y liquido refrigerante. Purgado del circuito de refrigeracion. Puesta a punto. Armado total. Cambio de filtros de aceite y aire. Agregar aceite motor. Cambiar taco motor. Lavado motor. Reparacion de turbo.     </v>
      </c>
      <c r="K389" s="26" t="s">
        <v>504</v>
      </c>
      <c r="P389" s="27">
        <v>1</v>
      </c>
      <c r="Q389" s="34">
        <v>28800</v>
      </c>
      <c r="R389" s="36">
        <f t="shared" si="44"/>
        <v>28800</v>
      </c>
      <c r="U389" s="39">
        <f t="shared" si="52"/>
        <v>0</v>
      </c>
      <c r="V389" s="41">
        <f t="shared" si="47"/>
        <v>1000000</v>
      </c>
    </row>
    <row r="390" spans="1:22" x14ac:dyDescent="0.25">
      <c r="A390" s="47">
        <v>118</v>
      </c>
      <c r="B390" s="31">
        <f t="shared" si="53"/>
        <v>6</v>
      </c>
      <c r="C390" s="48">
        <f t="shared" si="50"/>
        <v>45351</v>
      </c>
      <c r="D390" s="47" t="str">
        <f t="shared" si="51"/>
        <v>Sabaini Ignacio</v>
      </c>
      <c r="E390" s="31" t="str">
        <f t="shared" si="45"/>
        <v>118Sabaini Ignacio6</v>
      </c>
      <c r="I390" s="31" t="str">
        <f t="shared" si="46"/>
        <v xml:space="preserve">Desarme íntegro de motor. Sacar tapa de cilindros. Dejar en remojo con descarbonizante. Lavar al brillo. Controlar valvulas. Realizar asientos. Cambiar retenes. Sacar pistones. Controlar bielas y cojinetes. Cambiar aros y rearmar. Desarmar distribucion completa. Cambiar kit, bomba de agua, correa poly-v, polea fija poly-v y liquido refrigerante. Purgado del circuito de refrigeracion. Puesta a punto. Armado total. Cambio de filtros de aceite y aire. Agregar aceite motor. Cambiar taco motor. Lavado motor. Reparacion de turbo.      </v>
      </c>
      <c r="K390" s="26" t="s">
        <v>505</v>
      </c>
      <c r="P390" s="27">
        <v>1</v>
      </c>
      <c r="Q390" s="34">
        <v>19800</v>
      </c>
      <c r="R390" s="36">
        <f t="shared" si="44"/>
        <v>19800</v>
      </c>
      <c r="U390" s="39">
        <f t="shared" si="52"/>
        <v>0</v>
      </c>
      <c r="V390" s="41">
        <f t="shared" si="47"/>
        <v>1000000</v>
      </c>
    </row>
    <row r="391" spans="1:22" x14ac:dyDescent="0.25">
      <c r="A391" s="47">
        <v>118</v>
      </c>
      <c r="B391" s="31">
        <f t="shared" si="53"/>
        <v>7</v>
      </c>
      <c r="C391" s="48">
        <f t="shared" si="50"/>
        <v>45351</v>
      </c>
      <c r="D391" s="47" t="str">
        <f t="shared" si="51"/>
        <v>Sabaini Ignacio</v>
      </c>
      <c r="E391" s="31" t="str">
        <f t="shared" si="45"/>
        <v>118Sabaini Ignacio7</v>
      </c>
      <c r="I391" s="31" t="str">
        <f t="shared" si="46"/>
        <v xml:space="preserve">Desarme íntegro de motor. Sacar tapa de cilindros. Dejar en remojo con descarbonizante. Lavar al brillo. Controlar valvulas. Realizar asientos. Cambiar retenes. Sacar pistones. Controlar bielas y cojinetes. Cambiar aros y rearmar. Desarmar distribucion completa. Cambiar kit, bomba de agua, correa poly-v, polea fija poly-v y liquido refrigerante. Purgado del circuito de refrigeracion. Puesta a punto. Armado total. Cambio de filtros de aceite y aire. Agregar aceite motor. Cambiar taco motor. Lavado motor. Reparacion de turbo.       </v>
      </c>
      <c r="K391" s="26" t="s">
        <v>506</v>
      </c>
      <c r="P391" s="27">
        <v>1</v>
      </c>
      <c r="Q391" s="34">
        <v>34800</v>
      </c>
      <c r="R391" s="36">
        <f t="shared" si="44"/>
        <v>34800</v>
      </c>
      <c r="U391" s="39">
        <f t="shared" si="52"/>
        <v>0</v>
      </c>
      <c r="V391" s="41">
        <f t="shared" si="47"/>
        <v>1000000</v>
      </c>
    </row>
    <row r="392" spans="1:22" x14ac:dyDescent="0.25">
      <c r="A392" s="47">
        <v>118</v>
      </c>
      <c r="B392" s="31">
        <f t="shared" si="53"/>
        <v>8</v>
      </c>
      <c r="C392" s="48">
        <f t="shared" si="50"/>
        <v>45351</v>
      </c>
      <c r="D392" s="47" t="str">
        <f t="shared" si="51"/>
        <v>Sabaini Ignacio</v>
      </c>
      <c r="E392" s="31" t="str">
        <f t="shared" si="45"/>
        <v>118Sabaini Ignacio8</v>
      </c>
      <c r="I392" s="31" t="str">
        <f t="shared" si="46"/>
        <v xml:space="preserve">Desarme íntegro de motor. Sacar tapa de cilindros. Dejar en remojo con descarbonizante. Lavar al brillo. Controlar valvulas. Realizar asientos. Cambiar retenes. Sacar pistones. Controlar bielas y cojinetes. Cambiar aros y rearmar. Desarmar distribucion completa. Cambiar kit, bomba de agua, correa poly-v, polea fija poly-v y liquido refrigerante. Purgado del circuito de refrigeracion. Puesta a punto. Armado total. Cambio de filtros de aceite y aire. Agregar aceite motor. Cambiar taco motor. Lavado motor. Reparacion de turbo.        </v>
      </c>
      <c r="K392" s="26" t="s">
        <v>507</v>
      </c>
      <c r="P392" s="27">
        <v>1</v>
      </c>
      <c r="Q392" s="34">
        <v>300000</v>
      </c>
      <c r="R392" s="36">
        <f t="shared" si="44"/>
        <v>300000</v>
      </c>
      <c r="U392" s="39">
        <f t="shared" si="52"/>
        <v>0</v>
      </c>
      <c r="V392" s="41">
        <f t="shared" si="47"/>
        <v>1000000</v>
      </c>
    </row>
    <row r="393" spans="1:22" x14ac:dyDescent="0.25">
      <c r="A393" s="47">
        <v>118</v>
      </c>
      <c r="B393" s="31">
        <f t="shared" si="53"/>
        <v>9</v>
      </c>
      <c r="C393" s="48">
        <f t="shared" si="50"/>
        <v>45351</v>
      </c>
      <c r="D393" s="47" t="str">
        <f t="shared" si="51"/>
        <v>Sabaini Ignacio</v>
      </c>
      <c r="E393" s="31" t="str">
        <f t="shared" si="45"/>
        <v>118Sabaini Ignacio9</v>
      </c>
      <c r="I393" s="31" t="str">
        <f t="shared" si="46"/>
        <v xml:space="preserve">Desarme íntegro de motor. Sacar tapa de cilindros. Dejar en remojo con descarbonizante. Lavar al brillo. Controlar valvulas. Realizar asientos. Cambiar retenes. Sacar pistones. Controlar bielas y cojinetes. Cambiar aros y rearmar. Desarmar distribucion completa. Cambiar kit, bomba de agua, correa poly-v, polea fija poly-v y liquido refrigerante. Purgado del circuito de refrigeracion. Puesta a punto. Armado total. Cambio de filtros de aceite y aire. Agregar aceite motor. Cambiar taco motor. Lavado motor. Reparacion de turbo.         </v>
      </c>
      <c r="K393" s="26" t="s">
        <v>508</v>
      </c>
      <c r="P393" s="27">
        <v>1</v>
      </c>
      <c r="Q393" s="34">
        <v>46000</v>
      </c>
      <c r="R393" s="36">
        <f t="shared" si="44"/>
        <v>46000</v>
      </c>
      <c r="U393" s="39">
        <f t="shared" si="52"/>
        <v>0</v>
      </c>
      <c r="V393" s="41">
        <f t="shared" si="47"/>
        <v>1000000</v>
      </c>
    </row>
    <row r="394" spans="1:22" x14ac:dyDescent="0.25">
      <c r="A394" s="47">
        <v>118</v>
      </c>
      <c r="B394" s="31">
        <f t="shared" si="53"/>
        <v>10</v>
      </c>
      <c r="C394" s="48">
        <f t="shared" si="50"/>
        <v>45351</v>
      </c>
      <c r="D394" s="47" t="str">
        <f t="shared" si="51"/>
        <v>Sabaini Ignacio</v>
      </c>
      <c r="E394" s="31" t="str">
        <f t="shared" si="45"/>
        <v>118Sabaini Ignacio10</v>
      </c>
      <c r="I394" s="31" t="str">
        <f t="shared" si="46"/>
        <v xml:space="preserve">Desarme íntegro de motor. Sacar tapa de cilindros. Dejar en remojo con descarbonizante. Lavar al brillo. Controlar valvulas. Realizar asientos. Cambiar retenes. Sacar pistones. Controlar bielas y cojinetes. Cambiar aros y rearmar. Desarmar distribucion completa. Cambiar kit, bomba de agua, correa poly-v, polea fija poly-v y liquido refrigerante. Purgado del circuito de refrigeracion. Puesta a punto. Armado total. Cambio de filtros de aceite y aire. Agregar aceite motor. Cambiar taco motor. Lavado motor. Reparacion de turbo.          </v>
      </c>
      <c r="K394" s="26" t="s">
        <v>509</v>
      </c>
      <c r="P394" s="27">
        <v>1</v>
      </c>
      <c r="Q394" s="34">
        <v>114000</v>
      </c>
      <c r="R394" s="36">
        <f t="shared" si="44"/>
        <v>114000</v>
      </c>
      <c r="U394" s="39">
        <f t="shared" si="52"/>
        <v>0</v>
      </c>
      <c r="V394" s="41">
        <f t="shared" si="47"/>
        <v>1000000</v>
      </c>
    </row>
    <row r="395" spans="1:22" x14ac:dyDescent="0.25">
      <c r="A395" s="47">
        <v>118</v>
      </c>
      <c r="B395" s="31">
        <f t="shared" si="53"/>
        <v>11</v>
      </c>
      <c r="C395" s="48">
        <f t="shared" si="50"/>
        <v>45351</v>
      </c>
      <c r="D395" s="47" t="str">
        <f t="shared" si="51"/>
        <v>Sabaini Ignacio</v>
      </c>
      <c r="E395" s="31" t="str">
        <f t="shared" si="45"/>
        <v>118Sabaini Ignacio11</v>
      </c>
      <c r="I395" s="31" t="str">
        <f t="shared" si="46"/>
        <v xml:space="preserve">Desarme íntegro de motor. Sacar tapa de cilindros. Dejar en remojo con descarbonizante. Lavar al brillo. Controlar valvulas. Realizar asientos. Cambiar retenes. Sacar pistones. Controlar bielas y cojinetes. Cambiar aros y rearmar. Desarmar distribucion completa. Cambiar kit, bomba de agua, correa poly-v, polea fija poly-v y liquido refrigerante. Purgado del circuito de refrigeracion. Puesta a punto. Armado total. Cambio de filtros de aceite y aire. Agregar aceite motor. Cambiar taco motor. Lavado motor. Reparacion de turbo.           </v>
      </c>
      <c r="K395" s="26" t="s">
        <v>409</v>
      </c>
      <c r="P395" s="27">
        <v>2</v>
      </c>
      <c r="Q395" s="34">
        <v>8700</v>
      </c>
      <c r="R395" s="36">
        <f t="shared" si="44"/>
        <v>17400</v>
      </c>
      <c r="U395" s="39">
        <f t="shared" si="52"/>
        <v>0</v>
      </c>
      <c r="V395" s="41">
        <f t="shared" si="47"/>
        <v>1000000</v>
      </c>
    </row>
    <row r="396" spans="1:22" x14ac:dyDescent="0.25">
      <c r="A396" s="47">
        <v>118</v>
      </c>
      <c r="B396" s="31">
        <f t="shared" si="53"/>
        <v>12</v>
      </c>
      <c r="C396" s="48">
        <f t="shared" si="50"/>
        <v>45351</v>
      </c>
      <c r="D396" s="47" t="str">
        <f t="shared" si="51"/>
        <v>Sabaini Ignacio</v>
      </c>
      <c r="E396" s="31" t="str">
        <f t="shared" si="45"/>
        <v>118Sabaini Ignacio12</v>
      </c>
      <c r="I396" s="31" t="str">
        <f t="shared" si="46"/>
        <v xml:space="preserve">Desarme íntegro de motor. Sacar tapa de cilindros. Dejar en remojo con descarbonizante. Lavar al brillo. Controlar valvulas. Realizar asientos. Cambiar retenes. Sacar pistones. Controlar bielas y cojinetes. Cambiar aros y rearmar. Desarmar distribucion completa. Cambiar kit, bomba de agua, correa poly-v, polea fija poly-v y liquido refrigerante. Purgado del circuito de refrigeracion. Puesta a punto. Armado total. Cambio de filtros de aceite y aire. Agregar aceite motor. Cambiar taco motor. Lavado motor. Reparacion de turbo.            </v>
      </c>
      <c r="K396" s="26" t="s">
        <v>410</v>
      </c>
      <c r="P396" s="27">
        <v>1</v>
      </c>
      <c r="Q396" s="34">
        <v>3500</v>
      </c>
      <c r="R396" s="36">
        <f t="shared" si="44"/>
        <v>3500</v>
      </c>
      <c r="U396" s="39">
        <f t="shared" si="52"/>
        <v>0</v>
      </c>
      <c r="V396" s="41">
        <f t="shared" si="47"/>
        <v>1000000</v>
      </c>
    </row>
    <row r="397" spans="1:22" x14ac:dyDescent="0.25">
      <c r="A397" s="47">
        <v>118</v>
      </c>
      <c r="B397" s="31">
        <f t="shared" si="53"/>
        <v>13</v>
      </c>
      <c r="C397" s="48">
        <f t="shared" si="50"/>
        <v>45351</v>
      </c>
      <c r="D397" s="47" t="str">
        <f t="shared" si="51"/>
        <v>Sabaini Ignacio</v>
      </c>
      <c r="E397" s="31" t="str">
        <f t="shared" si="45"/>
        <v>118Sabaini Ignacio13</v>
      </c>
      <c r="I397" s="31" t="str">
        <f t="shared" si="46"/>
        <v xml:space="preserve">Desarme íntegro de motor. Sacar tapa de cilindros. Dejar en remojo con descarbonizante. Lavar al brillo. Controlar valvulas. Realizar asientos. Cambiar retenes. Sacar pistones. Controlar bielas y cojinetes. Cambiar aros y rearmar. Desarmar distribucion completa. Cambiar kit, bomba de agua, correa poly-v, polea fija poly-v y liquido refrigerante. Purgado del circuito de refrigeracion. Puesta a punto. Armado total. Cambio de filtros de aceite y aire. Agregar aceite motor. Cambiar taco motor. Lavado motor. Reparacion de turbo.             </v>
      </c>
      <c r="K397" s="26" t="s">
        <v>510</v>
      </c>
      <c r="P397" s="27">
        <v>1</v>
      </c>
      <c r="Q397" s="34">
        <v>398000</v>
      </c>
      <c r="R397" s="36">
        <f t="shared" si="44"/>
        <v>398000</v>
      </c>
      <c r="U397" s="39">
        <f t="shared" si="52"/>
        <v>0</v>
      </c>
      <c r="V397" s="41">
        <f t="shared" si="47"/>
        <v>1000000</v>
      </c>
    </row>
    <row r="398" spans="1:22" x14ac:dyDescent="0.25">
      <c r="A398" s="47">
        <v>119</v>
      </c>
      <c r="B398" s="31">
        <f t="shared" si="53"/>
        <v>1</v>
      </c>
      <c r="C398" s="48">
        <v>45356</v>
      </c>
      <c r="D398" s="47" t="s">
        <v>514</v>
      </c>
      <c r="E398" s="31" t="str">
        <f t="shared" si="45"/>
        <v>119Dellafiori Santiago Martin1</v>
      </c>
      <c r="F398" s="47" t="s">
        <v>515</v>
      </c>
      <c r="G398" s="47" t="s">
        <v>516</v>
      </c>
      <c r="H398" s="26" t="s">
        <v>513</v>
      </c>
      <c r="I398" s="31" t="str">
        <f t="shared" si="46"/>
        <v xml:space="preserve">Desarmar suspension completa delantera lado izquierdo. Cambiar amortiguador, maza, portamaza, extremo y precap. Alineado del tren delantero. </v>
      </c>
      <c r="P398" s="27"/>
      <c r="Q398" s="34"/>
      <c r="R398" s="36">
        <f t="shared" si="44"/>
        <v>0</v>
      </c>
      <c r="S398" s="6">
        <v>1</v>
      </c>
      <c r="T398" s="7">
        <v>190000</v>
      </c>
      <c r="U398" s="39">
        <f t="shared" si="52"/>
        <v>190000</v>
      </c>
      <c r="V398" s="41">
        <f t="shared" si="47"/>
        <v>190000</v>
      </c>
    </row>
    <row r="399" spans="1:22" x14ac:dyDescent="0.25">
      <c r="A399" s="47">
        <v>119</v>
      </c>
      <c r="B399" s="31">
        <f t="shared" si="53"/>
        <v>2</v>
      </c>
      <c r="C399" s="48">
        <f>IF(A399=A398,C398,"")</f>
        <v>45356</v>
      </c>
      <c r="D399" s="47" t="str">
        <f>IF(A399=A398,D398,"")</f>
        <v>Dellafiori Santiago Martin</v>
      </c>
      <c r="E399" s="31" t="str">
        <f t="shared" si="45"/>
        <v>119Dellafiori Santiago Martin2</v>
      </c>
      <c r="I399" s="31" t="str">
        <f t="shared" si="46"/>
        <v xml:space="preserve">Desarmar suspension completa delantera lado izquierdo. Cambiar amortiguador, maza, portamaza, extremo y precap. Alineado del tren delantero.  </v>
      </c>
      <c r="P399" s="27"/>
      <c r="Q399" s="34"/>
      <c r="R399" s="36">
        <f t="shared" ref="R399:R462" si="54">Q399*P399</f>
        <v>0</v>
      </c>
      <c r="U399" s="39">
        <f t="shared" si="52"/>
        <v>0</v>
      </c>
      <c r="V399" s="41">
        <f t="shared" si="47"/>
        <v>190000</v>
      </c>
    </row>
    <row r="400" spans="1:22" x14ac:dyDescent="0.25">
      <c r="A400" s="47">
        <v>120</v>
      </c>
      <c r="B400" s="31">
        <f t="shared" si="53"/>
        <v>1</v>
      </c>
      <c r="C400" s="48">
        <v>45358</v>
      </c>
      <c r="D400" s="47" t="s">
        <v>517</v>
      </c>
      <c r="E400" s="31" t="str">
        <f t="shared" si="45"/>
        <v>120Digenaro Julio1</v>
      </c>
      <c r="F400" s="47" t="s">
        <v>518</v>
      </c>
      <c r="G400" s="47" t="s">
        <v>369</v>
      </c>
      <c r="H400" s="26" t="s">
        <v>531</v>
      </c>
      <c r="I400" s="31" t="str">
        <f t="shared" si="46"/>
        <v>Service completo. Cambio de aceite y filtros. Control general de mas de 50 puntos del vehiculo. Control de estado de bomba de nafta. Escaneo del vehiculo. Solucionar averia de falta de corriente en cableado a bomba de nafta. Desarmar distribucion. Sacar tapa de valvulas, arboles de levas. Limpieza profunda de la zona. Cambiar retenes de arbol de levas. Cementar correctamente tapa de valvulas. Eliminar perdidas de aceite. Sacar y colocar cremallera de direccion. Cambiar bateria. Sacar aforador en tanque de combustible. Reparar con bomba de nafta electrica nueva. Armado total. Puesta en marcha</v>
      </c>
      <c r="K400" s="26" t="s">
        <v>108</v>
      </c>
      <c r="P400" s="27">
        <v>5</v>
      </c>
      <c r="Q400" s="34">
        <v>10900</v>
      </c>
      <c r="R400" s="36">
        <f t="shared" si="54"/>
        <v>54500</v>
      </c>
      <c r="S400" s="6">
        <v>1</v>
      </c>
      <c r="T400" s="7">
        <v>340000</v>
      </c>
      <c r="U400" s="39">
        <f t="shared" si="52"/>
        <v>340000</v>
      </c>
      <c r="V400" s="41">
        <f t="shared" si="47"/>
        <v>340000</v>
      </c>
    </row>
    <row r="401" spans="1:22" x14ac:dyDescent="0.25">
      <c r="A401" s="47">
        <v>120</v>
      </c>
      <c r="B401" s="31">
        <f t="shared" si="53"/>
        <v>2</v>
      </c>
      <c r="C401" s="48">
        <f>IF(A401=A400,C400,"")</f>
        <v>45358</v>
      </c>
      <c r="D401" s="47" t="str">
        <f>IF(A401=A400,D400,"")</f>
        <v>Digenaro Julio</v>
      </c>
      <c r="E401" s="31" t="str">
        <f t="shared" ref="E401:E464" si="55">CONCATENATE(A401,D401,B401)</f>
        <v>120Digenaro Julio2</v>
      </c>
      <c r="I401" s="31" t="str">
        <f t="shared" si="46"/>
        <v xml:space="preserve">Service completo. Cambio de aceite y filtros. Control general de mas de 50 puntos del vehiculo. Control de estado de bomba de nafta. Escaneo del vehiculo. Solucionar averia de falta de corriente en cableado a bomba de nafta. Desarmar distribucion. Sacar tapa de valvulas, arboles de levas. Limpieza profunda de la zona. Cambiar retenes de arbol de levas. Cementar correctamente tapa de valvulas. Eliminar perdidas de aceite. Sacar y colocar cremallera de direccion. Cambiar bateria. Sacar aforador en tanque de combustible. Reparar con bomba de nafta electrica nueva. Armado total. Puesta en marcha </v>
      </c>
      <c r="K401" s="26" t="s">
        <v>91</v>
      </c>
      <c r="P401" s="27">
        <v>1</v>
      </c>
      <c r="Q401" s="34">
        <v>44000</v>
      </c>
      <c r="R401" s="36">
        <f t="shared" si="54"/>
        <v>44000</v>
      </c>
      <c r="U401" s="39">
        <f t="shared" si="52"/>
        <v>0</v>
      </c>
      <c r="V401" s="41">
        <f t="shared" si="47"/>
        <v>340000</v>
      </c>
    </row>
    <row r="402" spans="1:22" x14ac:dyDescent="0.25">
      <c r="A402" s="47">
        <v>120</v>
      </c>
      <c r="B402" s="31">
        <f t="shared" si="53"/>
        <v>3</v>
      </c>
      <c r="C402" s="48">
        <f>IF(A402=A401,C401,"")</f>
        <v>45358</v>
      </c>
      <c r="D402" s="47" t="str">
        <f>IF(A402=A401,D401,"")</f>
        <v>Digenaro Julio</v>
      </c>
      <c r="E402" s="31" t="str">
        <f t="shared" si="55"/>
        <v>120Digenaro Julio3</v>
      </c>
      <c r="I402" s="31" t="str">
        <f t="shared" si="46"/>
        <v xml:space="preserve">Service completo. Cambio de aceite y filtros. Control general de mas de 50 puntos del vehiculo. Control de estado de bomba de nafta. Escaneo del vehiculo. Solucionar averia de falta de corriente en cableado a bomba de nafta. Desarmar distribucion. Sacar tapa de valvulas, arboles de levas. Limpieza profunda de la zona. Cambiar retenes de arbol de levas. Cementar correctamente tapa de valvulas. Eliminar perdidas de aceite. Sacar y colocar cremallera de direccion. Cambiar bateria. Sacar aforador en tanque de combustible. Reparar con bomba de nafta electrica nueva. Armado total. Puesta en marcha  </v>
      </c>
      <c r="K402" s="26" t="s">
        <v>519</v>
      </c>
      <c r="P402" s="27">
        <v>1</v>
      </c>
      <c r="Q402" s="34">
        <v>2200</v>
      </c>
      <c r="R402" s="36">
        <f t="shared" si="54"/>
        <v>2200</v>
      </c>
      <c r="U402" s="39">
        <f t="shared" si="52"/>
        <v>0</v>
      </c>
      <c r="V402" s="41">
        <f t="shared" si="47"/>
        <v>340000</v>
      </c>
    </row>
    <row r="403" spans="1:22" x14ac:dyDescent="0.25">
      <c r="A403" s="47">
        <v>120</v>
      </c>
      <c r="B403" s="31">
        <f t="shared" si="53"/>
        <v>4</v>
      </c>
      <c r="C403" s="48">
        <f>IF(A403=A402,C402,"")</f>
        <v>45358</v>
      </c>
      <c r="D403" s="47" t="str">
        <f>IF(A403=A402,D402,"")</f>
        <v>Digenaro Julio</v>
      </c>
      <c r="E403" s="31" t="str">
        <f t="shared" si="55"/>
        <v>120Digenaro Julio4</v>
      </c>
      <c r="I403" s="31" t="str">
        <f t="shared" si="46"/>
        <v xml:space="preserve">Service completo. Cambio de aceite y filtros. Control general de mas de 50 puntos del vehiculo. Control de estado de bomba de nafta. Escaneo del vehiculo. Solucionar averia de falta de corriente en cableado a bomba de nafta. Desarmar distribucion. Sacar tapa de valvulas, arboles de levas. Limpieza profunda de la zona. Cambiar retenes de arbol de levas. Cementar correctamente tapa de valvulas. Eliminar perdidas de aceite. Sacar y colocar cremallera de direccion. Cambiar bateria. Sacar aforador en tanque de combustible. Reparar con bomba de nafta electrica nueva. Armado total. Puesta en marcha   </v>
      </c>
      <c r="K403" s="26" t="s">
        <v>520</v>
      </c>
      <c r="P403" s="27">
        <v>2</v>
      </c>
      <c r="Q403" s="34">
        <v>12500</v>
      </c>
      <c r="R403" s="36">
        <f t="shared" si="54"/>
        <v>25000</v>
      </c>
      <c r="U403" s="39">
        <f t="shared" si="52"/>
        <v>0</v>
      </c>
      <c r="V403" s="41">
        <f t="shared" si="47"/>
        <v>340000</v>
      </c>
    </row>
    <row r="404" spans="1:22" x14ac:dyDescent="0.25">
      <c r="A404" s="47">
        <v>120</v>
      </c>
      <c r="B404" s="31">
        <f t="shared" si="53"/>
        <v>5</v>
      </c>
      <c r="C404" s="48">
        <f>IF(A404=A403,C403,"")</f>
        <v>45358</v>
      </c>
      <c r="D404" s="47" t="str">
        <f>IF(A404=A403,D403,"")</f>
        <v>Digenaro Julio</v>
      </c>
      <c r="E404" s="31" t="str">
        <f t="shared" si="55"/>
        <v>120Digenaro Julio5</v>
      </c>
      <c r="I404" s="31" t="str">
        <f t="shared" ref="I404:I413" si="56">IF(A404=A403,CONCATENATE(I403," ",H404),H404)</f>
        <v xml:space="preserve">Service completo. Cambio de aceite y filtros. Control general de mas de 50 puntos del vehiculo. Control de estado de bomba de nafta. Escaneo del vehiculo. Solucionar averia de falta de corriente en cableado a bomba de nafta. Desarmar distribucion. Sacar tapa de valvulas, arboles de levas. Limpieza profunda de la zona. Cambiar retenes de arbol de levas. Cementar correctamente tapa de valvulas. Eliminar perdidas de aceite. Sacar y colocar cremallera de direccion. Cambiar bateria. Sacar aforador en tanque de combustible. Reparar con bomba de nafta electrica nueva. Armado total. Puesta en marcha    </v>
      </c>
      <c r="K404" s="26" t="s">
        <v>521</v>
      </c>
      <c r="P404" s="27">
        <v>1</v>
      </c>
      <c r="Q404" s="34">
        <v>160000</v>
      </c>
      <c r="R404" s="36">
        <f t="shared" si="54"/>
        <v>160000</v>
      </c>
      <c r="U404" s="39">
        <f t="shared" si="52"/>
        <v>0</v>
      </c>
      <c r="V404" s="41">
        <f t="shared" ref="V404:V413" si="57">IF(A404=A403,V403+U404,U404)</f>
        <v>340000</v>
      </c>
    </row>
    <row r="405" spans="1:22" x14ac:dyDescent="0.25">
      <c r="A405" s="47">
        <v>120</v>
      </c>
      <c r="B405" s="31">
        <f t="shared" si="53"/>
        <v>6</v>
      </c>
      <c r="C405" s="48">
        <v>45358</v>
      </c>
      <c r="D405" s="47" t="s">
        <v>517</v>
      </c>
      <c r="E405" s="31" t="str">
        <f t="shared" si="55"/>
        <v>120Digenaro Julio6</v>
      </c>
      <c r="I405" s="31" t="str">
        <f t="shared" si="56"/>
        <v xml:space="preserve">Service completo. Cambio de aceite y filtros. Control general de mas de 50 puntos del vehiculo. Control de estado de bomba de nafta. Escaneo del vehiculo. Solucionar averia de falta de corriente en cableado a bomba de nafta. Desarmar distribucion. Sacar tapa de valvulas, arboles de levas. Limpieza profunda de la zona. Cambiar retenes de arbol de levas. Cementar correctamente tapa de valvulas. Eliminar perdidas de aceite. Sacar y colocar cremallera de direccion. Cambiar bateria. Sacar aforador en tanque de combustible. Reparar con bomba de nafta electrica nueva. Armado total. Puesta en marcha     </v>
      </c>
      <c r="K405" s="26" t="s">
        <v>529</v>
      </c>
      <c r="P405" s="27"/>
      <c r="Q405" s="34"/>
      <c r="R405" s="36">
        <f t="shared" si="54"/>
        <v>0</v>
      </c>
      <c r="U405" s="39">
        <f t="shared" si="52"/>
        <v>0</v>
      </c>
      <c r="V405" s="41">
        <f t="shared" si="57"/>
        <v>340000</v>
      </c>
    </row>
    <row r="406" spans="1:22" x14ac:dyDescent="0.25">
      <c r="A406" s="47">
        <v>120</v>
      </c>
      <c r="B406" s="31">
        <f t="shared" si="53"/>
        <v>7</v>
      </c>
      <c r="C406" s="48">
        <f>IF(A406=A405,C405,"")</f>
        <v>45358</v>
      </c>
      <c r="D406" s="47" t="str">
        <f>IF(A406=A405,D405,"")</f>
        <v>Digenaro Julio</v>
      </c>
      <c r="E406" s="31" t="str">
        <f t="shared" si="55"/>
        <v>120Digenaro Julio7</v>
      </c>
      <c r="I406" s="31" t="str">
        <f t="shared" si="56"/>
        <v xml:space="preserve">Service completo. Cambio de aceite y filtros. Control general de mas de 50 puntos del vehiculo. Control de estado de bomba de nafta. Escaneo del vehiculo. Solucionar averia de falta de corriente en cableado a bomba de nafta. Desarmar distribucion. Sacar tapa de valvulas, arboles de levas. Limpieza profunda de la zona. Cambiar retenes de arbol de levas. Cementar correctamente tapa de valvulas. Eliminar perdidas de aceite. Sacar y colocar cremallera de direccion. Cambiar bateria. Sacar aforador en tanque de combustible. Reparar con bomba de nafta electrica nueva. Armado total. Puesta en marcha      </v>
      </c>
      <c r="K406" s="26" t="s">
        <v>530</v>
      </c>
      <c r="P406" s="27"/>
      <c r="Q406" s="34"/>
      <c r="R406" s="36">
        <f t="shared" si="54"/>
        <v>0</v>
      </c>
      <c r="U406" s="39">
        <f t="shared" si="52"/>
        <v>0</v>
      </c>
      <c r="V406" s="41">
        <f t="shared" si="57"/>
        <v>340000</v>
      </c>
    </row>
    <row r="407" spans="1:22" x14ac:dyDescent="0.25">
      <c r="A407" s="47">
        <v>121</v>
      </c>
      <c r="B407" s="31">
        <f t="shared" si="53"/>
        <v>1</v>
      </c>
      <c r="C407" s="48">
        <v>45358</v>
      </c>
      <c r="D407" s="47" t="s">
        <v>522</v>
      </c>
      <c r="E407" s="31" t="str">
        <f t="shared" si="55"/>
        <v>121Irrazabal Miguel1</v>
      </c>
      <c r="G407" s="47" t="s">
        <v>523</v>
      </c>
      <c r="H407" s="26" t="s">
        <v>440</v>
      </c>
      <c r="I407" s="31" t="str">
        <f t="shared" si="56"/>
        <v>Service completo. Cambio de aceite y filtros. Control general de mas de 50 puntos del vehiculo.</v>
      </c>
      <c r="K407" s="26" t="s">
        <v>90</v>
      </c>
      <c r="P407" s="27">
        <v>4</v>
      </c>
      <c r="Q407" s="34">
        <v>15850</v>
      </c>
      <c r="R407" s="36">
        <f t="shared" si="54"/>
        <v>63400</v>
      </c>
      <c r="S407" s="6">
        <v>1</v>
      </c>
      <c r="T407" s="7">
        <v>60000</v>
      </c>
      <c r="U407" s="39">
        <f t="shared" si="52"/>
        <v>60000</v>
      </c>
      <c r="V407" s="41">
        <f t="shared" si="57"/>
        <v>60000</v>
      </c>
    </row>
    <row r="408" spans="1:22" x14ac:dyDescent="0.25">
      <c r="A408" s="47">
        <v>121</v>
      </c>
      <c r="B408" s="31">
        <f t="shared" si="53"/>
        <v>2</v>
      </c>
      <c r="C408" s="48">
        <f>IF(A408=A407,C407,"")</f>
        <v>45358</v>
      </c>
      <c r="D408" s="47" t="str">
        <f>IF(A408=A407,D407,"")</f>
        <v>Irrazabal Miguel</v>
      </c>
      <c r="E408" s="31" t="str">
        <f t="shared" si="55"/>
        <v>121Irrazabal Miguel2</v>
      </c>
      <c r="I408" s="31" t="str">
        <f t="shared" si="56"/>
        <v xml:space="preserve">Service completo. Cambio de aceite y filtros. Control general de mas de 50 puntos del vehiculo. </v>
      </c>
      <c r="K408" s="26" t="s">
        <v>524</v>
      </c>
      <c r="P408" s="27">
        <v>1</v>
      </c>
      <c r="Q408" s="34">
        <v>15900</v>
      </c>
      <c r="R408" s="36">
        <f t="shared" si="54"/>
        <v>15900</v>
      </c>
      <c r="U408" s="39">
        <f t="shared" si="52"/>
        <v>0</v>
      </c>
      <c r="V408" s="41">
        <f t="shared" si="57"/>
        <v>60000</v>
      </c>
    </row>
    <row r="409" spans="1:22" x14ac:dyDescent="0.25">
      <c r="A409" s="47">
        <v>121</v>
      </c>
      <c r="B409" s="31">
        <f t="shared" si="53"/>
        <v>3</v>
      </c>
      <c r="C409" s="48">
        <f>IF(A409=A408,C408,"")</f>
        <v>45358</v>
      </c>
      <c r="D409" s="47" t="str">
        <f>IF(A409=A408,D408,"")</f>
        <v>Irrazabal Miguel</v>
      </c>
      <c r="E409" s="31" t="str">
        <f t="shared" si="55"/>
        <v>121Irrazabal Miguel3</v>
      </c>
      <c r="I409" s="31" t="str">
        <f t="shared" si="56"/>
        <v xml:space="preserve">Service completo. Cambio de aceite y filtros. Control general de mas de 50 puntos del vehiculo.  </v>
      </c>
      <c r="K409" s="26" t="s">
        <v>525</v>
      </c>
      <c r="P409" s="27">
        <v>1</v>
      </c>
      <c r="Q409" s="34">
        <v>12700</v>
      </c>
      <c r="R409" s="36">
        <f t="shared" si="54"/>
        <v>12700</v>
      </c>
      <c r="U409" s="39">
        <f t="shared" si="52"/>
        <v>0</v>
      </c>
      <c r="V409" s="41">
        <f t="shared" si="57"/>
        <v>60000</v>
      </c>
    </row>
    <row r="410" spans="1:22" x14ac:dyDescent="0.25">
      <c r="A410" s="47">
        <v>121</v>
      </c>
      <c r="B410" s="31">
        <f t="shared" si="53"/>
        <v>4</v>
      </c>
      <c r="C410" s="48">
        <f>IF(A410=A409,C409,"")</f>
        <v>45358</v>
      </c>
      <c r="D410" s="47" t="str">
        <f>IF(A410=A409,D409,"")</f>
        <v>Irrazabal Miguel</v>
      </c>
      <c r="E410" s="31" t="str">
        <f t="shared" si="55"/>
        <v>121Irrazabal Miguel4</v>
      </c>
      <c r="I410" s="31" t="str">
        <f t="shared" si="56"/>
        <v xml:space="preserve">Service completo. Cambio de aceite y filtros. Control general de mas de 50 puntos del vehiculo.   </v>
      </c>
      <c r="K410" s="26" t="s">
        <v>526</v>
      </c>
      <c r="P410" s="27">
        <v>1</v>
      </c>
      <c r="Q410" s="34">
        <v>18000</v>
      </c>
      <c r="R410" s="36">
        <f t="shared" si="54"/>
        <v>18000</v>
      </c>
      <c r="U410" s="39">
        <f t="shared" si="52"/>
        <v>0</v>
      </c>
      <c r="V410" s="41">
        <f t="shared" si="57"/>
        <v>60000</v>
      </c>
    </row>
    <row r="411" spans="1:22" x14ac:dyDescent="0.25">
      <c r="A411" s="47">
        <v>122</v>
      </c>
      <c r="B411" s="31">
        <f t="shared" si="53"/>
        <v>1</v>
      </c>
      <c r="C411" s="48">
        <v>45359</v>
      </c>
      <c r="D411" s="47" t="s">
        <v>527</v>
      </c>
      <c r="E411" s="31" t="str">
        <f t="shared" si="55"/>
        <v>122Medina Javier1</v>
      </c>
      <c r="G411" s="47" t="s">
        <v>238</v>
      </c>
      <c r="H411" s="26" t="s">
        <v>440</v>
      </c>
      <c r="I411" s="31" t="str">
        <f t="shared" si="56"/>
        <v>Service completo. Cambio de aceite y filtros. Control general de mas de 50 puntos del vehiculo.</v>
      </c>
      <c r="K411" s="26" t="s">
        <v>91</v>
      </c>
      <c r="P411" s="27">
        <v>1</v>
      </c>
      <c r="Q411" s="34">
        <v>40000</v>
      </c>
      <c r="R411" s="36">
        <f t="shared" si="54"/>
        <v>40000</v>
      </c>
      <c r="S411" s="6">
        <v>1</v>
      </c>
      <c r="T411" s="7">
        <v>65000</v>
      </c>
      <c r="U411" s="39">
        <f t="shared" si="52"/>
        <v>65000</v>
      </c>
      <c r="V411" s="41">
        <f t="shared" si="57"/>
        <v>65000</v>
      </c>
    </row>
    <row r="412" spans="1:22" x14ac:dyDescent="0.25">
      <c r="A412" s="47">
        <v>122</v>
      </c>
      <c r="B412" s="31">
        <f t="shared" si="53"/>
        <v>2</v>
      </c>
      <c r="C412" s="48">
        <f>IF(A412=A411,C411,"")</f>
        <v>45359</v>
      </c>
      <c r="D412" s="47" t="str">
        <f>IF(A412=A411,D411,"")</f>
        <v>Medina Javier</v>
      </c>
      <c r="E412" s="31" t="str">
        <f t="shared" si="55"/>
        <v>122Medina Javier2</v>
      </c>
      <c r="I412" s="31" t="str">
        <f t="shared" si="56"/>
        <v xml:space="preserve">Service completo. Cambio de aceite y filtros. Control general de mas de 50 puntos del vehiculo. </v>
      </c>
      <c r="P412" s="27"/>
      <c r="Q412" s="34"/>
      <c r="R412" s="36">
        <f t="shared" si="54"/>
        <v>0</v>
      </c>
      <c r="U412" s="39">
        <f t="shared" si="52"/>
        <v>0</v>
      </c>
      <c r="V412" s="41">
        <f t="shared" si="57"/>
        <v>65000</v>
      </c>
    </row>
    <row r="413" spans="1:22" x14ac:dyDescent="0.25">
      <c r="A413" s="47">
        <v>122</v>
      </c>
      <c r="B413" s="31">
        <f t="shared" si="53"/>
        <v>3</v>
      </c>
      <c r="C413" s="48">
        <f>IF(A413=A412,C412,"")</f>
        <v>45359</v>
      </c>
      <c r="D413" s="47" t="str">
        <f>IF(A413=A412,D412,"")</f>
        <v>Medina Javier</v>
      </c>
      <c r="E413" s="31" t="str">
        <f t="shared" si="55"/>
        <v>122Medina Javier3</v>
      </c>
      <c r="I413" s="31" t="str">
        <f t="shared" si="56"/>
        <v xml:space="preserve">Service completo. Cambio de aceite y filtros. Control general de mas de 50 puntos del vehiculo.  </v>
      </c>
      <c r="K413" s="26" t="s">
        <v>528</v>
      </c>
      <c r="P413" s="27">
        <v>4</v>
      </c>
      <c r="Q413" s="34">
        <v>23000</v>
      </c>
      <c r="R413" s="36">
        <f t="shared" si="54"/>
        <v>92000</v>
      </c>
      <c r="U413" s="39">
        <f t="shared" si="52"/>
        <v>0</v>
      </c>
      <c r="V413" s="41">
        <f t="shared" si="57"/>
        <v>65000</v>
      </c>
    </row>
    <row r="414" spans="1:22" x14ac:dyDescent="0.25">
      <c r="A414" s="47">
        <v>122</v>
      </c>
      <c r="B414" s="31" t="e">
        <f>IF(A414=#REF!,#REF!+1,1)</f>
        <v>#REF!</v>
      </c>
      <c r="C414" s="48">
        <f>IF(A414=A413,C413,"")</f>
        <v>45359</v>
      </c>
      <c r="D414" s="47" t="str">
        <f>IF(A414=A413,D413,"")</f>
        <v>Medina Javier</v>
      </c>
      <c r="E414" s="31" t="e">
        <f t="shared" si="55"/>
        <v>#REF!</v>
      </c>
      <c r="I414" s="31" t="e">
        <f>IF(A414=#REF!,CONCATENATE(#REF!," ",H414),H414)</f>
        <v>#REF!</v>
      </c>
      <c r="P414" s="27"/>
      <c r="Q414" s="34"/>
      <c r="R414" s="36">
        <f t="shared" si="54"/>
        <v>0</v>
      </c>
      <c r="U414" s="39">
        <f t="shared" si="52"/>
        <v>0</v>
      </c>
      <c r="V414" s="41" t="e">
        <f>IF(A414=#REF!,#REF!+U414,U414)</f>
        <v>#REF!</v>
      </c>
    </row>
    <row r="415" spans="1:22" x14ac:dyDescent="0.25">
      <c r="A415" s="47">
        <v>123</v>
      </c>
      <c r="B415" s="31">
        <f t="shared" ref="B415:B478" si="58">IF(A415=A414,B414+1,1)</f>
        <v>1</v>
      </c>
      <c r="C415" s="48">
        <v>45365</v>
      </c>
      <c r="D415" s="47" t="s">
        <v>532</v>
      </c>
      <c r="E415" s="31" t="str">
        <f t="shared" si="55"/>
        <v>123Morales Ariel1</v>
      </c>
      <c r="G415" s="47" t="s">
        <v>533</v>
      </c>
      <c r="H415" s="26" t="s">
        <v>534</v>
      </c>
      <c r="I415" s="31" t="str">
        <f t="shared" ref="I415:I478" si="59">IF(A415=A414,CONCATENATE(I414," ",H415),H415)</f>
        <v>Cambiar amortiguadores delanteros y traseros. Regular convergencia.</v>
      </c>
      <c r="K415" s="26" t="s">
        <v>535</v>
      </c>
      <c r="P415" s="27">
        <v>2</v>
      </c>
      <c r="Q415" s="34">
        <v>65600</v>
      </c>
      <c r="R415" s="36">
        <f t="shared" si="54"/>
        <v>131200</v>
      </c>
      <c r="S415" s="6">
        <v>1</v>
      </c>
      <c r="T415" s="7">
        <v>105000</v>
      </c>
      <c r="U415" s="39">
        <f t="shared" si="52"/>
        <v>105000</v>
      </c>
      <c r="V415" s="41">
        <f t="shared" ref="V415:V478" si="60">IF(A415=A414,V414+U415,U415)</f>
        <v>105000</v>
      </c>
    </row>
    <row r="416" spans="1:22" x14ac:dyDescent="0.25">
      <c r="A416" s="47">
        <v>123</v>
      </c>
      <c r="B416" s="31">
        <f t="shared" si="58"/>
        <v>2</v>
      </c>
      <c r="C416" s="48">
        <f>IF(A416=A415,C415,"")</f>
        <v>45365</v>
      </c>
      <c r="D416" s="47" t="str">
        <f>IF(A416=A415,D415,"")</f>
        <v>Morales Ariel</v>
      </c>
      <c r="E416" s="31" t="str">
        <f t="shared" si="55"/>
        <v>123Morales Ariel2</v>
      </c>
      <c r="I416" s="31" t="str">
        <f t="shared" si="59"/>
        <v xml:space="preserve">Cambiar amortiguadores delanteros y traseros. Regular convergencia. </v>
      </c>
      <c r="K416" s="26" t="s">
        <v>435</v>
      </c>
      <c r="P416" s="27">
        <v>2</v>
      </c>
      <c r="Q416" s="34">
        <v>36000</v>
      </c>
      <c r="R416" s="36">
        <f t="shared" si="54"/>
        <v>72000</v>
      </c>
      <c r="U416" s="39">
        <f t="shared" si="52"/>
        <v>0</v>
      </c>
      <c r="V416" s="41">
        <f t="shared" si="60"/>
        <v>105000</v>
      </c>
    </row>
    <row r="417" spans="1:22" x14ac:dyDescent="0.25">
      <c r="A417" s="47">
        <v>123</v>
      </c>
      <c r="B417" s="31">
        <f t="shared" si="58"/>
        <v>3</v>
      </c>
      <c r="C417" s="48">
        <f>IF(A417=A416,C416,"")</f>
        <v>45365</v>
      </c>
      <c r="D417" s="47" t="str">
        <f>IF(A417=A416,D416,"")</f>
        <v>Morales Ariel</v>
      </c>
      <c r="E417" s="31" t="str">
        <f t="shared" si="55"/>
        <v>123Morales Ariel3</v>
      </c>
      <c r="I417" s="31" t="str">
        <f t="shared" si="59"/>
        <v xml:space="preserve">Cambiar amortiguadores delanteros y traseros. Regular convergencia.  </v>
      </c>
      <c r="K417" s="26" t="s">
        <v>536</v>
      </c>
      <c r="P417" s="27">
        <v>4</v>
      </c>
      <c r="Q417" s="34">
        <v>11250</v>
      </c>
      <c r="R417" s="36">
        <f t="shared" si="54"/>
        <v>45000</v>
      </c>
      <c r="U417" s="39">
        <f t="shared" si="52"/>
        <v>0</v>
      </c>
      <c r="V417" s="41">
        <f t="shared" si="60"/>
        <v>105000</v>
      </c>
    </row>
    <row r="418" spans="1:22" x14ac:dyDescent="0.25">
      <c r="A418" s="47">
        <v>124</v>
      </c>
      <c r="B418" s="31">
        <f t="shared" si="58"/>
        <v>1</v>
      </c>
      <c r="C418" s="48">
        <v>45365</v>
      </c>
      <c r="D418" s="47" t="s">
        <v>537</v>
      </c>
      <c r="E418" s="31" t="str">
        <f t="shared" si="55"/>
        <v>124Lang Gustavo1</v>
      </c>
      <c r="G418" s="47" t="s">
        <v>376</v>
      </c>
      <c r="H418" s="26" t="s">
        <v>440</v>
      </c>
      <c r="I418" s="31" t="str">
        <f t="shared" si="59"/>
        <v>Service completo. Cambio de aceite y filtros. Control general de mas de 50 puntos del vehiculo.</v>
      </c>
      <c r="K418" s="26" t="s">
        <v>91</v>
      </c>
      <c r="P418" s="27">
        <v>1</v>
      </c>
      <c r="Q418" s="34">
        <v>84200</v>
      </c>
      <c r="R418" s="36">
        <f t="shared" si="54"/>
        <v>84200</v>
      </c>
      <c r="S418" s="6">
        <v>1</v>
      </c>
      <c r="T418" s="7">
        <v>75000</v>
      </c>
      <c r="U418" s="39">
        <f t="shared" si="52"/>
        <v>75000</v>
      </c>
      <c r="V418" s="41">
        <f t="shared" si="60"/>
        <v>75000</v>
      </c>
    </row>
    <row r="419" spans="1:22" x14ac:dyDescent="0.25">
      <c r="A419" s="47">
        <v>124</v>
      </c>
      <c r="B419" s="31">
        <f t="shared" si="58"/>
        <v>2</v>
      </c>
      <c r="C419" s="48">
        <f>IF(A419=A418,C418,"")</f>
        <v>45365</v>
      </c>
      <c r="D419" s="47" t="str">
        <f>IF(A419=A418,D418,"")</f>
        <v>Lang Gustavo</v>
      </c>
      <c r="E419" s="31" t="str">
        <f t="shared" si="55"/>
        <v>124Lang Gustavo2</v>
      </c>
      <c r="I419" s="31" t="str">
        <f t="shared" si="59"/>
        <v xml:space="preserve">Service completo. Cambio de aceite y filtros. Control general de mas de 50 puntos del vehiculo. </v>
      </c>
      <c r="P419" s="27"/>
      <c r="Q419" s="34"/>
      <c r="R419" s="36">
        <f t="shared" si="54"/>
        <v>0</v>
      </c>
      <c r="U419" s="39">
        <f t="shared" si="52"/>
        <v>0</v>
      </c>
      <c r="V419" s="41">
        <f t="shared" si="60"/>
        <v>75000</v>
      </c>
    </row>
    <row r="420" spans="1:22" x14ac:dyDescent="0.25">
      <c r="A420" s="47">
        <v>125</v>
      </c>
      <c r="B420" s="31">
        <f t="shared" si="58"/>
        <v>1</v>
      </c>
      <c r="C420" s="48">
        <v>45365</v>
      </c>
      <c r="D420" s="47" t="s">
        <v>538</v>
      </c>
      <c r="E420" s="31" t="str">
        <f t="shared" si="55"/>
        <v>125Cometto Franco1</v>
      </c>
      <c r="G420" s="47" t="s">
        <v>369</v>
      </c>
      <c r="H420" s="26" t="s">
        <v>440</v>
      </c>
      <c r="I420" s="31" t="str">
        <f t="shared" si="59"/>
        <v>Service completo. Cambio de aceite y filtros. Control general de mas de 50 puntos del vehiculo.</v>
      </c>
      <c r="K420" s="26" t="s">
        <v>487</v>
      </c>
      <c r="P420" s="27">
        <v>1</v>
      </c>
      <c r="Q420" s="34">
        <v>9500</v>
      </c>
      <c r="R420" s="36">
        <f t="shared" si="54"/>
        <v>9500</v>
      </c>
      <c r="S420" s="6">
        <v>1</v>
      </c>
      <c r="T420" s="7">
        <v>50000</v>
      </c>
      <c r="U420" s="39">
        <f t="shared" si="52"/>
        <v>50000</v>
      </c>
      <c r="V420" s="41">
        <f t="shared" si="60"/>
        <v>50000</v>
      </c>
    </row>
    <row r="421" spans="1:22" x14ac:dyDescent="0.25">
      <c r="A421" s="47">
        <v>125</v>
      </c>
      <c r="B421" s="31">
        <f t="shared" si="58"/>
        <v>2</v>
      </c>
      <c r="C421" s="48">
        <f>IF(A421=A420,C420,"")</f>
        <v>45365</v>
      </c>
      <c r="D421" s="47" t="str">
        <f>IF(A421=A420,D420,"")</f>
        <v>Cometto Franco</v>
      </c>
      <c r="E421" s="31" t="str">
        <f t="shared" si="55"/>
        <v>125Cometto Franco2</v>
      </c>
      <c r="I421" s="31" t="str">
        <f t="shared" si="59"/>
        <v xml:space="preserve">Service completo. Cambio de aceite y filtros. Control general de mas de 50 puntos del vehiculo. </v>
      </c>
      <c r="K421" s="26" t="s">
        <v>539</v>
      </c>
      <c r="P421" s="27">
        <v>1</v>
      </c>
      <c r="Q421" s="34">
        <v>8000</v>
      </c>
      <c r="R421" s="36">
        <f t="shared" si="54"/>
        <v>8000</v>
      </c>
      <c r="U421" s="39">
        <f t="shared" si="52"/>
        <v>0</v>
      </c>
      <c r="V421" s="41">
        <f t="shared" si="60"/>
        <v>50000</v>
      </c>
    </row>
    <row r="422" spans="1:22" x14ac:dyDescent="0.25">
      <c r="A422" s="47">
        <v>125</v>
      </c>
      <c r="B422" s="31">
        <f t="shared" si="58"/>
        <v>3</v>
      </c>
      <c r="C422" s="48">
        <f>IF(A422=A421,C421,"")</f>
        <v>45365</v>
      </c>
      <c r="D422" s="47" t="str">
        <f>IF(A422=A421,D421,"")</f>
        <v>Cometto Franco</v>
      </c>
      <c r="E422" s="31" t="str">
        <f t="shared" si="55"/>
        <v>125Cometto Franco3</v>
      </c>
      <c r="I422" s="31" t="str">
        <f t="shared" si="59"/>
        <v xml:space="preserve">Service completo. Cambio de aceite y filtros. Control general de mas de 50 puntos del vehiculo.  </v>
      </c>
      <c r="K422" s="26" t="s">
        <v>540</v>
      </c>
      <c r="P422" s="27">
        <v>1</v>
      </c>
      <c r="Q422" s="34">
        <v>12500</v>
      </c>
      <c r="R422" s="36">
        <f t="shared" si="54"/>
        <v>12500</v>
      </c>
      <c r="U422" s="39">
        <f t="shared" si="52"/>
        <v>0</v>
      </c>
      <c r="V422" s="41">
        <f t="shared" si="60"/>
        <v>50000</v>
      </c>
    </row>
    <row r="423" spans="1:22" x14ac:dyDescent="0.25">
      <c r="A423" s="47">
        <v>125</v>
      </c>
      <c r="B423" s="31">
        <f t="shared" si="58"/>
        <v>4</v>
      </c>
      <c r="C423" s="48">
        <f>IF(A423=A422,C422,"")</f>
        <v>45365</v>
      </c>
      <c r="D423" s="47" t="str">
        <f>IF(A423=A422,D422,"")</f>
        <v>Cometto Franco</v>
      </c>
      <c r="E423" s="31" t="str">
        <f t="shared" si="55"/>
        <v>125Cometto Franco4</v>
      </c>
      <c r="I423" s="31" t="str">
        <f t="shared" si="59"/>
        <v xml:space="preserve">Service completo. Cambio de aceite y filtros. Control general de mas de 50 puntos del vehiculo.   </v>
      </c>
      <c r="K423" s="26" t="s">
        <v>108</v>
      </c>
      <c r="P423" s="27">
        <v>5</v>
      </c>
      <c r="Q423" s="34">
        <v>11250</v>
      </c>
      <c r="R423" s="36">
        <f t="shared" si="54"/>
        <v>56250</v>
      </c>
      <c r="U423" s="39">
        <f t="shared" si="52"/>
        <v>0</v>
      </c>
      <c r="V423" s="41">
        <f t="shared" si="60"/>
        <v>50000</v>
      </c>
    </row>
    <row r="424" spans="1:22" x14ac:dyDescent="0.25">
      <c r="A424" s="47">
        <v>126</v>
      </c>
      <c r="B424" s="31">
        <f t="shared" si="58"/>
        <v>1</v>
      </c>
      <c r="C424" s="48">
        <v>45371</v>
      </c>
      <c r="D424" s="47" t="s">
        <v>541</v>
      </c>
      <c r="E424" s="31" t="str">
        <f t="shared" si="55"/>
        <v>126Berdus Silvio1</v>
      </c>
      <c r="G424" s="47" t="s">
        <v>542</v>
      </c>
      <c r="H424" s="26" t="s">
        <v>543</v>
      </c>
      <c r="I424" s="31" t="str">
        <f t="shared" si="59"/>
        <v>Sacar tapa de cilindros, carter y pistones. Limpieza profunda. Bruñir cilindros. Control de estados de pistones y pernos de pistones. Cambiar aros, coginetes de biela. Armado total.</v>
      </c>
      <c r="K424" s="26" t="s">
        <v>419</v>
      </c>
      <c r="P424" s="27">
        <v>1</v>
      </c>
      <c r="Q424" s="34">
        <v>110000</v>
      </c>
      <c r="R424" s="36">
        <f t="shared" si="54"/>
        <v>110000</v>
      </c>
      <c r="S424" s="6">
        <v>1</v>
      </c>
      <c r="T424" s="7">
        <v>400000</v>
      </c>
      <c r="U424" s="39">
        <f t="shared" si="52"/>
        <v>400000</v>
      </c>
      <c r="V424" s="41">
        <f t="shared" si="60"/>
        <v>400000</v>
      </c>
    </row>
    <row r="425" spans="1:22" x14ac:dyDescent="0.25">
      <c r="A425" s="47">
        <v>126</v>
      </c>
      <c r="B425" s="31">
        <f t="shared" si="58"/>
        <v>2</v>
      </c>
      <c r="C425" s="48">
        <f>IF(A425=A424,C424,"")</f>
        <v>45371</v>
      </c>
      <c r="D425" s="47" t="str">
        <f>IF(A425=A424,D424,"")</f>
        <v>Berdus Silvio</v>
      </c>
      <c r="E425" s="31" t="str">
        <f t="shared" si="55"/>
        <v>126Berdus Silvio2</v>
      </c>
      <c r="I425" s="31" t="str">
        <f t="shared" si="59"/>
        <v xml:space="preserve">Sacar tapa de cilindros, carter y pistones. Limpieza profunda. Bruñir cilindros. Control de estados de pistones y pernos de pistones. Cambiar aros, coginetes de biela. Armado total. </v>
      </c>
      <c r="K425" s="26" t="s">
        <v>544</v>
      </c>
      <c r="P425" s="27">
        <v>1</v>
      </c>
      <c r="Q425" s="34">
        <v>14500</v>
      </c>
      <c r="R425" s="36">
        <f t="shared" si="54"/>
        <v>14500</v>
      </c>
      <c r="U425" s="39">
        <f t="shared" si="52"/>
        <v>0</v>
      </c>
      <c r="V425" s="41">
        <f t="shared" si="60"/>
        <v>400000</v>
      </c>
    </row>
    <row r="426" spans="1:22" x14ac:dyDescent="0.25">
      <c r="A426" s="47">
        <v>126</v>
      </c>
      <c r="B426" s="31">
        <f t="shared" si="58"/>
        <v>3</v>
      </c>
      <c r="C426" s="48">
        <f>IF(A426=A425,C425,"")</f>
        <v>45371</v>
      </c>
      <c r="D426" s="47" t="str">
        <f>IF(A426=A425,D425,"")</f>
        <v>Berdus Silvio</v>
      </c>
      <c r="E426" s="31" t="str">
        <f t="shared" si="55"/>
        <v>126Berdus Silvio3</v>
      </c>
      <c r="I426" s="31" t="str">
        <f t="shared" si="59"/>
        <v xml:space="preserve">Sacar tapa de cilindros, carter y pistones. Limpieza profunda. Bruñir cilindros. Control de estados de pistones y pernos de pistones. Cambiar aros, coginetes de biela. Armado total.  </v>
      </c>
      <c r="K426" s="26" t="s">
        <v>545</v>
      </c>
      <c r="P426" s="27">
        <v>1</v>
      </c>
      <c r="Q426" s="34">
        <v>30000</v>
      </c>
      <c r="R426" s="36">
        <f t="shared" si="54"/>
        <v>30000</v>
      </c>
      <c r="U426" s="39">
        <f t="shared" si="52"/>
        <v>0</v>
      </c>
      <c r="V426" s="41">
        <f t="shared" si="60"/>
        <v>400000</v>
      </c>
    </row>
    <row r="427" spans="1:22" x14ac:dyDescent="0.25">
      <c r="A427" s="47">
        <v>126</v>
      </c>
      <c r="B427" s="31">
        <f t="shared" si="58"/>
        <v>4</v>
      </c>
      <c r="C427" s="48">
        <f>IF(A427=A426,C426,"")</f>
        <v>45371</v>
      </c>
      <c r="D427" s="47" t="str">
        <f>IF(A427=A426,D426,"")</f>
        <v>Berdus Silvio</v>
      </c>
      <c r="E427" s="31" t="str">
        <f t="shared" si="55"/>
        <v>126Berdus Silvio4</v>
      </c>
      <c r="I427" s="31" t="str">
        <f t="shared" si="59"/>
        <v xml:space="preserve">Sacar tapa de cilindros, carter y pistones. Limpieza profunda. Bruñir cilindros. Control de estados de pistones y pernos de pistones. Cambiar aros, coginetes de biela. Armado total.   </v>
      </c>
      <c r="K427" s="26" t="s">
        <v>108</v>
      </c>
      <c r="P427" s="27">
        <v>4</v>
      </c>
      <c r="Q427" s="34">
        <v>11250</v>
      </c>
      <c r="R427" s="36">
        <f t="shared" si="54"/>
        <v>45000</v>
      </c>
      <c r="U427" s="39">
        <f t="shared" si="52"/>
        <v>0</v>
      </c>
      <c r="V427" s="41">
        <f t="shared" si="60"/>
        <v>400000</v>
      </c>
    </row>
    <row r="428" spans="1:22" x14ac:dyDescent="0.25">
      <c r="A428" s="47">
        <v>126</v>
      </c>
      <c r="B428" s="31">
        <f t="shared" si="58"/>
        <v>5</v>
      </c>
      <c r="C428" s="48">
        <f>IF(A428=A427,C427,"")</f>
        <v>45371</v>
      </c>
      <c r="D428" s="47" t="str">
        <f>IF(A428=A427,D427,"")</f>
        <v>Berdus Silvio</v>
      </c>
      <c r="E428" s="31" t="str">
        <f t="shared" si="55"/>
        <v>126Berdus Silvio5</v>
      </c>
      <c r="I428" s="31" t="str">
        <f t="shared" si="59"/>
        <v xml:space="preserve">Sacar tapa de cilindros, carter y pistones. Limpieza profunda. Bruñir cilindros. Control de estados de pistones y pernos de pistones. Cambiar aros, coginetes de biela. Armado total.    </v>
      </c>
      <c r="K428" s="26" t="s">
        <v>240</v>
      </c>
      <c r="P428" s="27">
        <v>1</v>
      </c>
      <c r="Q428" s="34">
        <v>7000</v>
      </c>
      <c r="R428" s="36">
        <f t="shared" si="54"/>
        <v>7000</v>
      </c>
      <c r="U428" s="39">
        <f t="shared" si="52"/>
        <v>0</v>
      </c>
      <c r="V428" s="41">
        <f t="shared" si="60"/>
        <v>400000</v>
      </c>
    </row>
    <row r="429" spans="1:22" x14ac:dyDescent="0.25">
      <c r="A429" s="47">
        <v>126</v>
      </c>
      <c r="B429" s="31">
        <f t="shared" si="58"/>
        <v>6</v>
      </c>
      <c r="C429" s="48">
        <f>IF(A429=A428,C428,"")</f>
        <v>45371</v>
      </c>
      <c r="D429" s="47" t="str">
        <f>IF(A429=A428,D428,"")</f>
        <v>Berdus Silvio</v>
      </c>
      <c r="E429" s="31" t="str">
        <f t="shared" si="55"/>
        <v>126Berdus Silvio6</v>
      </c>
      <c r="I429" s="31" t="str">
        <f t="shared" si="59"/>
        <v xml:space="preserve">Sacar tapa de cilindros, carter y pistones. Limpieza profunda. Bruñir cilindros. Control de estados de pistones y pernos de pistones. Cambiar aros, coginetes de biela. Armado total.     </v>
      </c>
      <c r="K429" s="26" t="s">
        <v>123</v>
      </c>
      <c r="P429" s="27">
        <v>1</v>
      </c>
      <c r="Q429" s="34">
        <v>14500</v>
      </c>
      <c r="R429" s="36">
        <f t="shared" si="54"/>
        <v>14500</v>
      </c>
      <c r="U429" s="39">
        <f t="shared" si="52"/>
        <v>0</v>
      </c>
      <c r="V429" s="41">
        <f t="shared" si="60"/>
        <v>400000</v>
      </c>
    </row>
    <row r="430" spans="1:22" x14ac:dyDescent="0.25">
      <c r="A430" s="47">
        <v>127</v>
      </c>
      <c r="B430" s="31">
        <f t="shared" si="58"/>
        <v>1</v>
      </c>
      <c r="C430" s="48">
        <v>45371</v>
      </c>
      <c r="D430" s="47" t="s">
        <v>546</v>
      </c>
      <c r="E430" s="31" t="str">
        <f t="shared" si="55"/>
        <v>127Tosello Gaston1</v>
      </c>
      <c r="G430" s="47" t="s">
        <v>403</v>
      </c>
      <c r="H430" s="26" t="s">
        <v>549</v>
      </c>
      <c r="I430" s="31" t="str">
        <f t="shared" si="59"/>
        <v>Cambiar cuerpo de termostato. Cambiar bieleta de barra estabilizadora lado derecho. Cambiar juego de bujias. Cambiar topes de amortiguadores traseros. Dar ajuste a bolilleros de ruedas traseras. Engrasar los mismos. Colocar liquido refrigerante. Purgado del circuito de refrigeracion. Armado total.</v>
      </c>
      <c r="K430" s="26" t="s">
        <v>547</v>
      </c>
      <c r="P430" s="27">
        <v>1</v>
      </c>
      <c r="Q430" s="34">
        <v>72000</v>
      </c>
      <c r="R430" s="36">
        <f t="shared" si="54"/>
        <v>72000</v>
      </c>
      <c r="S430" s="6">
        <v>1</v>
      </c>
      <c r="T430" s="7">
        <v>170000</v>
      </c>
      <c r="U430" s="39">
        <f t="shared" si="52"/>
        <v>170000</v>
      </c>
      <c r="V430" s="41">
        <f t="shared" si="60"/>
        <v>170000</v>
      </c>
    </row>
    <row r="431" spans="1:22" x14ac:dyDescent="0.25">
      <c r="A431" s="47">
        <v>127</v>
      </c>
      <c r="B431" s="31">
        <f t="shared" si="58"/>
        <v>2</v>
      </c>
      <c r="C431" s="48">
        <f>IF(A431=A430,C430,"")</f>
        <v>45371</v>
      </c>
      <c r="D431" s="47" t="str">
        <f>IF(A431=A430,D430,"")</f>
        <v>Tosello Gaston</v>
      </c>
      <c r="E431" s="31" t="str">
        <f t="shared" si="55"/>
        <v>127Tosello Gaston2</v>
      </c>
      <c r="I431" s="31" t="str">
        <f t="shared" si="59"/>
        <v xml:space="preserve">Cambiar cuerpo de termostato. Cambiar bieleta de barra estabilizadora lado derecho. Cambiar juego de bujias. Cambiar topes de amortiguadores traseros. Dar ajuste a bolilleros de ruedas traseras. Engrasar los mismos. Colocar liquido refrigerante. Purgado del circuito de refrigeracion. Armado total. </v>
      </c>
      <c r="K431" s="26" t="s">
        <v>459</v>
      </c>
      <c r="P431" s="27">
        <v>1</v>
      </c>
      <c r="Q431" s="34">
        <v>28000</v>
      </c>
      <c r="R431" s="36">
        <f t="shared" si="54"/>
        <v>28000</v>
      </c>
      <c r="U431" s="39">
        <f t="shared" si="52"/>
        <v>0</v>
      </c>
      <c r="V431" s="41">
        <f t="shared" si="60"/>
        <v>170000</v>
      </c>
    </row>
    <row r="432" spans="1:22" x14ac:dyDescent="0.25">
      <c r="A432" s="47">
        <v>127</v>
      </c>
      <c r="B432" s="31">
        <f t="shared" si="58"/>
        <v>3</v>
      </c>
      <c r="C432" s="48">
        <f>IF(A432=A431,C431,"")</f>
        <v>45371</v>
      </c>
      <c r="D432" s="47" t="str">
        <f>IF(A432=A431,D431,"")</f>
        <v>Tosello Gaston</v>
      </c>
      <c r="E432" s="31" t="str">
        <f t="shared" si="55"/>
        <v>127Tosello Gaston3</v>
      </c>
      <c r="I432" s="31" t="str">
        <f t="shared" si="59"/>
        <v xml:space="preserve">Cambiar cuerpo de termostato. Cambiar bieleta de barra estabilizadora lado derecho. Cambiar juego de bujias. Cambiar topes de amortiguadores traseros. Dar ajuste a bolilleros de ruedas traseras. Engrasar los mismos. Colocar liquido refrigerante. Purgado del circuito de refrigeracion. Armado total.  </v>
      </c>
      <c r="K432" s="26" t="s">
        <v>548</v>
      </c>
      <c r="P432" s="27">
        <v>4</v>
      </c>
      <c r="Q432" s="34">
        <v>12500</v>
      </c>
      <c r="R432" s="36">
        <f t="shared" si="54"/>
        <v>50000</v>
      </c>
      <c r="U432" s="39">
        <f t="shared" si="52"/>
        <v>0</v>
      </c>
      <c r="V432" s="41">
        <f t="shared" si="60"/>
        <v>170000</v>
      </c>
    </row>
    <row r="433" spans="1:22" x14ac:dyDescent="0.25">
      <c r="A433" s="47">
        <v>127</v>
      </c>
      <c r="B433" s="31">
        <f t="shared" si="58"/>
        <v>4</v>
      </c>
      <c r="C433" s="48">
        <f>IF(A433=A432,C432,"")</f>
        <v>45371</v>
      </c>
      <c r="D433" s="47" t="str">
        <f>IF(A433=A432,D432,"")</f>
        <v>Tosello Gaston</v>
      </c>
      <c r="E433" s="31" t="str">
        <f t="shared" si="55"/>
        <v>127Tosello Gaston4</v>
      </c>
      <c r="I433" s="31" t="str">
        <f t="shared" si="59"/>
        <v xml:space="preserve">Cambiar cuerpo de termostato. Cambiar bieleta de barra estabilizadora lado derecho. Cambiar juego de bujias. Cambiar topes de amortiguadores traseros. Dar ajuste a bolilleros de ruedas traseras. Engrasar los mismos. Colocar liquido refrigerante. Purgado del circuito de refrigeracion. Armado total.   </v>
      </c>
      <c r="K433" s="26" t="s">
        <v>528</v>
      </c>
      <c r="P433" s="27">
        <v>4</v>
      </c>
      <c r="Q433" s="34">
        <v>12500</v>
      </c>
      <c r="R433" s="36">
        <f t="shared" si="54"/>
        <v>50000</v>
      </c>
      <c r="U433" s="39">
        <f t="shared" si="52"/>
        <v>0</v>
      </c>
      <c r="V433" s="41">
        <f t="shared" si="60"/>
        <v>170000</v>
      </c>
    </row>
    <row r="434" spans="1:22" x14ac:dyDescent="0.25">
      <c r="A434" s="47">
        <v>128</v>
      </c>
      <c r="B434" s="31">
        <f t="shared" si="58"/>
        <v>1</v>
      </c>
      <c r="C434" s="48">
        <v>45376</v>
      </c>
      <c r="D434" s="47" t="s">
        <v>550</v>
      </c>
      <c r="E434" s="31" t="str">
        <f t="shared" si="55"/>
        <v>128Greco Fer1</v>
      </c>
      <c r="G434" s="47" t="s">
        <v>352</v>
      </c>
      <c r="H434" s="26" t="s">
        <v>551</v>
      </c>
      <c r="I434" s="31" t="str">
        <f t="shared" si="59"/>
        <v>Desarmar distribucion completa. Cambiar kit, bomba de agua, correas poly-v y liquido refrigerante. Purgado del circuito de refrigeracion. Puesta a punto. Armado total.</v>
      </c>
      <c r="K434" s="26" t="s">
        <v>552</v>
      </c>
      <c r="P434" s="27">
        <v>1</v>
      </c>
      <c r="Q434" s="34">
        <v>178000</v>
      </c>
      <c r="R434" s="36">
        <f t="shared" si="54"/>
        <v>178000</v>
      </c>
      <c r="S434" s="6">
        <v>1</v>
      </c>
      <c r="T434" s="7">
        <v>90000</v>
      </c>
      <c r="U434" s="39">
        <f t="shared" si="52"/>
        <v>90000</v>
      </c>
      <c r="V434" s="41">
        <f t="shared" si="60"/>
        <v>90000</v>
      </c>
    </row>
    <row r="435" spans="1:22" x14ac:dyDescent="0.25">
      <c r="A435" s="47">
        <v>128</v>
      </c>
      <c r="B435" s="31">
        <f t="shared" si="58"/>
        <v>2</v>
      </c>
      <c r="C435" s="48">
        <f>IF(A435=A434,C434,"")</f>
        <v>45376</v>
      </c>
      <c r="D435" s="47" t="str">
        <f>IF(A435=A434,D434,"")</f>
        <v>Greco Fer</v>
      </c>
      <c r="E435" s="31" t="str">
        <f t="shared" si="55"/>
        <v>128Greco Fer2</v>
      </c>
      <c r="I435" s="31" t="str">
        <f t="shared" si="59"/>
        <v xml:space="preserve">Desarmar distribucion completa. Cambiar kit, bomba de agua, correas poly-v y liquido refrigerante. Purgado del circuito de refrigeracion. Puesta a punto. Armado total. </v>
      </c>
      <c r="K435" s="26" t="s">
        <v>409</v>
      </c>
      <c r="P435" s="27">
        <v>2</v>
      </c>
      <c r="Q435" s="34">
        <v>11500</v>
      </c>
      <c r="R435" s="36">
        <f t="shared" si="54"/>
        <v>23000</v>
      </c>
      <c r="U435" s="39">
        <f t="shared" si="52"/>
        <v>0</v>
      </c>
      <c r="V435" s="41">
        <f t="shared" si="60"/>
        <v>90000</v>
      </c>
    </row>
    <row r="436" spans="1:22" x14ac:dyDescent="0.25">
      <c r="A436" s="47">
        <v>128</v>
      </c>
      <c r="B436" s="31">
        <f t="shared" si="58"/>
        <v>3</v>
      </c>
      <c r="C436" s="48">
        <f>IF(A436=A435,C435,"")</f>
        <v>45376</v>
      </c>
      <c r="D436" s="47" t="str">
        <f>IF(A436=A435,D435,"")</f>
        <v>Greco Fer</v>
      </c>
      <c r="E436" s="31" t="str">
        <f t="shared" si="55"/>
        <v>128Greco Fer3</v>
      </c>
      <c r="I436" s="31" t="str">
        <f t="shared" si="59"/>
        <v xml:space="preserve">Desarmar distribucion completa. Cambiar kit, bomba de agua, correas poly-v y liquido refrigerante. Purgado del circuito de refrigeracion. Puesta a punto. Armado total.  </v>
      </c>
      <c r="K436" s="26" t="s">
        <v>410</v>
      </c>
      <c r="P436" s="27">
        <v>1</v>
      </c>
      <c r="Q436" s="34">
        <v>4000</v>
      </c>
      <c r="R436" s="36">
        <f t="shared" si="54"/>
        <v>4000</v>
      </c>
      <c r="U436" s="39">
        <f t="shared" si="52"/>
        <v>0</v>
      </c>
      <c r="V436" s="41">
        <f t="shared" si="60"/>
        <v>90000</v>
      </c>
    </row>
    <row r="437" spans="1:22" x14ac:dyDescent="0.25">
      <c r="A437" s="47">
        <v>129</v>
      </c>
      <c r="B437" s="31">
        <f t="shared" si="58"/>
        <v>1</v>
      </c>
      <c r="C437" s="48">
        <v>45378</v>
      </c>
      <c r="D437" s="47" t="s">
        <v>553</v>
      </c>
      <c r="E437" s="31" t="str">
        <f t="shared" si="55"/>
        <v>129Lopez Yanina1</v>
      </c>
      <c r="G437" s="47" t="s">
        <v>369</v>
      </c>
      <c r="H437" s="26" t="s">
        <v>440</v>
      </c>
      <c r="I437" s="31" t="str">
        <f t="shared" si="59"/>
        <v>Service completo. Cambio de aceite y filtros. Control general de mas de 50 puntos del vehiculo.</v>
      </c>
      <c r="K437" s="26" t="s">
        <v>91</v>
      </c>
      <c r="P437" s="27">
        <v>1</v>
      </c>
      <c r="Q437" s="34">
        <v>46000</v>
      </c>
      <c r="R437" s="36">
        <f t="shared" si="54"/>
        <v>46000</v>
      </c>
      <c r="S437" s="6">
        <v>1</v>
      </c>
      <c r="T437" s="7">
        <v>80000</v>
      </c>
      <c r="U437" s="39">
        <f t="shared" si="52"/>
        <v>80000</v>
      </c>
      <c r="V437" s="41">
        <f t="shared" si="60"/>
        <v>80000</v>
      </c>
    </row>
    <row r="438" spans="1:22" x14ac:dyDescent="0.25">
      <c r="A438" s="47">
        <v>129</v>
      </c>
      <c r="B438" s="31">
        <f t="shared" si="58"/>
        <v>2</v>
      </c>
      <c r="C438" s="48">
        <f>IF(A438=A437,C437,"")</f>
        <v>45378</v>
      </c>
      <c r="D438" s="47" t="str">
        <f>IF(A438=A437,D437,"")</f>
        <v>Lopez Yanina</v>
      </c>
      <c r="E438" s="31" t="str">
        <f t="shared" si="55"/>
        <v>129Lopez Yanina2</v>
      </c>
      <c r="I438" s="31" t="str">
        <f t="shared" si="59"/>
        <v xml:space="preserve">Service completo. Cambio de aceite y filtros. Control general de mas de 50 puntos del vehiculo. </v>
      </c>
      <c r="K438" s="26" t="s">
        <v>289</v>
      </c>
      <c r="P438" s="27">
        <v>4</v>
      </c>
      <c r="Q438" s="34">
        <v>16550</v>
      </c>
      <c r="R438" s="36">
        <f t="shared" si="54"/>
        <v>66200</v>
      </c>
      <c r="U438" s="39">
        <f t="shared" si="52"/>
        <v>0</v>
      </c>
      <c r="V438" s="41">
        <f t="shared" si="60"/>
        <v>80000</v>
      </c>
    </row>
    <row r="439" spans="1:22" x14ac:dyDescent="0.25">
      <c r="A439" s="47">
        <v>130</v>
      </c>
      <c r="B439" s="31">
        <f t="shared" si="58"/>
        <v>1</v>
      </c>
      <c r="C439" s="48">
        <v>45378</v>
      </c>
      <c r="D439" s="47" t="s">
        <v>554</v>
      </c>
      <c r="E439" s="31" t="str">
        <f t="shared" si="55"/>
        <v>130Oviedo Jose Luis1</v>
      </c>
      <c r="G439" s="47" t="s">
        <v>555</v>
      </c>
      <c r="H439" s="26" t="s">
        <v>556</v>
      </c>
      <c r="I439" s="31" t="str">
        <f t="shared" si="59"/>
        <v>Service completo. Cambio de aceite y filtros. Control general de mas de 50 puntos del vehiculo. Desarmar distribucion completa. Cambiar kit, bomba de agua, correa poly-v y liquido refrigerante. Purgado del circuito de refrigeracion. Puesta a punto. Armado total.</v>
      </c>
      <c r="K439" s="26" t="s">
        <v>91</v>
      </c>
      <c r="P439" s="27">
        <v>1</v>
      </c>
      <c r="Q439" s="34">
        <v>55000</v>
      </c>
      <c r="R439" s="36">
        <f t="shared" si="54"/>
        <v>55000</v>
      </c>
      <c r="S439" s="6">
        <v>1</v>
      </c>
      <c r="T439" s="7">
        <v>200000</v>
      </c>
      <c r="U439" s="39">
        <f t="shared" si="52"/>
        <v>200000</v>
      </c>
      <c r="V439" s="41">
        <f t="shared" si="60"/>
        <v>200000</v>
      </c>
    </row>
    <row r="440" spans="1:22" x14ac:dyDescent="0.25">
      <c r="A440" s="47">
        <v>130</v>
      </c>
      <c r="B440" s="31">
        <f t="shared" si="58"/>
        <v>2</v>
      </c>
      <c r="C440" s="48">
        <f t="shared" ref="C440:C445" si="61">IF(A440=A439,C439,"")</f>
        <v>45378</v>
      </c>
      <c r="D440" s="47" t="str">
        <f t="shared" ref="D440:D445" si="62">IF(A440=A439,D439,"")</f>
        <v>Oviedo Jose Luis</v>
      </c>
      <c r="E440" s="31" t="str">
        <f t="shared" si="55"/>
        <v>130Oviedo Jose Luis2</v>
      </c>
      <c r="I440" s="31" t="str">
        <f t="shared" si="59"/>
        <v xml:space="preserve">Service completo. Cambio de aceite y filtros. Control general de mas de 50 puntos del vehiculo. Desarmar distribucion completa. Cambiar kit, bomba de agua, correa poly-v y liquido refrigerante. Purgado del circuito de refrigeracion. Puesta a punto. Armado total. </v>
      </c>
      <c r="K440" s="26" t="s">
        <v>90</v>
      </c>
      <c r="P440" s="27">
        <v>5</v>
      </c>
      <c r="Q440" s="34">
        <v>16550</v>
      </c>
      <c r="R440" s="36">
        <f t="shared" si="54"/>
        <v>82750</v>
      </c>
      <c r="U440" s="39">
        <f t="shared" si="52"/>
        <v>0</v>
      </c>
      <c r="V440" s="41">
        <f t="shared" si="60"/>
        <v>200000</v>
      </c>
    </row>
    <row r="441" spans="1:22" x14ac:dyDescent="0.25">
      <c r="A441" s="47">
        <v>130</v>
      </c>
      <c r="B441" s="31">
        <f t="shared" si="58"/>
        <v>3</v>
      </c>
      <c r="C441" s="48">
        <f t="shared" si="61"/>
        <v>45378</v>
      </c>
      <c r="D441" s="47" t="str">
        <f t="shared" si="62"/>
        <v>Oviedo Jose Luis</v>
      </c>
      <c r="E441" s="31" t="str">
        <f t="shared" si="55"/>
        <v>130Oviedo Jose Luis3</v>
      </c>
      <c r="I441" s="31" t="str">
        <f t="shared" si="59"/>
        <v xml:space="preserve">Service completo. Cambio de aceite y filtros. Control general de mas de 50 puntos del vehiculo. Desarmar distribucion completa. Cambiar kit, bomba de agua, correa poly-v y liquido refrigerante. Purgado del circuito de refrigeracion. Puesta a punto. Armado total.  </v>
      </c>
      <c r="K441" s="26" t="s">
        <v>341</v>
      </c>
      <c r="P441" s="27">
        <v>1</v>
      </c>
      <c r="Q441" s="34">
        <v>325000</v>
      </c>
      <c r="R441" s="36">
        <f t="shared" si="54"/>
        <v>325000</v>
      </c>
      <c r="U441" s="39">
        <f t="shared" si="52"/>
        <v>0</v>
      </c>
      <c r="V441" s="41">
        <f t="shared" si="60"/>
        <v>200000</v>
      </c>
    </row>
    <row r="442" spans="1:22" x14ac:dyDescent="0.25">
      <c r="A442" s="47">
        <v>130</v>
      </c>
      <c r="B442" s="31">
        <f t="shared" si="58"/>
        <v>4</v>
      </c>
      <c r="C442" s="48">
        <f t="shared" si="61"/>
        <v>45378</v>
      </c>
      <c r="D442" s="47" t="str">
        <f t="shared" si="62"/>
        <v>Oviedo Jose Luis</v>
      </c>
      <c r="E442" s="31" t="str">
        <f t="shared" si="55"/>
        <v>130Oviedo Jose Luis4</v>
      </c>
      <c r="I442" s="31" t="str">
        <f t="shared" si="59"/>
        <v xml:space="preserve">Service completo. Cambio de aceite y filtros. Control general de mas de 50 puntos del vehiculo. Desarmar distribucion completa. Cambiar kit, bomba de agua, correa poly-v y liquido refrigerante. Purgado del circuito de refrigeracion. Puesta a punto. Armado total.   </v>
      </c>
      <c r="K442" s="26" t="s">
        <v>69</v>
      </c>
      <c r="P442" s="27">
        <v>1</v>
      </c>
      <c r="Q442" s="34">
        <v>78000</v>
      </c>
      <c r="R442" s="36">
        <f t="shared" si="54"/>
        <v>78000</v>
      </c>
      <c r="U442" s="39">
        <f t="shared" si="52"/>
        <v>0</v>
      </c>
      <c r="V442" s="41">
        <f t="shared" si="60"/>
        <v>200000</v>
      </c>
    </row>
    <row r="443" spans="1:22" x14ac:dyDescent="0.25">
      <c r="A443" s="47">
        <v>130</v>
      </c>
      <c r="B443" s="31">
        <f t="shared" si="58"/>
        <v>5</v>
      </c>
      <c r="C443" s="48">
        <f t="shared" si="61"/>
        <v>45378</v>
      </c>
      <c r="D443" s="47" t="str">
        <f t="shared" si="62"/>
        <v>Oviedo Jose Luis</v>
      </c>
      <c r="E443" s="31" t="str">
        <f t="shared" si="55"/>
        <v>130Oviedo Jose Luis5</v>
      </c>
      <c r="I443" s="31" t="str">
        <f t="shared" si="59"/>
        <v xml:space="preserve">Service completo. Cambio de aceite y filtros. Control general de mas de 50 puntos del vehiculo. Desarmar distribucion completa. Cambiar kit, bomba de agua, correa poly-v y liquido refrigerante. Purgado del circuito de refrigeracion. Puesta a punto. Armado total.    </v>
      </c>
      <c r="K443" s="26" t="s">
        <v>322</v>
      </c>
      <c r="P443" s="27">
        <v>1</v>
      </c>
      <c r="Q443" s="34">
        <v>38000</v>
      </c>
      <c r="R443" s="36">
        <f t="shared" si="54"/>
        <v>38000</v>
      </c>
      <c r="U443" s="39">
        <f t="shared" si="52"/>
        <v>0</v>
      </c>
      <c r="V443" s="41">
        <f t="shared" si="60"/>
        <v>200000</v>
      </c>
    </row>
    <row r="444" spans="1:22" x14ac:dyDescent="0.25">
      <c r="A444" s="47">
        <v>130</v>
      </c>
      <c r="B444" s="31">
        <f t="shared" si="58"/>
        <v>6</v>
      </c>
      <c r="C444" s="48">
        <f t="shared" si="61"/>
        <v>45378</v>
      </c>
      <c r="D444" s="47" t="str">
        <f t="shared" si="62"/>
        <v>Oviedo Jose Luis</v>
      </c>
      <c r="E444" s="31" t="str">
        <f t="shared" si="55"/>
        <v>130Oviedo Jose Luis6</v>
      </c>
      <c r="I444" s="31" t="str">
        <f t="shared" si="59"/>
        <v xml:space="preserve">Service completo. Cambio de aceite y filtros. Control general de mas de 50 puntos del vehiculo. Desarmar distribucion completa. Cambiar kit, bomba de agua, correa poly-v y liquido refrigerante. Purgado del circuito de refrigeracion. Puesta a punto. Armado total.     </v>
      </c>
      <c r="K444" s="26" t="s">
        <v>409</v>
      </c>
      <c r="P444" s="27">
        <v>2</v>
      </c>
      <c r="Q444" s="34">
        <v>11500</v>
      </c>
      <c r="R444" s="36">
        <f t="shared" si="54"/>
        <v>23000</v>
      </c>
      <c r="U444" s="39">
        <f t="shared" si="52"/>
        <v>0</v>
      </c>
      <c r="V444" s="41">
        <f t="shared" si="60"/>
        <v>200000</v>
      </c>
    </row>
    <row r="445" spans="1:22" x14ac:dyDescent="0.25">
      <c r="A445" s="47">
        <v>130</v>
      </c>
      <c r="B445" s="31">
        <f t="shared" si="58"/>
        <v>7</v>
      </c>
      <c r="C445" s="48">
        <f t="shared" si="61"/>
        <v>45378</v>
      </c>
      <c r="D445" s="47" t="str">
        <f t="shared" si="62"/>
        <v>Oviedo Jose Luis</v>
      </c>
      <c r="E445" s="31" t="str">
        <f t="shared" si="55"/>
        <v>130Oviedo Jose Luis7</v>
      </c>
      <c r="I445" s="31" t="str">
        <f t="shared" si="59"/>
        <v xml:space="preserve">Service completo. Cambio de aceite y filtros. Control general de mas de 50 puntos del vehiculo. Desarmar distribucion completa. Cambiar kit, bomba de agua, correa poly-v y liquido refrigerante. Purgado del circuito de refrigeracion. Puesta a punto. Armado total.      </v>
      </c>
      <c r="K445" s="26" t="s">
        <v>410</v>
      </c>
      <c r="P445" s="27">
        <v>1</v>
      </c>
      <c r="Q445" s="34">
        <v>4000</v>
      </c>
      <c r="R445" s="36">
        <f t="shared" si="54"/>
        <v>4000</v>
      </c>
      <c r="U445" s="39">
        <f t="shared" si="52"/>
        <v>0</v>
      </c>
      <c r="V445" s="41">
        <f t="shared" si="60"/>
        <v>200000</v>
      </c>
    </row>
    <row r="446" spans="1:22" x14ac:dyDescent="0.25">
      <c r="A446" s="47">
        <v>131</v>
      </c>
      <c r="B446" s="31">
        <f t="shared" si="58"/>
        <v>1</v>
      </c>
      <c r="C446" s="48">
        <v>45385</v>
      </c>
      <c r="D446" s="47" t="s">
        <v>527</v>
      </c>
      <c r="E446" s="31" t="str">
        <f t="shared" si="55"/>
        <v>131Medina Javier1</v>
      </c>
      <c r="G446" s="47" t="s">
        <v>403</v>
      </c>
      <c r="H446" s="26" t="s">
        <v>556</v>
      </c>
      <c r="I446" s="31" t="str">
        <f t="shared" si="59"/>
        <v>Service completo. Cambio de aceite y filtros. Control general de mas de 50 puntos del vehiculo. Desarmar distribucion completa. Cambiar kit, bomba de agua, correa poly-v y liquido refrigerante. Purgado del circuito de refrigeracion. Puesta a punto. Armado total.</v>
      </c>
      <c r="K446" s="26" t="s">
        <v>91</v>
      </c>
      <c r="P446" s="27">
        <v>1</v>
      </c>
      <c r="Q446" s="34">
        <v>42000</v>
      </c>
      <c r="R446" s="36">
        <f t="shared" si="54"/>
        <v>42000</v>
      </c>
      <c r="S446" s="6">
        <v>1</v>
      </c>
      <c r="T446" s="7">
        <v>145000</v>
      </c>
      <c r="U446" s="39">
        <f t="shared" si="52"/>
        <v>145000</v>
      </c>
      <c r="V446" s="41">
        <f t="shared" si="60"/>
        <v>145000</v>
      </c>
    </row>
    <row r="447" spans="1:22" x14ac:dyDescent="0.25">
      <c r="A447" s="47">
        <v>131</v>
      </c>
      <c r="B447" s="31">
        <f t="shared" si="58"/>
        <v>2</v>
      </c>
      <c r="C447" s="48">
        <f>IF(A447=A446,C446,"")</f>
        <v>45385</v>
      </c>
      <c r="D447" s="47" t="str">
        <f>IF(A447=A446,D446,"")</f>
        <v>Medina Javier</v>
      </c>
      <c r="E447" s="31" t="str">
        <f t="shared" si="55"/>
        <v>131Medina Javier2</v>
      </c>
      <c r="I447" s="31" t="str">
        <f t="shared" si="59"/>
        <v xml:space="preserve">Service completo. Cambio de aceite y filtros. Control general de mas de 50 puntos del vehiculo. Desarmar distribucion completa. Cambiar kit, bomba de agua, correa poly-v y liquido refrigerante. Purgado del circuito de refrigeracion. Puesta a punto. Armado total. </v>
      </c>
      <c r="K447" s="26" t="s">
        <v>108</v>
      </c>
      <c r="P447" s="27">
        <v>4</v>
      </c>
      <c r="Q447" s="34">
        <v>11250</v>
      </c>
      <c r="R447" s="36">
        <f t="shared" si="54"/>
        <v>45000</v>
      </c>
      <c r="U447" s="39">
        <f t="shared" si="52"/>
        <v>0</v>
      </c>
      <c r="V447" s="41">
        <f t="shared" si="60"/>
        <v>145000</v>
      </c>
    </row>
    <row r="448" spans="1:22" x14ac:dyDescent="0.25">
      <c r="A448" s="47">
        <v>131</v>
      </c>
      <c r="B448" s="31">
        <f t="shared" si="58"/>
        <v>3</v>
      </c>
      <c r="C448" s="48">
        <f>IF(A448=A447,C447,"")</f>
        <v>45385</v>
      </c>
      <c r="D448" s="47" t="str">
        <f>IF(A448=A447,D447,"")</f>
        <v>Medina Javier</v>
      </c>
      <c r="E448" s="31" t="str">
        <f t="shared" si="55"/>
        <v>131Medina Javier3</v>
      </c>
      <c r="I448" s="31" t="str">
        <f t="shared" si="59"/>
        <v xml:space="preserve">Service completo. Cambio de aceite y filtros. Control general de mas de 50 puntos del vehiculo. Desarmar distribucion completa. Cambiar kit, bomba de agua, correa poly-v y liquido refrigerante. Purgado del circuito de refrigeracion. Puesta a punto. Armado total.  </v>
      </c>
      <c r="K448" s="26" t="s">
        <v>552</v>
      </c>
      <c r="P448" s="27">
        <v>1</v>
      </c>
      <c r="Q448" s="34">
        <v>176000</v>
      </c>
      <c r="R448" s="36">
        <f t="shared" si="54"/>
        <v>176000</v>
      </c>
      <c r="U448" s="39">
        <f t="shared" si="52"/>
        <v>0</v>
      </c>
      <c r="V448" s="41">
        <f t="shared" si="60"/>
        <v>145000</v>
      </c>
    </row>
    <row r="449" spans="1:22" x14ac:dyDescent="0.25">
      <c r="A449" s="47">
        <v>131</v>
      </c>
      <c r="B449" s="31">
        <f t="shared" si="58"/>
        <v>4</v>
      </c>
      <c r="C449" s="48">
        <f>IF(A449=A448,C448,"")</f>
        <v>45385</v>
      </c>
      <c r="D449" s="47" t="str">
        <f>IF(A449=A448,D448,"")</f>
        <v>Medina Javier</v>
      </c>
      <c r="E449" s="31" t="str">
        <f t="shared" si="55"/>
        <v>131Medina Javier4</v>
      </c>
      <c r="I449" s="31" t="str">
        <f t="shared" si="59"/>
        <v xml:space="preserve">Service completo. Cambio de aceite y filtros. Control general de mas de 50 puntos del vehiculo. Desarmar distribucion completa. Cambiar kit, bomba de agua, correa poly-v y liquido refrigerante. Purgado del circuito de refrigeracion. Puesta a punto. Armado total.   </v>
      </c>
      <c r="K449" s="26" t="s">
        <v>409</v>
      </c>
      <c r="P449" s="27">
        <v>2</v>
      </c>
      <c r="Q449" s="34">
        <v>11500</v>
      </c>
      <c r="R449" s="36">
        <f t="shared" si="54"/>
        <v>23000</v>
      </c>
      <c r="U449" s="39">
        <f t="shared" si="52"/>
        <v>0</v>
      </c>
      <c r="V449" s="41">
        <f t="shared" si="60"/>
        <v>145000</v>
      </c>
    </row>
    <row r="450" spans="1:22" x14ac:dyDescent="0.25">
      <c r="A450" s="47">
        <v>131</v>
      </c>
      <c r="B450" s="31">
        <f t="shared" si="58"/>
        <v>5</v>
      </c>
      <c r="C450" s="48">
        <f>IF(A450=A449,C449,"")</f>
        <v>45385</v>
      </c>
      <c r="D450" s="47" t="str">
        <f>IF(A450=A449,D449,"")</f>
        <v>Medina Javier</v>
      </c>
      <c r="E450" s="31" t="str">
        <f t="shared" si="55"/>
        <v>131Medina Javier5</v>
      </c>
      <c r="I450" s="31" t="str">
        <f t="shared" si="59"/>
        <v xml:space="preserve">Service completo. Cambio de aceite y filtros. Control general de mas de 50 puntos del vehiculo. Desarmar distribucion completa. Cambiar kit, bomba de agua, correa poly-v y liquido refrigerante. Purgado del circuito de refrigeracion. Puesta a punto. Armado total.    </v>
      </c>
      <c r="K450" s="26" t="s">
        <v>410</v>
      </c>
      <c r="P450" s="27">
        <v>1</v>
      </c>
      <c r="Q450" s="34">
        <v>4000</v>
      </c>
      <c r="R450" s="36">
        <f t="shared" si="54"/>
        <v>4000</v>
      </c>
      <c r="U450" s="39">
        <f t="shared" si="52"/>
        <v>0</v>
      </c>
      <c r="V450" s="41">
        <f t="shared" si="60"/>
        <v>145000</v>
      </c>
    </row>
    <row r="451" spans="1:22" x14ac:dyDescent="0.25">
      <c r="A451" s="47">
        <v>132</v>
      </c>
      <c r="B451" s="31">
        <f t="shared" si="58"/>
        <v>1</v>
      </c>
      <c r="C451" s="48">
        <v>45388</v>
      </c>
      <c r="D451" s="47" t="s">
        <v>558</v>
      </c>
      <c r="E451" s="31" t="str">
        <f t="shared" si="55"/>
        <v>132Properzi Juan Carlos1</v>
      </c>
      <c r="G451" s="47" t="s">
        <v>557</v>
      </c>
      <c r="H451" s="26" t="s">
        <v>556</v>
      </c>
      <c r="I451" s="31" t="str">
        <f t="shared" si="59"/>
        <v>Service completo. Cambio de aceite y filtros. Control general de mas de 50 puntos del vehiculo. Desarmar distribucion completa. Cambiar kit, bomba de agua, correa poly-v y liquido refrigerante. Purgado del circuito de refrigeracion. Puesta a punto. Armado total.</v>
      </c>
      <c r="K451" s="26" t="s">
        <v>91</v>
      </c>
      <c r="P451" s="27">
        <v>1</v>
      </c>
      <c r="Q451" s="34">
        <v>34000</v>
      </c>
      <c r="R451" s="36">
        <f t="shared" si="54"/>
        <v>34000</v>
      </c>
      <c r="S451" s="6">
        <v>1</v>
      </c>
      <c r="T451" s="7">
        <v>236100</v>
      </c>
      <c r="U451" s="39">
        <f t="shared" si="52"/>
        <v>236100</v>
      </c>
      <c r="V451" s="41">
        <f t="shared" si="60"/>
        <v>236100</v>
      </c>
    </row>
    <row r="452" spans="1:22" x14ac:dyDescent="0.25">
      <c r="A452" s="47">
        <v>132</v>
      </c>
      <c r="B452" s="31">
        <f t="shared" si="58"/>
        <v>2</v>
      </c>
      <c r="C452" s="48">
        <f>IF(A452=A451,C451,"")</f>
        <v>45388</v>
      </c>
      <c r="D452" s="47" t="str">
        <f>IF(A452=A451,D451,"")</f>
        <v>Properzi Juan Carlos</v>
      </c>
      <c r="E452" s="31" t="str">
        <f t="shared" si="55"/>
        <v>132Properzi Juan Carlos2</v>
      </c>
      <c r="I452" s="31" t="str">
        <f t="shared" si="59"/>
        <v xml:space="preserve">Service completo. Cambio de aceite y filtros. Control general de mas de 50 puntos del vehiculo. Desarmar distribucion completa. Cambiar kit, bomba de agua, correa poly-v y liquido refrigerante. Purgado del circuito de refrigeracion. Puesta a punto. Armado total. </v>
      </c>
      <c r="K452" s="26" t="s">
        <v>108</v>
      </c>
      <c r="P452" s="27">
        <v>4</v>
      </c>
      <c r="Q452" s="34">
        <v>11250</v>
      </c>
      <c r="R452" s="36">
        <f t="shared" si="54"/>
        <v>45000</v>
      </c>
      <c r="U452" s="39">
        <f t="shared" ref="U452:U515" si="63">+T452*S452</f>
        <v>0</v>
      </c>
      <c r="V452" s="41">
        <f t="shared" si="60"/>
        <v>236100</v>
      </c>
    </row>
    <row r="453" spans="1:22" x14ac:dyDescent="0.25">
      <c r="A453" s="47">
        <v>132</v>
      </c>
      <c r="B453" s="31">
        <f t="shared" si="58"/>
        <v>3</v>
      </c>
      <c r="C453" s="48">
        <f>IF(A453=A452,C452,"")</f>
        <v>45388</v>
      </c>
      <c r="D453" s="47" t="str">
        <f>IF(A453=A452,D452,"")</f>
        <v>Properzi Juan Carlos</v>
      </c>
      <c r="E453" s="31" t="str">
        <f t="shared" si="55"/>
        <v>132Properzi Juan Carlos3</v>
      </c>
      <c r="I453" s="31" t="str">
        <f t="shared" si="59"/>
        <v xml:space="preserve">Service completo. Cambio de aceite y filtros. Control general de mas de 50 puntos del vehiculo. Desarmar distribucion completa. Cambiar kit, bomba de agua, correa poly-v y liquido refrigerante. Purgado del circuito de refrigeracion. Puesta a punto. Armado total.  </v>
      </c>
      <c r="K453" s="26" t="s">
        <v>408</v>
      </c>
      <c r="P453" s="27">
        <v>1</v>
      </c>
      <c r="Q453" s="34">
        <v>125000</v>
      </c>
      <c r="R453" s="36">
        <f t="shared" si="54"/>
        <v>125000</v>
      </c>
      <c r="U453" s="39">
        <f t="shared" si="63"/>
        <v>0</v>
      </c>
      <c r="V453" s="41">
        <f t="shared" si="60"/>
        <v>236100</v>
      </c>
    </row>
    <row r="454" spans="1:22" x14ac:dyDescent="0.25">
      <c r="A454" s="47">
        <v>132</v>
      </c>
      <c r="B454" s="31">
        <f t="shared" si="58"/>
        <v>4</v>
      </c>
      <c r="C454" s="48">
        <f>IF(A454=A453,C453,"")</f>
        <v>45388</v>
      </c>
      <c r="D454" s="47" t="str">
        <f>IF(A454=A453,D453,"")</f>
        <v>Properzi Juan Carlos</v>
      </c>
      <c r="E454" s="31" t="str">
        <f t="shared" si="55"/>
        <v>132Properzi Juan Carlos4</v>
      </c>
      <c r="I454" s="31" t="str">
        <f t="shared" si="59"/>
        <v xml:space="preserve">Service completo. Cambio de aceite y filtros. Control general de mas de 50 puntos del vehiculo. Desarmar distribucion completa. Cambiar kit, bomba de agua, correa poly-v y liquido refrigerante. Purgado del circuito de refrigeracion. Puesta a punto. Armado total.   </v>
      </c>
      <c r="K454" s="26" t="s">
        <v>322</v>
      </c>
      <c r="P454" s="27">
        <v>1</v>
      </c>
      <c r="Q454" s="34">
        <v>29000</v>
      </c>
      <c r="R454" s="36">
        <f t="shared" si="54"/>
        <v>29000</v>
      </c>
      <c r="U454" s="39">
        <f t="shared" si="63"/>
        <v>0</v>
      </c>
      <c r="V454" s="41">
        <f t="shared" si="60"/>
        <v>236100</v>
      </c>
    </row>
    <row r="455" spans="1:22" x14ac:dyDescent="0.25">
      <c r="A455" s="47">
        <v>132</v>
      </c>
      <c r="B455" s="31">
        <f t="shared" si="58"/>
        <v>5</v>
      </c>
      <c r="C455" s="48">
        <f>IF(A455=A454,C454,"")</f>
        <v>45388</v>
      </c>
      <c r="D455" s="47" t="str">
        <f>IF(A455=A454,D454,"")</f>
        <v>Properzi Juan Carlos</v>
      </c>
      <c r="E455" s="31" t="str">
        <f t="shared" si="55"/>
        <v>132Properzi Juan Carlos5</v>
      </c>
      <c r="I455" s="31" t="str">
        <f t="shared" si="59"/>
        <v xml:space="preserve">Service completo. Cambio de aceite y filtros. Control general de mas de 50 puntos del vehiculo. Desarmar distribucion completa. Cambiar kit, bomba de agua, correa poly-v y liquido refrigerante. Purgado del circuito de refrigeracion. Puesta a punto. Armado total.    </v>
      </c>
      <c r="K455" s="26" t="s">
        <v>409</v>
      </c>
      <c r="P455" s="27">
        <v>2</v>
      </c>
      <c r="Q455" s="34">
        <v>11500</v>
      </c>
      <c r="R455" s="36">
        <f t="shared" si="54"/>
        <v>23000</v>
      </c>
      <c r="U455" s="39">
        <f t="shared" si="63"/>
        <v>0</v>
      </c>
      <c r="V455" s="41">
        <f t="shared" si="60"/>
        <v>236100</v>
      </c>
    </row>
    <row r="456" spans="1:22" x14ac:dyDescent="0.25">
      <c r="A456" s="47">
        <v>132</v>
      </c>
      <c r="B456" s="31">
        <f t="shared" si="58"/>
        <v>6</v>
      </c>
      <c r="C456" s="48">
        <f>IF(A456=A455,C455,"")</f>
        <v>45388</v>
      </c>
      <c r="D456" s="47" t="str">
        <f>IF(A456=A455,D455,"")</f>
        <v>Properzi Juan Carlos</v>
      </c>
      <c r="E456" s="31" t="str">
        <f t="shared" si="55"/>
        <v>132Properzi Juan Carlos6</v>
      </c>
      <c r="I456" s="31" t="str">
        <f t="shared" si="59"/>
        <v xml:space="preserve">Service completo. Cambio de aceite y filtros. Control general de mas de 50 puntos del vehiculo. Desarmar distribucion completa. Cambiar kit, bomba de agua, correa poly-v y liquido refrigerante. Purgado del circuito de refrigeracion. Puesta a punto. Armado total.     </v>
      </c>
      <c r="K456" s="26" t="s">
        <v>410</v>
      </c>
      <c r="P456" s="27">
        <v>1</v>
      </c>
      <c r="Q456" s="34">
        <v>4000</v>
      </c>
      <c r="R456" s="36">
        <f t="shared" si="54"/>
        <v>4000</v>
      </c>
      <c r="U456" s="39">
        <f t="shared" si="63"/>
        <v>0</v>
      </c>
      <c r="V456" s="41">
        <f t="shared" si="60"/>
        <v>236100</v>
      </c>
    </row>
    <row r="457" spans="1:22" x14ac:dyDescent="0.25">
      <c r="A457" s="47">
        <v>133</v>
      </c>
      <c r="B457" s="31">
        <f t="shared" si="58"/>
        <v>1</v>
      </c>
      <c r="C457" s="48">
        <v>45390</v>
      </c>
      <c r="D457" s="47" t="s">
        <v>153</v>
      </c>
      <c r="E457" s="31" t="str">
        <f t="shared" si="55"/>
        <v>133Giordano Hugo1</v>
      </c>
      <c r="G457" s="47" t="s">
        <v>559</v>
      </c>
      <c r="H457" s="26" t="s">
        <v>407</v>
      </c>
      <c r="I457" s="31" t="str">
        <f t="shared" si="59"/>
        <v>Desarmar distribucion completa. Cambiar kit, bomba de agua, correa poly-v y liquido refrigerante. Purgado del circuito de refrigeracion. Puesta a punto. Armado total.</v>
      </c>
      <c r="K457" s="26" t="s">
        <v>408</v>
      </c>
      <c r="P457" s="27">
        <v>1</v>
      </c>
      <c r="Q457" s="34">
        <v>129000</v>
      </c>
      <c r="R457" s="36">
        <f t="shared" si="54"/>
        <v>129000</v>
      </c>
      <c r="S457" s="6">
        <v>1</v>
      </c>
      <c r="T457" s="7">
        <v>150000</v>
      </c>
      <c r="U457" s="39">
        <f t="shared" si="63"/>
        <v>150000</v>
      </c>
      <c r="V457" s="41">
        <f t="shared" si="60"/>
        <v>150000</v>
      </c>
    </row>
    <row r="458" spans="1:22" x14ac:dyDescent="0.25">
      <c r="A458" s="47">
        <v>133</v>
      </c>
      <c r="B458" s="31">
        <f t="shared" si="58"/>
        <v>2</v>
      </c>
      <c r="C458" s="48">
        <f>IF(A458=A457,C457,"")</f>
        <v>45390</v>
      </c>
      <c r="D458" s="47" t="str">
        <f>IF(A458=A457,D457,"")</f>
        <v>Giordano Hugo</v>
      </c>
      <c r="E458" s="31" t="str">
        <f t="shared" si="55"/>
        <v>133Giordano Hugo2</v>
      </c>
      <c r="I458" s="31" t="str">
        <f t="shared" si="59"/>
        <v xml:space="preserve">Desarmar distribucion completa. Cambiar kit, bomba de agua, correa poly-v y liquido refrigerante. Purgado del circuito de refrigeracion. Puesta a punto. Armado total. </v>
      </c>
      <c r="K458" s="26" t="s">
        <v>322</v>
      </c>
      <c r="P458" s="27">
        <v>1</v>
      </c>
      <c r="Q458" s="34">
        <v>28800</v>
      </c>
      <c r="R458" s="36">
        <f t="shared" si="54"/>
        <v>28800</v>
      </c>
      <c r="U458" s="39">
        <f t="shared" si="63"/>
        <v>0</v>
      </c>
      <c r="V458" s="41">
        <f t="shared" si="60"/>
        <v>150000</v>
      </c>
    </row>
    <row r="459" spans="1:22" x14ac:dyDescent="0.25">
      <c r="A459" s="47">
        <v>133</v>
      </c>
      <c r="B459" s="31">
        <f t="shared" si="58"/>
        <v>3</v>
      </c>
      <c r="C459" s="48">
        <f>IF(A459=A458,C458,"")</f>
        <v>45390</v>
      </c>
      <c r="D459" s="47" t="str">
        <f>IF(A459=A458,D458,"")</f>
        <v>Giordano Hugo</v>
      </c>
      <c r="E459" s="31" t="str">
        <f t="shared" si="55"/>
        <v>133Giordano Hugo3</v>
      </c>
      <c r="I459" s="31" t="str">
        <f t="shared" si="59"/>
        <v xml:space="preserve">Desarmar distribucion completa. Cambiar kit, bomba de agua, correa poly-v y liquido refrigerante. Purgado del circuito de refrigeracion. Puesta a punto. Armado total.  </v>
      </c>
      <c r="K459" s="26" t="s">
        <v>409</v>
      </c>
      <c r="P459" s="27">
        <v>2</v>
      </c>
      <c r="Q459" s="34">
        <v>11500</v>
      </c>
      <c r="R459" s="36">
        <f t="shared" si="54"/>
        <v>23000</v>
      </c>
      <c r="U459" s="39">
        <f t="shared" si="63"/>
        <v>0</v>
      </c>
      <c r="V459" s="41">
        <f t="shared" si="60"/>
        <v>150000</v>
      </c>
    </row>
    <row r="460" spans="1:22" x14ac:dyDescent="0.25">
      <c r="A460" s="47">
        <v>133</v>
      </c>
      <c r="B460" s="31">
        <f t="shared" si="58"/>
        <v>4</v>
      </c>
      <c r="C460" s="48">
        <f>IF(A460=A459,C459,"")</f>
        <v>45390</v>
      </c>
      <c r="D460" s="47" t="str">
        <f>IF(A460=A459,D459,"")</f>
        <v>Giordano Hugo</v>
      </c>
      <c r="E460" s="31" t="str">
        <f t="shared" si="55"/>
        <v>133Giordano Hugo4</v>
      </c>
      <c r="I460" s="31" t="str">
        <f t="shared" si="59"/>
        <v xml:space="preserve">Desarmar distribucion completa. Cambiar kit, bomba de agua, correa poly-v y liquido refrigerante. Purgado del circuito de refrigeracion. Puesta a punto. Armado total.   </v>
      </c>
      <c r="K460" s="26" t="s">
        <v>410</v>
      </c>
      <c r="P460" s="27">
        <v>1</v>
      </c>
      <c r="Q460" s="34">
        <v>4000</v>
      </c>
      <c r="R460" s="36">
        <f t="shared" si="54"/>
        <v>4000</v>
      </c>
      <c r="U460" s="39">
        <f t="shared" si="63"/>
        <v>0</v>
      </c>
      <c r="V460" s="41">
        <f t="shared" si="60"/>
        <v>150000</v>
      </c>
    </row>
    <row r="461" spans="1:22" x14ac:dyDescent="0.25">
      <c r="A461" s="47">
        <v>134</v>
      </c>
      <c r="B461" s="31">
        <f t="shared" si="58"/>
        <v>1</v>
      </c>
      <c r="C461" s="48">
        <v>45391</v>
      </c>
      <c r="D461" s="47" t="s">
        <v>560</v>
      </c>
      <c r="E461" s="31" t="str">
        <f t="shared" si="55"/>
        <v>134Fernandez Abril1</v>
      </c>
      <c r="F461" s="47" t="s">
        <v>561</v>
      </c>
      <c r="G461" s="47" t="s">
        <v>179</v>
      </c>
      <c r="H461" s="26" t="s">
        <v>562</v>
      </c>
      <c r="I461" s="31" t="str">
        <f t="shared" si="59"/>
        <v>Cambiar radiador de agua y termostato completo. Completar con liquido refrigerante. Purgado del circuito de refrigeración. Sacar caja de velocidad. Cambiar kit de embrague y crapodina hidraulica. Purgado del circuito de embrague. Carga de líquido de freno.</v>
      </c>
      <c r="P461" s="27"/>
      <c r="Q461" s="34"/>
      <c r="R461" s="36">
        <f t="shared" si="54"/>
        <v>0</v>
      </c>
      <c r="S461" s="6">
        <v>1</v>
      </c>
      <c r="T461" s="7">
        <v>320000</v>
      </c>
      <c r="U461" s="39">
        <f t="shared" si="63"/>
        <v>320000</v>
      </c>
      <c r="V461" s="41">
        <f t="shared" si="60"/>
        <v>320000</v>
      </c>
    </row>
    <row r="462" spans="1:22" x14ac:dyDescent="0.25">
      <c r="A462" s="47">
        <v>134</v>
      </c>
      <c r="B462" s="31">
        <f t="shared" si="58"/>
        <v>2</v>
      </c>
      <c r="C462" s="48">
        <f>IF(A462=A461,C461,"")</f>
        <v>45391</v>
      </c>
      <c r="D462" s="47" t="str">
        <f>IF(A462=A461,D461,"")</f>
        <v>Fernandez Abril</v>
      </c>
      <c r="E462" s="31" t="str">
        <f t="shared" si="55"/>
        <v>134Fernandez Abril2</v>
      </c>
      <c r="I462" s="31" t="str">
        <f t="shared" si="59"/>
        <v xml:space="preserve">Cambiar radiador de agua y termostato completo. Completar con liquido refrigerante. Purgado del circuito de refrigeración. Sacar caja de velocidad. Cambiar kit de embrague y crapodina hidraulica. Purgado del circuito de embrague. Carga de líquido de freno. </v>
      </c>
      <c r="P462" s="27"/>
      <c r="Q462" s="34"/>
      <c r="R462" s="36">
        <f t="shared" si="54"/>
        <v>0</v>
      </c>
      <c r="U462" s="39">
        <f t="shared" si="63"/>
        <v>0</v>
      </c>
      <c r="V462" s="41">
        <f t="shared" si="60"/>
        <v>320000</v>
      </c>
    </row>
    <row r="463" spans="1:22" x14ac:dyDescent="0.25">
      <c r="A463" s="47">
        <v>135</v>
      </c>
      <c r="B463" s="31">
        <f t="shared" si="58"/>
        <v>1</v>
      </c>
      <c r="C463" s="48">
        <v>45394</v>
      </c>
      <c r="D463" s="47" t="s">
        <v>563</v>
      </c>
      <c r="E463" s="31" t="str">
        <f t="shared" si="55"/>
        <v>135Tonello Pedro1</v>
      </c>
      <c r="G463" s="47" t="s">
        <v>564</v>
      </c>
      <c r="H463" s="26" t="s">
        <v>566</v>
      </c>
      <c r="I463" s="31" t="str">
        <f t="shared" si="59"/>
        <v>Service completo. Cambio de aceite y filtros. Control general de mas de 50 puntos del vehiculo. Cambiar juego de bujias.</v>
      </c>
      <c r="K463" s="26" t="s">
        <v>91</v>
      </c>
      <c r="P463" s="27">
        <v>1</v>
      </c>
      <c r="Q463" s="34">
        <v>33000</v>
      </c>
      <c r="R463" s="36">
        <f t="shared" ref="R463:R526" si="64">Q463*P463</f>
        <v>33000</v>
      </c>
      <c r="S463" s="6">
        <v>1</v>
      </c>
      <c r="T463" s="7">
        <v>75000</v>
      </c>
      <c r="U463" s="39">
        <f t="shared" si="63"/>
        <v>75000</v>
      </c>
      <c r="V463" s="41">
        <f t="shared" si="60"/>
        <v>75000</v>
      </c>
    </row>
    <row r="464" spans="1:22" x14ac:dyDescent="0.25">
      <c r="A464" s="47">
        <v>135</v>
      </c>
      <c r="B464" s="31">
        <f t="shared" si="58"/>
        <v>2</v>
      </c>
      <c r="C464" s="48">
        <f>IF(A464=A463,C463,"")</f>
        <v>45394</v>
      </c>
      <c r="D464" s="47" t="str">
        <f>IF(A464=A463,D463,"")</f>
        <v>Tonello Pedro</v>
      </c>
      <c r="E464" s="31" t="str">
        <f t="shared" si="55"/>
        <v>135Tonello Pedro2</v>
      </c>
      <c r="I464" s="31" t="str">
        <f t="shared" si="59"/>
        <v xml:space="preserve">Service completo. Cambio de aceite y filtros. Control general de mas de 50 puntos del vehiculo. Cambiar juego de bujias. </v>
      </c>
      <c r="K464" s="26" t="s">
        <v>90</v>
      </c>
      <c r="P464" s="27">
        <v>4</v>
      </c>
      <c r="Q464" s="34">
        <v>16550</v>
      </c>
      <c r="R464" s="36">
        <f t="shared" si="64"/>
        <v>66200</v>
      </c>
      <c r="U464" s="39">
        <f t="shared" si="63"/>
        <v>0</v>
      </c>
      <c r="V464" s="41">
        <f t="shared" si="60"/>
        <v>75000</v>
      </c>
    </row>
    <row r="465" spans="1:22" x14ac:dyDescent="0.25">
      <c r="A465" s="47">
        <v>135</v>
      </c>
      <c r="B465" s="31">
        <f t="shared" si="58"/>
        <v>3</v>
      </c>
      <c r="C465" s="48">
        <f>IF(A465=A464,C464,"")</f>
        <v>45394</v>
      </c>
      <c r="D465" s="47" t="str">
        <f>IF(A465=A464,D464,"")</f>
        <v>Tonello Pedro</v>
      </c>
      <c r="E465" s="31" t="str">
        <f t="shared" ref="E465:E528" si="65">CONCATENATE(A465,D465,B465)</f>
        <v>135Tonello Pedro3</v>
      </c>
      <c r="I465" s="31" t="str">
        <f t="shared" si="59"/>
        <v xml:space="preserve">Service completo. Cambio de aceite y filtros. Control general de mas de 50 puntos del vehiculo. Cambiar juego de bujias.  </v>
      </c>
      <c r="K465" s="26" t="s">
        <v>565</v>
      </c>
      <c r="P465" s="27">
        <v>4</v>
      </c>
      <c r="Q465" s="34">
        <v>6800</v>
      </c>
      <c r="R465" s="36">
        <f t="shared" si="64"/>
        <v>27200</v>
      </c>
      <c r="U465" s="39">
        <f t="shared" si="63"/>
        <v>0</v>
      </c>
      <c r="V465" s="41">
        <f t="shared" si="60"/>
        <v>75000</v>
      </c>
    </row>
    <row r="466" spans="1:22" x14ac:dyDescent="0.25">
      <c r="A466" s="47">
        <v>136</v>
      </c>
      <c r="B466" s="31">
        <f t="shared" si="58"/>
        <v>1</v>
      </c>
      <c r="C466" s="48">
        <v>45394</v>
      </c>
      <c r="D466" s="47" t="s">
        <v>567</v>
      </c>
      <c r="E466" s="31" t="str">
        <f t="shared" si="65"/>
        <v>136Ezequiel1</v>
      </c>
      <c r="G466" s="47" t="s">
        <v>352</v>
      </c>
      <c r="H466" s="26" t="s">
        <v>556</v>
      </c>
      <c r="I466" s="31" t="str">
        <f t="shared" si="59"/>
        <v>Service completo. Cambio de aceite y filtros. Control general de mas de 50 puntos del vehiculo. Desarmar distribucion completa. Cambiar kit, bomba de agua, correa poly-v y liquido refrigerante. Purgado del circuito de refrigeracion. Puesta a punto. Armado total.</v>
      </c>
      <c r="K466" s="26" t="s">
        <v>91</v>
      </c>
      <c r="P466" s="27">
        <v>1</v>
      </c>
      <c r="Q466" s="34">
        <v>44000</v>
      </c>
      <c r="R466" s="36">
        <f t="shared" si="64"/>
        <v>44000</v>
      </c>
      <c r="S466" s="6">
        <v>1</v>
      </c>
      <c r="T466" s="7">
        <v>160000</v>
      </c>
      <c r="U466" s="39">
        <f t="shared" si="63"/>
        <v>160000</v>
      </c>
      <c r="V466" s="41">
        <f t="shared" si="60"/>
        <v>160000</v>
      </c>
    </row>
    <row r="467" spans="1:22" x14ac:dyDescent="0.25">
      <c r="A467" s="47">
        <v>136</v>
      </c>
      <c r="B467" s="31">
        <f t="shared" si="58"/>
        <v>2</v>
      </c>
      <c r="C467" s="48">
        <f t="shared" ref="C467:C472" si="66">IF(A467=A466,C466,"")</f>
        <v>45394</v>
      </c>
      <c r="D467" s="47" t="str">
        <f t="shared" ref="D467:D472" si="67">IF(A467=A466,D466,"")</f>
        <v>Ezequiel</v>
      </c>
      <c r="E467" s="31" t="str">
        <f t="shared" si="65"/>
        <v>136Ezequiel2</v>
      </c>
      <c r="I467" s="31" t="str">
        <f t="shared" si="59"/>
        <v xml:space="preserve">Service completo. Cambio de aceite y filtros. Control general de mas de 50 puntos del vehiculo. Desarmar distribucion completa. Cambiar kit, bomba de agua, correa poly-v y liquido refrigerante. Purgado del circuito de refrigeracion. Puesta a punto. Armado total. </v>
      </c>
      <c r="K467" s="26" t="s">
        <v>108</v>
      </c>
      <c r="P467" s="27">
        <v>4</v>
      </c>
      <c r="Q467" s="34">
        <v>11250</v>
      </c>
      <c r="R467" s="36">
        <f t="shared" si="64"/>
        <v>45000</v>
      </c>
      <c r="U467" s="39">
        <f t="shared" si="63"/>
        <v>0</v>
      </c>
      <c r="V467" s="41">
        <f t="shared" si="60"/>
        <v>160000</v>
      </c>
    </row>
    <row r="468" spans="1:22" x14ac:dyDescent="0.25">
      <c r="A468" s="47">
        <v>136</v>
      </c>
      <c r="B468" s="31">
        <f t="shared" si="58"/>
        <v>3</v>
      </c>
      <c r="C468" s="48">
        <f t="shared" si="66"/>
        <v>45394</v>
      </c>
      <c r="D468" s="47" t="str">
        <f t="shared" si="67"/>
        <v>Ezequiel</v>
      </c>
      <c r="E468" s="31" t="str">
        <f t="shared" si="65"/>
        <v>136Ezequiel3</v>
      </c>
      <c r="I468" s="31" t="str">
        <f t="shared" si="59"/>
        <v xml:space="preserve">Service completo. Cambio de aceite y filtros. Control general de mas de 50 puntos del vehiculo. Desarmar distribucion completa. Cambiar kit, bomba de agua, correa poly-v y liquido refrigerante. Purgado del circuito de refrigeracion. Puesta a punto. Armado total.  </v>
      </c>
      <c r="K468" s="26" t="s">
        <v>408</v>
      </c>
      <c r="P468" s="27">
        <v>1</v>
      </c>
      <c r="Q468" s="34">
        <v>170000</v>
      </c>
      <c r="R468" s="36">
        <f t="shared" si="64"/>
        <v>170000</v>
      </c>
      <c r="U468" s="39">
        <f t="shared" si="63"/>
        <v>0</v>
      </c>
      <c r="V468" s="41">
        <f t="shared" si="60"/>
        <v>160000</v>
      </c>
    </row>
    <row r="469" spans="1:22" x14ac:dyDescent="0.25">
      <c r="A469" s="47">
        <v>136</v>
      </c>
      <c r="B469" s="31">
        <f t="shared" si="58"/>
        <v>4</v>
      </c>
      <c r="C469" s="48">
        <f t="shared" si="66"/>
        <v>45394</v>
      </c>
      <c r="D469" s="47" t="str">
        <f t="shared" si="67"/>
        <v>Ezequiel</v>
      </c>
      <c r="E469" s="31" t="str">
        <f t="shared" si="65"/>
        <v>136Ezequiel4</v>
      </c>
      <c r="I469" s="31" t="str">
        <f t="shared" si="59"/>
        <v xml:space="preserve">Service completo. Cambio de aceite y filtros. Control general de mas de 50 puntos del vehiculo. Desarmar distribucion completa. Cambiar kit, bomba de agua, correa poly-v y liquido refrigerante. Purgado del circuito de refrigeracion. Puesta a punto. Armado total.   </v>
      </c>
      <c r="K469" s="26" t="s">
        <v>568</v>
      </c>
      <c r="P469" s="27">
        <v>1</v>
      </c>
      <c r="Q469" s="34">
        <v>34000</v>
      </c>
      <c r="R469" s="36">
        <f t="shared" si="64"/>
        <v>34000</v>
      </c>
      <c r="U469" s="39">
        <f t="shared" si="63"/>
        <v>0</v>
      </c>
      <c r="V469" s="41">
        <f t="shared" si="60"/>
        <v>160000</v>
      </c>
    </row>
    <row r="470" spans="1:22" x14ac:dyDescent="0.25">
      <c r="A470" s="47">
        <v>136</v>
      </c>
      <c r="B470" s="31">
        <f t="shared" si="58"/>
        <v>5</v>
      </c>
      <c r="C470" s="48">
        <f t="shared" si="66"/>
        <v>45394</v>
      </c>
      <c r="D470" s="47" t="str">
        <f t="shared" si="67"/>
        <v>Ezequiel</v>
      </c>
      <c r="E470" s="31" t="str">
        <f t="shared" si="65"/>
        <v>136Ezequiel5</v>
      </c>
      <c r="I470" s="31" t="str">
        <f t="shared" si="59"/>
        <v xml:space="preserve">Service completo. Cambio de aceite y filtros. Control general de mas de 50 puntos del vehiculo. Desarmar distribucion completa. Cambiar kit, bomba de agua, correa poly-v y liquido refrigerante. Purgado del circuito de refrigeracion. Puesta a punto. Armado total.    </v>
      </c>
      <c r="K470" s="26" t="s">
        <v>569</v>
      </c>
      <c r="P470" s="27">
        <v>1</v>
      </c>
      <c r="Q470" s="34">
        <v>19000</v>
      </c>
      <c r="R470" s="36">
        <f t="shared" si="64"/>
        <v>19000</v>
      </c>
      <c r="U470" s="39">
        <f t="shared" si="63"/>
        <v>0</v>
      </c>
      <c r="V470" s="41">
        <f t="shared" si="60"/>
        <v>160000</v>
      </c>
    </row>
    <row r="471" spans="1:22" x14ac:dyDescent="0.25">
      <c r="A471" s="47">
        <v>136</v>
      </c>
      <c r="B471" s="31">
        <f t="shared" si="58"/>
        <v>6</v>
      </c>
      <c r="C471" s="48">
        <f t="shared" si="66"/>
        <v>45394</v>
      </c>
      <c r="D471" s="47" t="str">
        <f t="shared" si="67"/>
        <v>Ezequiel</v>
      </c>
      <c r="E471" s="31" t="str">
        <f t="shared" si="65"/>
        <v>136Ezequiel6</v>
      </c>
      <c r="I471" s="31" t="str">
        <f t="shared" si="59"/>
        <v xml:space="preserve">Service completo. Cambio de aceite y filtros. Control general de mas de 50 puntos del vehiculo. Desarmar distribucion completa. Cambiar kit, bomba de agua, correa poly-v y liquido refrigerante. Purgado del circuito de refrigeracion. Puesta a punto. Armado total.     </v>
      </c>
      <c r="K471" s="26" t="s">
        <v>409</v>
      </c>
      <c r="P471" s="27">
        <v>2</v>
      </c>
      <c r="Q471" s="34">
        <v>11500</v>
      </c>
      <c r="R471" s="36">
        <f t="shared" si="64"/>
        <v>23000</v>
      </c>
      <c r="U471" s="39">
        <f t="shared" si="63"/>
        <v>0</v>
      </c>
      <c r="V471" s="41">
        <f t="shared" si="60"/>
        <v>160000</v>
      </c>
    </row>
    <row r="472" spans="1:22" x14ac:dyDescent="0.25">
      <c r="A472" s="47">
        <v>136</v>
      </c>
      <c r="B472" s="31">
        <f t="shared" si="58"/>
        <v>7</v>
      </c>
      <c r="C472" s="48">
        <f t="shared" si="66"/>
        <v>45394</v>
      </c>
      <c r="D472" s="47" t="str">
        <f t="shared" si="67"/>
        <v>Ezequiel</v>
      </c>
      <c r="E472" s="31" t="str">
        <f t="shared" si="65"/>
        <v>136Ezequiel7</v>
      </c>
      <c r="I472" s="31" t="str">
        <f t="shared" si="59"/>
        <v xml:space="preserve">Service completo. Cambio de aceite y filtros. Control general de mas de 50 puntos del vehiculo. Desarmar distribucion completa. Cambiar kit, bomba de agua, correa poly-v y liquido refrigerante. Purgado del circuito de refrigeracion. Puesta a punto. Armado total.      </v>
      </c>
      <c r="K472" s="26" t="s">
        <v>410</v>
      </c>
      <c r="P472" s="27">
        <v>1</v>
      </c>
      <c r="Q472" s="34">
        <v>4000</v>
      </c>
      <c r="R472" s="36">
        <f t="shared" si="64"/>
        <v>4000</v>
      </c>
      <c r="U472" s="39">
        <f t="shared" si="63"/>
        <v>0</v>
      </c>
      <c r="V472" s="41">
        <f t="shared" si="60"/>
        <v>160000</v>
      </c>
    </row>
    <row r="473" spans="1:22" x14ac:dyDescent="0.25">
      <c r="A473" s="47">
        <v>137</v>
      </c>
      <c r="B473" s="31">
        <f t="shared" si="58"/>
        <v>1</v>
      </c>
      <c r="C473" s="48">
        <v>45394</v>
      </c>
      <c r="D473" s="47" t="s">
        <v>318</v>
      </c>
      <c r="E473" s="31" t="str">
        <f t="shared" si="65"/>
        <v>137Magra Ignacio1</v>
      </c>
      <c r="G473" s="47" t="s">
        <v>383</v>
      </c>
      <c r="I473" s="31">
        <f t="shared" si="59"/>
        <v>0</v>
      </c>
      <c r="K473" s="26" t="s">
        <v>570</v>
      </c>
      <c r="P473" s="27">
        <v>1</v>
      </c>
      <c r="Q473" s="34"/>
      <c r="R473" s="36">
        <f t="shared" si="64"/>
        <v>0</v>
      </c>
      <c r="U473" s="39">
        <f t="shared" si="63"/>
        <v>0</v>
      </c>
      <c r="V473" s="41">
        <f t="shared" si="60"/>
        <v>0</v>
      </c>
    </row>
    <row r="474" spans="1:22" x14ac:dyDescent="0.25">
      <c r="A474" s="47">
        <v>137</v>
      </c>
      <c r="B474" s="31">
        <f t="shared" si="58"/>
        <v>2</v>
      </c>
      <c r="C474" s="48">
        <f>IF(A474=A473,C473,"")</f>
        <v>45394</v>
      </c>
      <c r="D474" s="47" t="str">
        <f>IF(A474=A473,D473,"")</f>
        <v>Magra Ignacio</v>
      </c>
      <c r="E474" s="31" t="str">
        <f t="shared" si="65"/>
        <v>137Magra Ignacio2</v>
      </c>
      <c r="I474" s="31" t="str">
        <f t="shared" si="59"/>
        <v xml:space="preserve">0 </v>
      </c>
      <c r="K474" s="26" t="s">
        <v>142</v>
      </c>
      <c r="P474" s="27">
        <v>2</v>
      </c>
      <c r="Q474" s="34"/>
      <c r="R474" s="36">
        <f t="shared" si="64"/>
        <v>0</v>
      </c>
      <c r="U474" s="39">
        <f t="shared" si="63"/>
        <v>0</v>
      </c>
      <c r="V474" s="41">
        <f t="shared" si="60"/>
        <v>0</v>
      </c>
    </row>
    <row r="475" spans="1:22" x14ac:dyDescent="0.25">
      <c r="A475" s="47">
        <v>138</v>
      </c>
      <c r="B475" s="31">
        <f t="shared" si="58"/>
        <v>1</v>
      </c>
      <c r="C475" s="48">
        <v>45398</v>
      </c>
      <c r="D475" s="47" t="s">
        <v>571</v>
      </c>
      <c r="E475" s="31" t="str">
        <f t="shared" si="65"/>
        <v>138Suarez Carlos1</v>
      </c>
      <c r="G475" s="47" t="s">
        <v>572</v>
      </c>
      <c r="H475" s="26" t="s">
        <v>576</v>
      </c>
      <c r="I475" s="31" t="str">
        <f t="shared" si="59"/>
        <v>Desarmar distribucion completa. Cambiar kit, bomba de agua, correas poly-v, termostato, caño de agua y liquido refrigerante. Purgado del circuito de refrigeracion. Puesta a punto. Armado total.</v>
      </c>
      <c r="K475" s="26" t="s">
        <v>408</v>
      </c>
      <c r="P475" s="27">
        <v>1</v>
      </c>
      <c r="Q475" s="34">
        <v>154000</v>
      </c>
      <c r="R475" s="36">
        <f t="shared" si="64"/>
        <v>154000</v>
      </c>
      <c r="S475" s="6">
        <v>1</v>
      </c>
      <c r="T475" s="7">
        <v>150000</v>
      </c>
      <c r="U475" s="39">
        <f t="shared" si="63"/>
        <v>150000</v>
      </c>
      <c r="V475" s="41">
        <f t="shared" si="60"/>
        <v>150000</v>
      </c>
    </row>
    <row r="476" spans="1:22" x14ac:dyDescent="0.25">
      <c r="A476" s="47">
        <v>138</v>
      </c>
      <c r="B476" s="31">
        <f t="shared" si="58"/>
        <v>2</v>
      </c>
      <c r="C476" s="48">
        <f t="shared" ref="C476:C481" si="68">IF(A476=A475,C475,"")</f>
        <v>45398</v>
      </c>
      <c r="D476" s="47" t="str">
        <f t="shared" ref="D476:D481" si="69">IF(A476=A475,D475,"")</f>
        <v>Suarez Carlos</v>
      </c>
      <c r="E476" s="31" t="str">
        <f t="shared" si="65"/>
        <v>138Suarez Carlos2</v>
      </c>
      <c r="I476" s="31" t="str">
        <f t="shared" si="59"/>
        <v xml:space="preserve">Desarmar distribucion completa. Cambiar kit, bomba de agua, correas poly-v, termostato, caño de agua y liquido refrigerante. Purgado del circuito de refrigeracion. Puesta a punto. Armado total. </v>
      </c>
      <c r="K476" s="26" t="s">
        <v>120</v>
      </c>
      <c r="P476" s="27">
        <v>1</v>
      </c>
      <c r="Q476" s="34">
        <v>27000</v>
      </c>
      <c r="R476" s="36">
        <f t="shared" si="64"/>
        <v>27000</v>
      </c>
      <c r="U476" s="39">
        <f t="shared" si="63"/>
        <v>0</v>
      </c>
      <c r="V476" s="41">
        <f t="shared" si="60"/>
        <v>150000</v>
      </c>
    </row>
    <row r="477" spans="1:22" x14ac:dyDescent="0.25">
      <c r="A477" s="47">
        <v>138</v>
      </c>
      <c r="B477" s="31">
        <f t="shared" si="58"/>
        <v>3</v>
      </c>
      <c r="C477" s="48">
        <f t="shared" si="68"/>
        <v>45398</v>
      </c>
      <c r="D477" s="47" t="str">
        <f t="shared" si="69"/>
        <v>Suarez Carlos</v>
      </c>
      <c r="E477" s="31" t="str">
        <f t="shared" si="65"/>
        <v>138Suarez Carlos3</v>
      </c>
      <c r="I477" s="31" t="str">
        <f t="shared" si="59"/>
        <v xml:space="preserve">Desarmar distribucion completa. Cambiar kit, bomba de agua, correas poly-v, termostato, caño de agua y liquido refrigerante. Purgado del circuito de refrigeracion. Puesta a punto. Armado total.  </v>
      </c>
      <c r="K477" s="26" t="s">
        <v>573</v>
      </c>
      <c r="P477" s="27">
        <v>1</v>
      </c>
      <c r="Q477" s="34">
        <v>15000</v>
      </c>
      <c r="R477" s="36">
        <f t="shared" si="64"/>
        <v>15000</v>
      </c>
      <c r="U477" s="39">
        <f t="shared" si="63"/>
        <v>0</v>
      </c>
      <c r="V477" s="41">
        <f t="shared" si="60"/>
        <v>150000</v>
      </c>
    </row>
    <row r="478" spans="1:22" x14ac:dyDescent="0.25">
      <c r="A478" s="47">
        <v>138</v>
      </c>
      <c r="B478" s="31">
        <f t="shared" si="58"/>
        <v>4</v>
      </c>
      <c r="C478" s="48">
        <f t="shared" si="68"/>
        <v>45398</v>
      </c>
      <c r="D478" s="47" t="str">
        <f t="shared" si="69"/>
        <v>Suarez Carlos</v>
      </c>
      <c r="E478" s="31" t="str">
        <f t="shared" si="65"/>
        <v>138Suarez Carlos4</v>
      </c>
      <c r="I478" s="31" t="str">
        <f t="shared" si="59"/>
        <v xml:space="preserve">Desarmar distribucion completa. Cambiar kit, bomba de agua, correas poly-v, termostato, caño de agua y liquido refrigerante. Purgado del circuito de refrigeracion. Puesta a punto. Armado total.   </v>
      </c>
      <c r="K478" s="26" t="s">
        <v>574</v>
      </c>
      <c r="P478" s="27">
        <v>1</v>
      </c>
      <c r="Q478" s="34">
        <v>25000</v>
      </c>
      <c r="R478" s="36">
        <f t="shared" si="64"/>
        <v>25000</v>
      </c>
      <c r="U478" s="39">
        <f t="shared" si="63"/>
        <v>0</v>
      </c>
      <c r="V478" s="41">
        <f t="shared" si="60"/>
        <v>150000</v>
      </c>
    </row>
    <row r="479" spans="1:22" x14ac:dyDescent="0.25">
      <c r="A479" s="47">
        <v>138</v>
      </c>
      <c r="B479" s="31">
        <f t="shared" ref="B479:B542" si="70">IF(A479=A478,B478+1,1)</f>
        <v>5</v>
      </c>
      <c r="C479" s="48">
        <f t="shared" si="68"/>
        <v>45398</v>
      </c>
      <c r="D479" s="47" t="str">
        <f t="shared" si="69"/>
        <v>Suarez Carlos</v>
      </c>
      <c r="E479" s="31" t="str">
        <f t="shared" si="65"/>
        <v>138Suarez Carlos5</v>
      </c>
      <c r="I479" s="31" t="str">
        <f t="shared" ref="I479:I542" si="71">IF(A479=A478,CONCATENATE(I478," ",H479),H479)</f>
        <v xml:space="preserve">Desarmar distribucion completa. Cambiar kit, bomba de agua, correas poly-v, termostato, caño de agua y liquido refrigerante. Purgado del circuito de refrigeracion. Puesta a punto. Armado total.    </v>
      </c>
      <c r="K479" s="26" t="s">
        <v>575</v>
      </c>
      <c r="P479" s="27">
        <v>1</v>
      </c>
      <c r="Q479" s="34">
        <v>24000</v>
      </c>
      <c r="R479" s="36">
        <f t="shared" si="64"/>
        <v>24000</v>
      </c>
      <c r="U479" s="39">
        <f t="shared" si="63"/>
        <v>0</v>
      </c>
      <c r="V479" s="41">
        <f t="shared" ref="V479:V542" si="72">IF(A479=A478,V478+U479,U479)</f>
        <v>150000</v>
      </c>
    </row>
    <row r="480" spans="1:22" x14ac:dyDescent="0.25">
      <c r="A480" s="47">
        <v>138</v>
      </c>
      <c r="B480" s="31">
        <f t="shared" si="70"/>
        <v>6</v>
      </c>
      <c r="C480" s="48">
        <f t="shared" si="68"/>
        <v>45398</v>
      </c>
      <c r="D480" s="47" t="str">
        <f t="shared" si="69"/>
        <v>Suarez Carlos</v>
      </c>
      <c r="E480" s="31" t="str">
        <f t="shared" si="65"/>
        <v>138Suarez Carlos6</v>
      </c>
      <c r="I480" s="31" t="str">
        <f t="shared" si="71"/>
        <v xml:space="preserve">Desarmar distribucion completa. Cambiar kit, bomba de agua, correas poly-v, termostato, caño de agua y liquido refrigerante. Purgado del circuito de refrigeracion. Puesta a punto. Armado total.     </v>
      </c>
      <c r="K480" s="26" t="s">
        <v>409</v>
      </c>
      <c r="P480" s="27">
        <v>2</v>
      </c>
      <c r="Q480" s="34">
        <v>11500</v>
      </c>
      <c r="R480" s="36">
        <f t="shared" si="64"/>
        <v>23000</v>
      </c>
      <c r="U480" s="39">
        <f t="shared" si="63"/>
        <v>0</v>
      </c>
      <c r="V480" s="41">
        <f t="shared" si="72"/>
        <v>150000</v>
      </c>
    </row>
    <row r="481" spans="1:22" x14ac:dyDescent="0.25">
      <c r="A481" s="47">
        <v>138</v>
      </c>
      <c r="B481" s="31">
        <f t="shared" si="70"/>
        <v>7</v>
      </c>
      <c r="C481" s="48">
        <f t="shared" si="68"/>
        <v>45398</v>
      </c>
      <c r="D481" s="47" t="str">
        <f t="shared" si="69"/>
        <v>Suarez Carlos</v>
      </c>
      <c r="E481" s="31" t="str">
        <f t="shared" si="65"/>
        <v>138Suarez Carlos7</v>
      </c>
      <c r="I481" s="31" t="str">
        <f t="shared" si="71"/>
        <v xml:space="preserve">Desarmar distribucion completa. Cambiar kit, bomba de agua, correas poly-v, termostato, caño de agua y liquido refrigerante. Purgado del circuito de refrigeracion. Puesta a punto. Armado total.      </v>
      </c>
      <c r="K481" s="26" t="s">
        <v>410</v>
      </c>
      <c r="P481" s="27">
        <v>1</v>
      </c>
      <c r="Q481" s="34">
        <v>4000</v>
      </c>
      <c r="R481" s="36">
        <f t="shared" si="64"/>
        <v>4000</v>
      </c>
      <c r="U481" s="39">
        <f t="shared" si="63"/>
        <v>0</v>
      </c>
      <c r="V481" s="41">
        <f t="shared" si="72"/>
        <v>150000</v>
      </c>
    </row>
    <row r="482" spans="1:22" x14ac:dyDescent="0.25">
      <c r="A482" s="47">
        <v>139</v>
      </c>
      <c r="B482" s="31">
        <f t="shared" si="70"/>
        <v>1</v>
      </c>
      <c r="C482" s="48">
        <v>45401</v>
      </c>
      <c r="D482" s="47" t="s">
        <v>577</v>
      </c>
      <c r="E482" s="31" t="str">
        <f t="shared" si="65"/>
        <v>139Garcia Franco1</v>
      </c>
      <c r="G482" s="47" t="s">
        <v>578</v>
      </c>
      <c r="H482" s="26" t="s">
        <v>579</v>
      </c>
      <c r="I482" s="31" t="str">
        <f t="shared" si="71"/>
        <v>Agregar liquido desincrustante para limpieza del interior de circuito de refrigerante. Enjuagar circuito de refrigeracion. Cambiar liquido refrigerante. Purgado del circuito de refrigeracion. Amado total.</v>
      </c>
      <c r="K482" s="26" t="s">
        <v>409</v>
      </c>
      <c r="P482" s="27">
        <v>2</v>
      </c>
      <c r="Q482" s="34">
        <v>11500</v>
      </c>
      <c r="R482" s="36">
        <f t="shared" si="64"/>
        <v>23000</v>
      </c>
      <c r="S482" s="6">
        <v>1</v>
      </c>
      <c r="T482" s="7">
        <v>40000</v>
      </c>
      <c r="U482" s="39">
        <f t="shared" si="63"/>
        <v>40000</v>
      </c>
      <c r="V482" s="41">
        <f t="shared" si="72"/>
        <v>40000</v>
      </c>
    </row>
    <row r="483" spans="1:22" x14ac:dyDescent="0.25">
      <c r="A483" s="47">
        <v>139</v>
      </c>
      <c r="B483" s="31">
        <f t="shared" si="70"/>
        <v>2</v>
      </c>
      <c r="C483" s="48">
        <f>IF(A483=A482,C482,"")</f>
        <v>45401</v>
      </c>
      <c r="D483" s="47" t="str">
        <f>IF(A483=A482,D482,"")</f>
        <v>Garcia Franco</v>
      </c>
      <c r="E483" s="31" t="str">
        <f t="shared" si="65"/>
        <v>139Garcia Franco2</v>
      </c>
      <c r="I483" s="31" t="str">
        <f t="shared" si="71"/>
        <v xml:space="preserve">Agregar liquido desincrustante para limpieza del interior de circuito de refrigerante. Enjuagar circuito de refrigeracion. Cambiar liquido refrigerante. Purgado del circuito de refrigeracion. Amado total. </v>
      </c>
      <c r="K483" s="26" t="s">
        <v>410</v>
      </c>
      <c r="P483" s="27">
        <v>1</v>
      </c>
      <c r="Q483" s="34">
        <v>4000</v>
      </c>
      <c r="R483" s="36">
        <f t="shared" si="64"/>
        <v>4000</v>
      </c>
      <c r="U483" s="39">
        <f t="shared" si="63"/>
        <v>0</v>
      </c>
      <c r="V483" s="41">
        <f t="shared" si="72"/>
        <v>40000</v>
      </c>
    </row>
    <row r="484" spans="1:22" x14ac:dyDescent="0.25">
      <c r="A484" s="47">
        <v>139</v>
      </c>
      <c r="B484" s="31">
        <f t="shared" si="70"/>
        <v>3</v>
      </c>
      <c r="C484" s="48">
        <f>IF(A484=A483,C483,"")</f>
        <v>45401</v>
      </c>
      <c r="D484" s="47" t="str">
        <f>IF(A484=A483,D483,"")</f>
        <v>Garcia Franco</v>
      </c>
      <c r="E484" s="31" t="str">
        <f t="shared" si="65"/>
        <v>139Garcia Franco3</v>
      </c>
      <c r="I484" s="31" t="str">
        <f t="shared" si="71"/>
        <v xml:space="preserve">Agregar liquido desincrustante para limpieza del interior de circuito de refrigerante. Enjuagar circuito de refrigeracion. Cambiar liquido refrigerante. Purgado del circuito de refrigeracion. Amado total.  </v>
      </c>
      <c r="K484" s="26" t="s">
        <v>409</v>
      </c>
      <c r="P484" s="27">
        <v>1</v>
      </c>
      <c r="Q484" s="34">
        <v>3500</v>
      </c>
      <c r="R484" s="36">
        <f t="shared" si="64"/>
        <v>3500</v>
      </c>
      <c r="U484" s="39">
        <f t="shared" si="63"/>
        <v>0</v>
      </c>
      <c r="V484" s="41">
        <f t="shared" si="72"/>
        <v>40000</v>
      </c>
    </row>
    <row r="485" spans="1:22" x14ac:dyDescent="0.25">
      <c r="A485" s="47">
        <v>140</v>
      </c>
      <c r="B485" s="31">
        <f t="shared" si="70"/>
        <v>1</v>
      </c>
      <c r="C485" s="48">
        <v>45405</v>
      </c>
      <c r="D485" s="47" t="s">
        <v>491</v>
      </c>
      <c r="E485" s="31" t="str">
        <f t="shared" si="65"/>
        <v>140Avila Edgardo1</v>
      </c>
      <c r="G485" s="47" t="s">
        <v>285</v>
      </c>
      <c r="H485" s="26" t="s">
        <v>580</v>
      </c>
      <c r="I485" s="31" t="str">
        <f t="shared" si="71"/>
        <v>Service. Cambio de aceite y filtros.</v>
      </c>
      <c r="K485" s="26" t="s">
        <v>91</v>
      </c>
      <c r="P485" s="27">
        <v>1</v>
      </c>
      <c r="Q485" s="34">
        <v>88000</v>
      </c>
      <c r="R485" s="36">
        <f t="shared" si="64"/>
        <v>88000</v>
      </c>
      <c r="S485" s="6">
        <v>1</v>
      </c>
      <c r="T485" s="7">
        <v>20000</v>
      </c>
      <c r="U485" s="39">
        <f t="shared" si="63"/>
        <v>20000</v>
      </c>
      <c r="V485" s="41">
        <f t="shared" si="72"/>
        <v>20000</v>
      </c>
    </row>
    <row r="486" spans="1:22" x14ac:dyDescent="0.25">
      <c r="A486" s="47">
        <v>140</v>
      </c>
      <c r="B486" s="31">
        <f t="shared" si="70"/>
        <v>2</v>
      </c>
      <c r="C486" s="48">
        <f>IF(A486=A485,C485,"")</f>
        <v>45405</v>
      </c>
      <c r="D486" s="47" t="str">
        <f>IF(A486=A485,D485,"")</f>
        <v>Avila Edgardo</v>
      </c>
      <c r="E486" s="31" t="str">
        <f t="shared" si="65"/>
        <v>140Avila Edgardo2</v>
      </c>
      <c r="I486" s="31" t="str">
        <f t="shared" si="71"/>
        <v xml:space="preserve">Service. Cambio de aceite y filtros. </v>
      </c>
      <c r="K486" s="26" t="s">
        <v>108</v>
      </c>
      <c r="P486" s="27">
        <v>4</v>
      </c>
      <c r="Q486" s="34">
        <v>11250</v>
      </c>
      <c r="R486" s="36">
        <f t="shared" si="64"/>
        <v>45000</v>
      </c>
      <c r="U486" s="39">
        <f t="shared" si="63"/>
        <v>0</v>
      </c>
      <c r="V486" s="41">
        <f t="shared" si="72"/>
        <v>20000</v>
      </c>
    </row>
    <row r="487" spans="1:22" x14ac:dyDescent="0.25">
      <c r="A487" s="47">
        <v>141</v>
      </c>
      <c r="B487" s="31">
        <f t="shared" si="70"/>
        <v>1</v>
      </c>
      <c r="C487" s="48">
        <v>45407</v>
      </c>
      <c r="D487" s="47" t="s">
        <v>581</v>
      </c>
      <c r="E487" s="31" t="str">
        <f t="shared" si="65"/>
        <v>141Guerrieri Gladys1</v>
      </c>
      <c r="G487" s="47" t="s">
        <v>346</v>
      </c>
      <c r="H487" s="26" t="s">
        <v>556</v>
      </c>
      <c r="I487" s="31" t="str">
        <f t="shared" si="71"/>
        <v>Service completo. Cambio de aceite y filtros. Control general de mas de 50 puntos del vehiculo. Desarmar distribucion completa. Cambiar kit, bomba de agua, correa poly-v y liquido refrigerante. Purgado del circuito de refrigeracion. Puesta a punto. Armado total.</v>
      </c>
      <c r="K487" s="26" t="s">
        <v>91</v>
      </c>
      <c r="P487" s="27">
        <v>1</v>
      </c>
      <c r="Q487" s="34">
        <v>40000</v>
      </c>
      <c r="R487" s="36">
        <f t="shared" si="64"/>
        <v>40000</v>
      </c>
      <c r="S487" s="6">
        <v>1</v>
      </c>
      <c r="T487" s="7">
        <v>185000</v>
      </c>
      <c r="U487" s="39">
        <f t="shared" si="63"/>
        <v>185000</v>
      </c>
      <c r="V487" s="41">
        <f t="shared" si="72"/>
        <v>185000</v>
      </c>
    </row>
    <row r="488" spans="1:22" x14ac:dyDescent="0.25">
      <c r="A488" s="47">
        <v>141</v>
      </c>
      <c r="B488" s="31">
        <f t="shared" si="70"/>
        <v>2</v>
      </c>
      <c r="C488" s="48">
        <f t="shared" ref="C488:C493" si="73">IF(A488=A487,C487,"")</f>
        <v>45407</v>
      </c>
      <c r="D488" s="47" t="str">
        <f t="shared" ref="D488:D493" si="74">IF(A488=A487,D487,"")</f>
        <v>Guerrieri Gladys</v>
      </c>
      <c r="E488" s="31" t="str">
        <f t="shared" si="65"/>
        <v>141Guerrieri Gladys2</v>
      </c>
      <c r="I488" s="31" t="str">
        <f t="shared" si="71"/>
        <v xml:space="preserve">Service completo. Cambio de aceite y filtros. Control general de mas de 50 puntos del vehiculo. Desarmar distribucion completa. Cambiar kit, bomba de agua, correa poly-v y liquido refrigerante. Purgado del circuito de refrigeracion. Puesta a punto. Armado total. </v>
      </c>
      <c r="K488" s="26" t="s">
        <v>90</v>
      </c>
      <c r="P488" s="27">
        <v>4.5</v>
      </c>
      <c r="Q488" s="34">
        <v>16550</v>
      </c>
      <c r="R488" s="36">
        <f t="shared" si="64"/>
        <v>74475</v>
      </c>
      <c r="U488" s="39">
        <f t="shared" si="63"/>
        <v>0</v>
      </c>
      <c r="V488" s="41">
        <f t="shared" si="72"/>
        <v>185000</v>
      </c>
    </row>
    <row r="489" spans="1:22" x14ac:dyDescent="0.25">
      <c r="A489" s="47">
        <v>141</v>
      </c>
      <c r="B489" s="31">
        <f t="shared" si="70"/>
        <v>3</v>
      </c>
      <c r="C489" s="48">
        <f t="shared" si="73"/>
        <v>45407</v>
      </c>
      <c r="D489" s="47" t="str">
        <f t="shared" si="74"/>
        <v>Guerrieri Gladys</v>
      </c>
      <c r="E489" s="31" t="str">
        <f t="shared" si="65"/>
        <v>141Guerrieri Gladys3</v>
      </c>
      <c r="I489" s="31" t="str">
        <f t="shared" si="71"/>
        <v xml:space="preserve">Service completo. Cambio de aceite y filtros. Control general de mas de 50 puntos del vehiculo. Desarmar distribucion completa. Cambiar kit, bomba de agua, correa poly-v y liquido refrigerante. Purgado del circuito de refrigeracion. Puesta a punto. Armado total.  </v>
      </c>
      <c r="K489" s="26" t="s">
        <v>408</v>
      </c>
      <c r="P489" s="27">
        <v>1</v>
      </c>
      <c r="Q489" s="34">
        <v>350000</v>
      </c>
      <c r="R489" s="36">
        <f t="shared" si="64"/>
        <v>350000</v>
      </c>
      <c r="U489" s="39">
        <f t="shared" si="63"/>
        <v>0</v>
      </c>
      <c r="V489" s="41">
        <f t="shared" si="72"/>
        <v>185000</v>
      </c>
    </row>
    <row r="490" spans="1:22" x14ac:dyDescent="0.25">
      <c r="A490" s="47">
        <v>141</v>
      </c>
      <c r="B490" s="31">
        <f t="shared" si="70"/>
        <v>4</v>
      </c>
      <c r="C490" s="48">
        <f t="shared" si="73"/>
        <v>45407</v>
      </c>
      <c r="D490" s="47" t="str">
        <f t="shared" si="74"/>
        <v>Guerrieri Gladys</v>
      </c>
      <c r="E490" s="31" t="str">
        <f t="shared" si="65"/>
        <v>141Guerrieri Gladys4</v>
      </c>
      <c r="I490" s="31" t="str">
        <f t="shared" si="71"/>
        <v xml:space="preserve">Service completo. Cambio de aceite y filtros. Control general de mas de 50 puntos del vehiculo. Desarmar distribucion completa. Cambiar kit, bomba de agua, correa poly-v y liquido refrigerante. Purgado del circuito de refrigeracion. Puesta a punto. Armado total.   </v>
      </c>
      <c r="K490" s="26" t="s">
        <v>582</v>
      </c>
      <c r="P490" s="27">
        <v>1</v>
      </c>
      <c r="Q490" s="34">
        <v>28000</v>
      </c>
      <c r="R490" s="36">
        <f t="shared" si="64"/>
        <v>28000</v>
      </c>
      <c r="U490" s="39">
        <f t="shared" si="63"/>
        <v>0</v>
      </c>
      <c r="V490" s="41">
        <f t="shared" si="72"/>
        <v>185000</v>
      </c>
    </row>
    <row r="491" spans="1:22" x14ac:dyDescent="0.25">
      <c r="A491" s="47">
        <v>141</v>
      </c>
      <c r="B491" s="31">
        <f t="shared" si="70"/>
        <v>5</v>
      </c>
      <c r="C491" s="48">
        <f t="shared" si="73"/>
        <v>45407</v>
      </c>
      <c r="D491" s="47" t="str">
        <f t="shared" si="74"/>
        <v>Guerrieri Gladys</v>
      </c>
      <c r="E491" s="31" t="str">
        <f t="shared" si="65"/>
        <v>141Guerrieri Gladys5</v>
      </c>
      <c r="I491" s="31" t="str">
        <f t="shared" si="71"/>
        <v xml:space="preserve">Service completo. Cambio de aceite y filtros. Control general de mas de 50 puntos del vehiculo. Desarmar distribucion completa. Cambiar kit, bomba de agua, correa poly-v y liquido refrigerante. Purgado del circuito de refrigeracion. Puesta a punto. Armado total.    </v>
      </c>
      <c r="K491" s="26" t="s">
        <v>409</v>
      </c>
      <c r="P491" s="27">
        <v>2</v>
      </c>
      <c r="Q491" s="34">
        <v>11500</v>
      </c>
      <c r="R491" s="36">
        <f t="shared" si="64"/>
        <v>23000</v>
      </c>
      <c r="U491" s="39">
        <f t="shared" si="63"/>
        <v>0</v>
      </c>
      <c r="V491" s="41">
        <f t="shared" si="72"/>
        <v>185000</v>
      </c>
    </row>
    <row r="492" spans="1:22" x14ac:dyDescent="0.25">
      <c r="A492" s="47">
        <v>141</v>
      </c>
      <c r="B492" s="31">
        <f t="shared" si="70"/>
        <v>6</v>
      </c>
      <c r="C492" s="48">
        <f t="shared" si="73"/>
        <v>45407</v>
      </c>
      <c r="D492" s="47" t="str">
        <f t="shared" si="74"/>
        <v>Guerrieri Gladys</v>
      </c>
      <c r="E492" s="31" t="str">
        <f t="shared" si="65"/>
        <v>141Guerrieri Gladys6</v>
      </c>
      <c r="I492" s="31" t="str">
        <f t="shared" si="71"/>
        <v xml:space="preserve">Service completo. Cambio de aceite y filtros. Control general de mas de 50 puntos del vehiculo. Desarmar distribucion completa. Cambiar kit, bomba de agua, correa poly-v y liquido refrigerante. Purgado del circuito de refrigeracion. Puesta a punto. Armado total.     </v>
      </c>
      <c r="K492" s="26" t="s">
        <v>410</v>
      </c>
      <c r="P492" s="27">
        <v>1</v>
      </c>
      <c r="Q492" s="34">
        <v>4000</v>
      </c>
      <c r="R492" s="36">
        <f t="shared" si="64"/>
        <v>4000</v>
      </c>
      <c r="U492" s="39">
        <f t="shared" si="63"/>
        <v>0</v>
      </c>
      <c r="V492" s="41">
        <f t="shared" si="72"/>
        <v>185000</v>
      </c>
    </row>
    <row r="493" spans="1:22" x14ac:dyDescent="0.25">
      <c r="A493" s="47">
        <v>141</v>
      </c>
      <c r="B493" s="31">
        <f t="shared" si="70"/>
        <v>7</v>
      </c>
      <c r="C493" s="48">
        <f t="shared" si="73"/>
        <v>45407</v>
      </c>
      <c r="D493" s="47" t="str">
        <f t="shared" si="74"/>
        <v>Guerrieri Gladys</v>
      </c>
      <c r="E493" s="31" t="str">
        <f t="shared" si="65"/>
        <v>141Guerrieri Gladys7</v>
      </c>
      <c r="I493" s="31" t="str">
        <f t="shared" si="71"/>
        <v xml:space="preserve">Service completo. Cambio de aceite y filtros. Control general de mas de 50 puntos del vehiculo. Desarmar distribucion completa. Cambiar kit, bomba de agua, correa poly-v y liquido refrigerante. Purgado del circuito de refrigeracion. Puesta a punto. Armado total.      </v>
      </c>
      <c r="P493" s="27"/>
      <c r="Q493" s="34"/>
      <c r="R493" s="36">
        <f t="shared" si="64"/>
        <v>0</v>
      </c>
      <c r="U493" s="39">
        <f t="shared" si="63"/>
        <v>0</v>
      </c>
      <c r="V493" s="41">
        <f t="shared" si="72"/>
        <v>185000</v>
      </c>
    </row>
    <row r="494" spans="1:22" x14ac:dyDescent="0.25">
      <c r="A494" s="47">
        <v>142</v>
      </c>
      <c r="B494" s="31">
        <f t="shared" si="70"/>
        <v>1</v>
      </c>
      <c r="C494" s="48">
        <v>45409</v>
      </c>
      <c r="D494" s="47" t="s">
        <v>550</v>
      </c>
      <c r="E494" s="31" t="str">
        <f t="shared" si="65"/>
        <v>142Greco Fer1</v>
      </c>
      <c r="G494" s="47" t="s">
        <v>352</v>
      </c>
      <c r="H494" s="26" t="s">
        <v>407</v>
      </c>
      <c r="I494" s="31" t="str">
        <f t="shared" si="71"/>
        <v>Desarmar distribucion completa. Cambiar kit, bomba de agua, correa poly-v y liquido refrigerante. Purgado del circuito de refrigeracion. Puesta a punto. Armado total.</v>
      </c>
      <c r="P494" s="27"/>
      <c r="Q494" s="34"/>
      <c r="R494" s="36">
        <f t="shared" si="64"/>
        <v>0</v>
      </c>
      <c r="S494" s="6">
        <v>1</v>
      </c>
      <c r="T494" s="7">
        <v>120000</v>
      </c>
      <c r="U494" s="39">
        <f t="shared" si="63"/>
        <v>120000</v>
      </c>
      <c r="V494" s="41">
        <f t="shared" si="72"/>
        <v>120000</v>
      </c>
    </row>
    <row r="495" spans="1:22" x14ac:dyDescent="0.25">
      <c r="A495" s="47">
        <v>142</v>
      </c>
      <c r="B495" s="31">
        <f t="shared" si="70"/>
        <v>2</v>
      </c>
      <c r="C495" s="48">
        <f>IF(A495=A494,C494,"")</f>
        <v>45409</v>
      </c>
      <c r="D495" s="47" t="str">
        <f>IF(A495=A494,D494,"")</f>
        <v>Greco Fer</v>
      </c>
      <c r="E495" s="31" t="str">
        <f t="shared" si="65"/>
        <v>142Greco Fer2</v>
      </c>
      <c r="I495" s="31" t="str">
        <f t="shared" si="71"/>
        <v xml:space="preserve">Desarmar distribucion completa. Cambiar kit, bomba de agua, correa poly-v y liquido refrigerante. Purgado del circuito de refrigeracion. Puesta a punto. Armado total. </v>
      </c>
      <c r="P495" s="27"/>
      <c r="Q495" s="34"/>
      <c r="R495" s="36">
        <f t="shared" si="64"/>
        <v>0</v>
      </c>
      <c r="U495" s="39">
        <f t="shared" si="63"/>
        <v>0</v>
      </c>
      <c r="V495" s="41">
        <f t="shared" si="72"/>
        <v>120000</v>
      </c>
    </row>
    <row r="496" spans="1:22" x14ac:dyDescent="0.25">
      <c r="A496" s="47">
        <v>143</v>
      </c>
      <c r="B496" s="31">
        <f t="shared" si="70"/>
        <v>1</v>
      </c>
      <c r="C496" s="48">
        <v>45409</v>
      </c>
      <c r="D496" s="47" t="s">
        <v>550</v>
      </c>
      <c r="E496" s="31" t="str">
        <f t="shared" si="65"/>
        <v>143Greco Fer1</v>
      </c>
      <c r="G496" s="47" t="s">
        <v>583</v>
      </c>
      <c r="H496" s="26" t="s">
        <v>440</v>
      </c>
      <c r="I496" s="31" t="str">
        <f t="shared" si="71"/>
        <v>Service completo. Cambio de aceite y filtros. Control general de mas de 50 puntos del vehiculo.</v>
      </c>
      <c r="P496" s="27"/>
      <c r="Q496" s="34"/>
      <c r="R496" s="36">
        <f t="shared" si="64"/>
        <v>0</v>
      </c>
      <c r="S496" s="6">
        <v>1</v>
      </c>
      <c r="T496" s="7">
        <v>65000</v>
      </c>
      <c r="U496" s="39">
        <f t="shared" si="63"/>
        <v>65000</v>
      </c>
      <c r="V496" s="41">
        <f t="shared" si="72"/>
        <v>65000</v>
      </c>
    </row>
    <row r="497" spans="1:22" x14ac:dyDescent="0.25">
      <c r="A497" s="47">
        <v>143</v>
      </c>
      <c r="B497" s="31">
        <f t="shared" si="70"/>
        <v>2</v>
      </c>
      <c r="C497" s="48">
        <f>IF(A497=A496,C496,"")</f>
        <v>45409</v>
      </c>
      <c r="D497" s="47" t="str">
        <f>IF(A497=A496,D496,"")</f>
        <v>Greco Fer</v>
      </c>
      <c r="E497" s="31" t="str">
        <f t="shared" si="65"/>
        <v>143Greco Fer2</v>
      </c>
      <c r="I497" s="31" t="str">
        <f t="shared" si="71"/>
        <v xml:space="preserve">Service completo. Cambio de aceite y filtros. Control general de mas de 50 puntos del vehiculo. </v>
      </c>
      <c r="P497" s="27"/>
      <c r="Q497" s="34"/>
      <c r="R497" s="36">
        <f t="shared" si="64"/>
        <v>0</v>
      </c>
      <c r="U497" s="39">
        <f t="shared" si="63"/>
        <v>0</v>
      </c>
      <c r="V497" s="41">
        <f t="shared" si="72"/>
        <v>65000</v>
      </c>
    </row>
    <row r="498" spans="1:22" x14ac:dyDescent="0.25">
      <c r="A498" s="47">
        <v>144</v>
      </c>
      <c r="B498" s="31">
        <f t="shared" si="70"/>
        <v>1</v>
      </c>
      <c r="C498" s="48">
        <v>45411</v>
      </c>
      <c r="D498" s="47" t="s">
        <v>584</v>
      </c>
      <c r="E498" s="31" t="str">
        <f t="shared" si="65"/>
        <v>144Sfarcich Daniel1</v>
      </c>
      <c r="G498" s="47" t="s">
        <v>58</v>
      </c>
      <c r="H498" s="26" t="s">
        <v>358</v>
      </c>
      <c r="I498" s="31" t="str">
        <f t="shared" si="71"/>
        <v>Service completo. Cambio de aceite y filtros. Control general del vehiculo.</v>
      </c>
      <c r="K498" s="26" t="s">
        <v>91</v>
      </c>
      <c r="P498" s="27">
        <v>1</v>
      </c>
      <c r="Q498" s="34">
        <v>68000</v>
      </c>
      <c r="R498" s="36">
        <f t="shared" si="64"/>
        <v>68000</v>
      </c>
      <c r="S498" s="6">
        <v>1</v>
      </c>
      <c r="T498" s="7">
        <v>85000</v>
      </c>
      <c r="U498" s="39">
        <f t="shared" si="63"/>
        <v>85000</v>
      </c>
      <c r="V498" s="41">
        <f t="shared" si="72"/>
        <v>85000</v>
      </c>
    </row>
    <row r="499" spans="1:22" x14ac:dyDescent="0.25">
      <c r="A499" s="47">
        <v>144</v>
      </c>
      <c r="B499" s="31">
        <f t="shared" si="70"/>
        <v>2</v>
      </c>
      <c r="C499" s="48">
        <f>IF(A499=A498,C498,"")</f>
        <v>45411</v>
      </c>
      <c r="D499" s="47" t="str">
        <f>IF(A499=A498,D498,"")</f>
        <v>Sfarcich Daniel</v>
      </c>
      <c r="E499" s="31" t="str">
        <f t="shared" si="65"/>
        <v>144Sfarcich Daniel2</v>
      </c>
      <c r="I499" s="31" t="str">
        <f t="shared" si="71"/>
        <v xml:space="preserve">Service completo. Cambio de aceite y filtros. Control general del vehiculo. </v>
      </c>
      <c r="K499" s="26" t="s">
        <v>588</v>
      </c>
      <c r="P499" s="27">
        <v>9</v>
      </c>
      <c r="Q499" s="34">
        <v>16550</v>
      </c>
      <c r="R499" s="36">
        <f t="shared" si="64"/>
        <v>148950</v>
      </c>
      <c r="U499" s="39">
        <f t="shared" si="63"/>
        <v>0</v>
      </c>
      <c r="V499" s="41">
        <f t="shared" si="72"/>
        <v>85000</v>
      </c>
    </row>
    <row r="500" spans="1:22" x14ac:dyDescent="0.25">
      <c r="A500" s="47">
        <v>145</v>
      </c>
      <c r="B500" s="31">
        <f t="shared" si="70"/>
        <v>1</v>
      </c>
      <c r="C500" s="48">
        <v>45411</v>
      </c>
      <c r="D500" s="47" t="s">
        <v>585</v>
      </c>
      <c r="E500" s="31" t="str">
        <f t="shared" si="65"/>
        <v>145Maan Constructora1</v>
      </c>
      <c r="G500" s="47" t="s">
        <v>586</v>
      </c>
      <c r="H500" s="26" t="s">
        <v>587</v>
      </c>
      <c r="I500" s="31" t="str">
        <f t="shared" si="71"/>
        <v>Desarmar distribucion completa. Cambiar kit, bomba de agua, ambas correa poly-v y liquido refrigerante. Purgado del circuito de refrigeracion. Puesta a punto. Armado total.</v>
      </c>
      <c r="K500" s="26" t="s">
        <v>341</v>
      </c>
      <c r="P500" s="27">
        <v>1</v>
      </c>
      <c r="Q500" s="34">
        <v>88000</v>
      </c>
      <c r="R500" s="36">
        <f t="shared" si="64"/>
        <v>88000</v>
      </c>
      <c r="S500" s="6">
        <v>1</v>
      </c>
      <c r="T500" s="7">
        <v>120000</v>
      </c>
      <c r="U500" s="39">
        <f t="shared" si="63"/>
        <v>120000</v>
      </c>
      <c r="V500" s="41">
        <f t="shared" si="72"/>
        <v>120000</v>
      </c>
    </row>
    <row r="501" spans="1:22" x14ac:dyDescent="0.25">
      <c r="A501" s="47">
        <v>145</v>
      </c>
      <c r="B501" s="31">
        <f t="shared" si="70"/>
        <v>2</v>
      </c>
      <c r="C501" s="48">
        <f>IF(A501=A500,C500,"")</f>
        <v>45411</v>
      </c>
      <c r="D501" s="47" t="str">
        <f>IF(A501=A500,D500,"")</f>
        <v>Maan Constructora</v>
      </c>
      <c r="E501" s="31" t="str">
        <f t="shared" si="65"/>
        <v>145Maan Constructora2</v>
      </c>
      <c r="I501" s="31" t="str">
        <f t="shared" si="71"/>
        <v xml:space="preserve">Desarmar distribucion completa. Cambiar kit, bomba de agua, ambas correa poly-v y liquido refrigerante. Purgado del circuito de refrigeracion. Puesta a punto. Armado total. </v>
      </c>
      <c r="K501" s="26" t="s">
        <v>69</v>
      </c>
      <c r="P501" s="27">
        <v>1</v>
      </c>
      <c r="Q501" s="34">
        <v>46900</v>
      </c>
      <c r="R501" s="36">
        <f t="shared" si="64"/>
        <v>46900</v>
      </c>
      <c r="U501" s="39">
        <f t="shared" si="63"/>
        <v>0</v>
      </c>
      <c r="V501" s="41">
        <f t="shared" si="72"/>
        <v>120000</v>
      </c>
    </row>
    <row r="502" spans="1:22" x14ac:dyDescent="0.25">
      <c r="A502" s="47">
        <v>145</v>
      </c>
      <c r="B502" s="31">
        <f t="shared" si="70"/>
        <v>3</v>
      </c>
      <c r="C502" s="48">
        <f>IF(A502=A501,C501,"")</f>
        <v>45411</v>
      </c>
      <c r="D502" s="47" t="str">
        <f>IF(A502=A501,D501,"")</f>
        <v>Maan Constructora</v>
      </c>
      <c r="E502" s="31" t="str">
        <f t="shared" si="65"/>
        <v>145Maan Constructora3</v>
      </c>
      <c r="I502" s="31" t="str">
        <f t="shared" si="71"/>
        <v xml:space="preserve">Desarmar distribucion completa. Cambiar kit, bomba de agua, ambas correa poly-v y liquido refrigerante. Purgado del circuito de refrigeracion. Puesta a punto. Armado total.  </v>
      </c>
      <c r="K502" s="26" t="s">
        <v>322</v>
      </c>
      <c r="P502" s="27">
        <v>1</v>
      </c>
      <c r="Q502" s="34">
        <v>56000</v>
      </c>
      <c r="R502" s="36">
        <f t="shared" si="64"/>
        <v>56000</v>
      </c>
      <c r="U502" s="39">
        <f t="shared" si="63"/>
        <v>0</v>
      </c>
      <c r="V502" s="41">
        <f t="shared" si="72"/>
        <v>120000</v>
      </c>
    </row>
    <row r="503" spans="1:22" x14ac:dyDescent="0.25">
      <c r="A503" s="47">
        <v>145</v>
      </c>
      <c r="B503" s="31">
        <f t="shared" si="70"/>
        <v>4</v>
      </c>
      <c r="C503" s="48">
        <f>IF(A503=A502,C502,"")</f>
        <v>45411</v>
      </c>
      <c r="D503" s="47" t="str">
        <f>IF(A503=A502,D502,"")</f>
        <v>Maan Constructora</v>
      </c>
      <c r="E503" s="31" t="str">
        <f t="shared" si="65"/>
        <v>145Maan Constructora4</v>
      </c>
      <c r="I503" s="31" t="str">
        <f t="shared" si="71"/>
        <v xml:space="preserve">Desarmar distribucion completa. Cambiar kit, bomba de agua, ambas correa poly-v y liquido refrigerante. Purgado del circuito de refrigeracion. Puesta a punto. Armado total.   </v>
      </c>
      <c r="K503" s="26" t="s">
        <v>409</v>
      </c>
      <c r="P503" s="27">
        <v>2</v>
      </c>
      <c r="Q503" s="34">
        <v>11500</v>
      </c>
      <c r="R503" s="36">
        <f t="shared" si="64"/>
        <v>23000</v>
      </c>
      <c r="U503" s="39">
        <f t="shared" si="63"/>
        <v>0</v>
      </c>
      <c r="V503" s="41">
        <f t="shared" si="72"/>
        <v>120000</v>
      </c>
    </row>
    <row r="504" spans="1:22" x14ac:dyDescent="0.25">
      <c r="A504" s="47">
        <v>145</v>
      </c>
      <c r="B504" s="31">
        <f t="shared" si="70"/>
        <v>5</v>
      </c>
      <c r="C504" s="48">
        <f>IF(A504=A503,C503,"")</f>
        <v>45411</v>
      </c>
      <c r="D504" s="47" t="str">
        <f>IF(A504=A503,D503,"")</f>
        <v>Maan Constructora</v>
      </c>
      <c r="E504" s="31" t="str">
        <f t="shared" si="65"/>
        <v>145Maan Constructora5</v>
      </c>
      <c r="I504" s="31" t="str">
        <f t="shared" si="71"/>
        <v xml:space="preserve">Desarmar distribucion completa. Cambiar kit, bomba de agua, ambas correa poly-v y liquido refrigerante. Purgado del circuito de refrigeracion. Puesta a punto. Armado total.    </v>
      </c>
      <c r="K504" s="26" t="s">
        <v>410</v>
      </c>
      <c r="P504" s="27">
        <v>1</v>
      </c>
      <c r="Q504" s="34">
        <v>4000</v>
      </c>
      <c r="R504" s="36">
        <f t="shared" si="64"/>
        <v>4000</v>
      </c>
      <c r="U504" s="39">
        <f t="shared" si="63"/>
        <v>0</v>
      </c>
      <c r="V504" s="41">
        <f t="shared" si="72"/>
        <v>120000</v>
      </c>
    </row>
    <row r="505" spans="1:22" x14ac:dyDescent="0.25">
      <c r="A505" s="47">
        <v>146</v>
      </c>
      <c r="B505" s="31">
        <f t="shared" si="70"/>
        <v>1</v>
      </c>
      <c r="C505" s="48">
        <v>45414</v>
      </c>
      <c r="D505" s="47" t="s">
        <v>351</v>
      </c>
      <c r="E505" s="31" t="str">
        <f t="shared" si="65"/>
        <v>146Magliano Barbara1</v>
      </c>
      <c r="G505" s="47" t="s">
        <v>352</v>
      </c>
      <c r="H505" s="26" t="s">
        <v>440</v>
      </c>
      <c r="I505" s="31" t="str">
        <f t="shared" si="71"/>
        <v>Service completo. Cambio de aceite y filtros. Control general de mas de 50 puntos del vehiculo.</v>
      </c>
      <c r="P505" s="27"/>
      <c r="Q505" s="34"/>
      <c r="R505" s="36">
        <f t="shared" si="64"/>
        <v>0</v>
      </c>
      <c r="S505" s="6">
        <v>1</v>
      </c>
      <c r="T505" s="7">
        <v>65000</v>
      </c>
      <c r="U505" s="39">
        <f t="shared" si="63"/>
        <v>65000</v>
      </c>
      <c r="V505" s="41">
        <f t="shared" si="72"/>
        <v>65000</v>
      </c>
    </row>
    <row r="506" spans="1:22" x14ac:dyDescent="0.25">
      <c r="A506" s="47">
        <v>146</v>
      </c>
      <c r="B506" s="31">
        <f t="shared" si="70"/>
        <v>2</v>
      </c>
      <c r="C506" s="48">
        <f>IF(A506=A505,C505,"")</f>
        <v>45414</v>
      </c>
      <c r="D506" s="47" t="str">
        <f>IF(A506=A505,D505,"")</f>
        <v>Magliano Barbara</v>
      </c>
      <c r="E506" s="31" t="str">
        <f t="shared" si="65"/>
        <v>146Magliano Barbara2</v>
      </c>
      <c r="I506" s="31" t="str">
        <f t="shared" si="71"/>
        <v xml:space="preserve">Service completo. Cambio de aceite y filtros. Control general de mas de 50 puntos del vehiculo. </v>
      </c>
      <c r="P506" s="27"/>
      <c r="Q506" s="34"/>
      <c r="R506" s="36">
        <f t="shared" si="64"/>
        <v>0</v>
      </c>
      <c r="U506" s="39">
        <f t="shared" si="63"/>
        <v>0</v>
      </c>
      <c r="V506" s="41">
        <f t="shared" si="72"/>
        <v>65000</v>
      </c>
    </row>
    <row r="507" spans="1:22" x14ac:dyDescent="0.25">
      <c r="A507" s="47">
        <v>147</v>
      </c>
      <c r="B507" s="31">
        <f t="shared" si="70"/>
        <v>1</v>
      </c>
      <c r="C507" s="48">
        <v>45418</v>
      </c>
      <c r="D507" s="47" t="s">
        <v>589</v>
      </c>
      <c r="E507" s="31" t="str">
        <f t="shared" si="65"/>
        <v>147Palloni Florencia1</v>
      </c>
      <c r="G507" s="47" t="s">
        <v>533</v>
      </c>
      <c r="H507" s="26" t="s">
        <v>440</v>
      </c>
      <c r="I507" s="31" t="str">
        <f t="shared" si="71"/>
        <v>Service completo. Cambio de aceite y filtros. Control general de mas de 50 puntos del vehiculo.</v>
      </c>
      <c r="K507" s="26" t="s">
        <v>91</v>
      </c>
      <c r="P507" s="27">
        <v>1</v>
      </c>
      <c r="Q507" s="34">
        <v>35000</v>
      </c>
      <c r="R507" s="36">
        <f t="shared" si="64"/>
        <v>35000</v>
      </c>
      <c r="S507" s="6">
        <v>1</v>
      </c>
      <c r="T507" s="7">
        <v>65000</v>
      </c>
      <c r="U507" s="39">
        <f t="shared" si="63"/>
        <v>65000</v>
      </c>
      <c r="V507" s="41">
        <f t="shared" si="72"/>
        <v>65000</v>
      </c>
    </row>
    <row r="508" spans="1:22" x14ac:dyDescent="0.25">
      <c r="A508" s="47">
        <v>147</v>
      </c>
      <c r="B508" s="31">
        <f t="shared" si="70"/>
        <v>2</v>
      </c>
      <c r="C508" s="48">
        <f>IF(A508=A507,C507,"")</f>
        <v>45418</v>
      </c>
      <c r="D508" s="47" t="str">
        <f>IF(A508=A507,D507,"")</f>
        <v>Palloni Florencia</v>
      </c>
      <c r="E508" s="31" t="str">
        <f t="shared" si="65"/>
        <v>147Palloni Florencia2</v>
      </c>
      <c r="I508" s="31" t="str">
        <f t="shared" si="71"/>
        <v xml:space="preserve">Service completo. Cambio de aceite y filtros. Control general de mas de 50 puntos del vehiculo. </v>
      </c>
      <c r="K508" s="26" t="s">
        <v>108</v>
      </c>
      <c r="P508" s="27">
        <v>4</v>
      </c>
      <c r="Q508" s="34">
        <v>11250</v>
      </c>
      <c r="R508" s="36">
        <f t="shared" si="64"/>
        <v>45000</v>
      </c>
      <c r="U508" s="39">
        <f t="shared" si="63"/>
        <v>0</v>
      </c>
      <c r="V508" s="41">
        <f t="shared" si="72"/>
        <v>65000</v>
      </c>
    </row>
    <row r="509" spans="1:22" x14ac:dyDescent="0.25">
      <c r="A509" s="47">
        <v>148</v>
      </c>
      <c r="B509" s="31">
        <f t="shared" si="70"/>
        <v>1</v>
      </c>
      <c r="C509" s="48">
        <v>45425</v>
      </c>
      <c r="D509" s="47" t="s">
        <v>590</v>
      </c>
      <c r="E509" s="31" t="str">
        <f t="shared" si="65"/>
        <v>148Durán1</v>
      </c>
      <c r="G509" s="47" t="s">
        <v>591</v>
      </c>
      <c r="H509" s="26" t="s">
        <v>440</v>
      </c>
      <c r="I509" s="31" t="str">
        <f t="shared" si="71"/>
        <v>Service completo. Cambio de aceite y filtros. Control general de mas de 50 puntos del vehiculo.</v>
      </c>
      <c r="K509" s="26" t="s">
        <v>91</v>
      </c>
      <c r="P509" s="27">
        <v>1</v>
      </c>
      <c r="Q509" s="34">
        <v>42500</v>
      </c>
      <c r="R509" s="36">
        <f t="shared" si="64"/>
        <v>42500</v>
      </c>
      <c r="S509" s="6">
        <v>1</v>
      </c>
      <c r="T509" s="7">
        <v>65000</v>
      </c>
      <c r="U509" s="39">
        <f t="shared" si="63"/>
        <v>65000</v>
      </c>
      <c r="V509" s="41">
        <f t="shared" si="72"/>
        <v>65000</v>
      </c>
    </row>
    <row r="510" spans="1:22" x14ac:dyDescent="0.25">
      <c r="A510" s="47">
        <v>148</v>
      </c>
      <c r="B510" s="31">
        <f t="shared" si="70"/>
        <v>2</v>
      </c>
      <c r="C510" s="48">
        <f>IF(A510=A509,C509,"")</f>
        <v>45425</v>
      </c>
      <c r="D510" s="47" t="str">
        <f>IF(A510=A509,D509,"")</f>
        <v>Durán</v>
      </c>
      <c r="E510" s="31" t="str">
        <f t="shared" si="65"/>
        <v>148Durán2</v>
      </c>
      <c r="I510" s="31" t="str">
        <f t="shared" si="71"/>
        <v xml:space="preserve">Service completo. Cambio de aceite y filtros. Control general de mas de 50 puntos del vehiculo. </v>
      </c>
      <c r="K510" s="26" t="s">
        <v>90</v>
      </c>
      <c r="P510" s="27">
        <v>4.5</v>
      </c>
      <c r="Q510" s="34">
        <v>16550</v>
      </c>
      <c r="R510" s="36">
        <f t="shared" si="64"/>
        <v>74475</v>
      </c>
      <c r="U510" s="39">
        <f t="shared" si="63"/>
        <v>0</v>
      </c>
      <c r="V510" s="41">
        <f t="shared" si="72"/>
        <v>65000</v>
      </c>
    </row>
    <row r="511" spans="1:22" x14ac:dyDescent="0.25">
      <c r="A511" s="47">
        <v>149</v>
      </c>
      <c r="B511" s="31">
        <f t="shared" si="70"/>
        <v>1</v>
      </c>
      <c r="C511" s="48">
        <v>45425</v>
      </c>
      <c r="D511" s="47" t="s">
        <v>486</v>
      </c>
      <c r="E511" s="31" t="str">
        <f t="shared" si="65"/>
        <v>149Rosende Gerardo1</v>
      </c>
      <c r="G511" s="47" t="s">
        <v>242</v>
      </c>
      <c r="H511" s="26" t="s">
        <v>440</v>
      </c>
      <c r="I511" s="31" t="str">
        <f t="shared" si="71"/>
        <v>Service completo. Cambio de aceite y filtros. Control general de mas de 50 puntos del vehiculo.</v>
      </c>
      <c r="K511" s="26" t="s">
        <v>91</v>
      </c>
      <c r="P511" s="27">
        <v>1</v>
      </c>
      <c r="Q511" s="34">
        <v>46500</v>
      </c>
      <c r="R511" s="36">
        <f t="shared" si="64"/>
        <v>46500</v>
      </c>
      <c r="S511" s="6">
        <v>1</v>
      </c>
      <c r="T511" s="7">
        <v>65000</v>
      </c>
      <c r="U511" s="39">
        <f t="shared" si="63"/>
        <v>65000</v>
      </c>
      <c r="V511" s="41">
        <f t="shared" si="72"/>
        <v>65000</v>
      </c>
    </row>
    <row r="512" spans="1:22" x14ac:dyDescent="0.25">
      <c r="A512" s="47">
        <v>149</v>
      </c>
      <c r="B512" s="31">
        <f t="shared" si="70"/>
        <v>2</v>
      </c>
      <c r="C512" s="48">
        <f>IF(A512=A511,C511,"")</f>
        <v>45425</v>
      </c>
      <c r="D512" s="47" t="str">
        <f>IF(A512=A511,D511,"")</f>
        <v>Rosende Gerardo</v>
      </c>
      <c r="E512" s="31" t="str">
        <f t="shared" si="65"/>
        <v>149Rosende Gerardo2</v>
      </c>
      <c r="I512" s="31" t="str">
        <f t="shared" si="71"/>
        <v xml:space="preserve">Service completo. Cambio de aceite y filtros. Control general de mas de 50 puntos del vehiculo. </v>
      </c>
      <c r="K512" s="26" t="s">
        <v>108</v>
      </c>
      <c r="P512" s="27">
        <v>4</v>
      </c>
      <c r="Q512" s="34">
        <v>11250</v>
      </c>
      <c r="R512" s="36">
        <f t="shared" si="64"/>
        <v>45000</v>
      </c>
      <c r="U512" s="39">
        <f t="shared" si="63"/>
        <v>0</v>
      </c>
      <c r="V512" s="41">
        <f t="shared" si="72"/>
        <v>65000</v>
      </c>
    </row>
    <row r="513" spans="1:22" x14ac:dyDescent="0.25">
      <c r="A513" s="47">
        <v>150</v>
      </c>
      <c r="B513" s="31">
        <f t="shared" si="70"/>
        <v>1</v>
      </c>
      <c r="C513" s="48">
        <v>45426</v>
      </c>
      <c r="D513" s="47" t="s">
        <v>592</v>
      </c>
      <c r="E513" s="31" t="str">
        <f t="shared" si="65"/>
        <v>150Karina Anconetani1</v>
      </c>
      <c r="G513" s="47" t="s">
        <v>346</v>
      </c>
      <c r="H513" s="26" t="s">
        <v>440</v>
      </c>
      <c r="I513" s="31" t="str">
        <f t="shared" si="71"/>
        <v>Service completo. Cambio de aceite y filtros. Control general de mas de 50 puntos del vehiculo.</v>
      </c>
      <c r="K513" s="26" t="s">
        <v>91</v>
      </c>
      <c r="P513" s="27">
        <v>1</v>
      </c>
      <c r="Q513" s="34">
        <v>43000</v>
      </c>
      <c r="R513" s="36">
        <f t="shared" si="64"/>
        <v>43000</v>
      </c>
      <c r="S513" s="6">
        <v>1</v>
      </c>
      <c r="T513" s="7">
        <v>65000</v>
      </c>
      <c r="U513" s="39">
        <f t="shared" si="63"/>
        <v>65000</v>
      </c>
      <c r="V513" s="41">
        <f t="shared" si="72"/>
        <v>65000</v>
      </c>
    </row>
    <row r="514" spans="1:22" x14ac:dyDescent="0.25">
      <c r="A514" s="47">
        <v>150</v>
      </c>
      <c r="B514" s="31">
        <f t="shared" si="70"/>
        <v>2</v>
      </c>
      <c r="C514" s="48">
        <f>IF(A514=A513,C513,"")</f>
        <v>45426</v>
      </c>
      <c r="D514" s="47" t="str">
        <f>IF(A514=A513,D513,"")</f>
        <v>Karina Anconetani</v>
      </c>
      <c r="E514" s="31" t="str">
        <f t="shared" si="65"/>
        <v>150Karina Anconetani2</v>
      </c>
      <c r="I514" s="31" t="str">
        <f t="shared" si="71"/>
        <v xml:space="preserve">Service completo. Cambio de aceite y filtros. Control general de mas de 50 puntos del vehiculo. </v>
      </c>
      <c r="K514" s="26" t="s">
        <v>90</v>
      </c>
      <c r="P514" s="27">
        <v>5</v>
      </c>
      <c r="Q514" s="34">
        <v>16550</v>
      </c>
      <c r="R514" s="36">
        <f t="shared" si="64"/>
        <v>82750</v>
      </c>
      <c r="U514" s="39">
        <f t="shared" si="63"/>
        <v>0</v>
      </c>
      <c r="V514" s="41">
        <f t="shared" si="72"/>
        <v>65000</v>
      </c>
    </row>
    <row r="515" spans="1:22" x14ac:dyDescent="0.25">
      <c r="A515" s="47">
        <v>151</v>
      </c>
      <c r="B515" s="31">
        <f t="shared" si="70"/>
        <v>1</v>
      </c>
      <c r="C515" s="48">
        <v>45426</v>
      </c>
      <c r="D515" s="47" t="s">
        <v>590</v>
      </c>
      <c r="E515" s="31" t="str">
        <f t="shared" si="65"/>
        <v>151Durán1</v>
      </c>
      <c r="G515" s="47" t="s">
        <v>591</v>
      </c>
      <c r="H515" s="26" t="s">
        <v>593</v>
      </c>
      <c r="I515" s="31" t="str">
        <f t="shared" si="71"/>
        <v>Cambiar correa poly-v. Cambiar precap de direccion.</v>
      </c>
      <c r="K515" s="26" t="s">
        <v>322</v>
      </c>
      <c r="P515" s="27">
        <v>1</v>
      </c>
      <c r="Q515" s="34">
        <v>35000</v>
      </c>
      <c r="R515" s="36">
        <f t="shared" si="64"/>
        <v>35000</v>
      </c>
      <c r="S515" s="6">
        <v>1</v>
      </c>
      <c r="T515" s="7">
        <v>40000</v>
      </c>
      <c r="U515" s="39">
        <f t="shared" si="63"/>
        <v>40000</v>
      </c>
      <c r="V515" s="41">
        <f t="shared" si="72"/>
        <v>40000</v>
      </c>
    </row>
    <row r="516" spans="1:22" x14ac:dyDescent="0.25">
      <c r="A516" s="47">
        <v>151</v>
      </c>
      <c r="B516" s="31">
        <f t="shared" si="70"/>
        <v>2</v>
      </c>
      <c r="C516" s="48">
        <f>IF(A516=A515,C515,"")</f>
        <v>45426</v>
      </c>
      <c r="D516" s="47" t="str">
        <f>IF(A516=A515,D515,"")</f>
        <v>Durán</v>
      </c>
      <c r="E516" s="31" t="str">
        <f t="shared" si="65"/>
        <v>151Durán2</v>
      </c>
      <c r="I516" s="31" t="str">
        <f t="shared" si="71"/>
        <v xml:space="preserve">Cambiar correa poly-v. Cambiar precap de direccion. </v>
      </c>
      <c r="K516" s="26" t="s">
        <v>594</v>
      </c>
      <c r="P516" s="27">
        <v>1</v>
      </c>
      <c r="Q516" s="34">
        <v>28000</v>
      </c>
      <c r="R516" s="36">
        <f t="shared" si="64"/>
        <v>28000</v>
      </c>
      <c r="U516" s="39">
        <f t="shared" ref="U516:U579" si="75">+T516*S516</f>
        <v>0</v>
      </c>
      <c r="V516" s="41">
        <f t="shared" si="72"/>
        <v>40000</v>
      </c>
    </row>
    <row r="517" spans="1:22" x14ac:dyDescent="0.25">
      <c r="A517" s="47">
        <v>152</v>
      </c>
      <c r="B517" s="31">
        <f t="shared" si="70"/>
        <v>1</v>
      </c>
      <c r="C517" s="48">
        <v>45427</v>
      </c>
      <c r="D517" s="47" t="s">
        <v>595</v>
      </c>
      <c r="E517" s="31" t="str">
        <f t="shared" si="65"/>
        <v>152Carlos Stap1</v>
      </c>
      <c r="G517" s="47" t="s">
        <v>58</v>
      </c>
      <c r="H517" s="26" t="s">
        <v>597</v>
      </c>
      <c r="I517" s="31" t="str">
        <f t="shared" si="71"/>
        <v>Service. Cambio de aceite y filtro de aceite. Control general del vehiculo. Cambiar sensor de arbol de levas.</v>
      </c>
      <c r="K517" s="26" t="s">
        <v>90</v>
      </c>
      <c r="P517" s="27">
        <v>7.5</v>
      </c>
      <c r="Q517" s="34">
        <v>16550</v>
      </c>
      <c r="R517" s="36">
        <f t="shared" si="64"/>
        <v>124125</v>
      </c>
      <c r="S517" s="6">
        <v>1</v>
      </c>
      <c r="T517" s="7">
        <v>75000</v>
      </c>
      <c r="U517" s="39">
        <f t="shared" si="75"/>
        <v>75000</v>
      </c>
      <c r="V517" s="41">
        <f t="shared" si="72"/>
        <v>75000</v>
      </c>
    </row>
    <row r="518" spans="1:22" x14ac:dyDescent="0.25">
      <c r="A518" s="47">
        <v>152</v>
      </c>
      <c r="B518" s="31">
        <f t="shared" si="70"/>
        <v>2</v>
      </c>
      <c r="C518" s="48">
        <f>IF(A518=A517,C517,"")</f>
        <v>45427</v>
      </c>
      <c r="D518" s="47" t="str">
        <f>IF(A518=A517,D517,"")</f>
        <v>Carlos Stap</v>
      </c>
      <c r="E518" s="31" t="str">
        <f t="shared" si="65"/>
        <v>152Carlos Stap2</v>
      </c>
      <c r="I518" s="31" t="str">
        <f t="shared" si="71"/>
        <v xml:space="preserve">Service. Cambio de aceite y filtro de aceite. Control general del vehiculo. Cambiar sensor de arbol de levas. </v>
      </c>
      <c r="K518" s="26" t="s">
        <v>596</v>
      </c>
      <c r="P518" s="27">
        <v>1</v>
      </c>
      <c r="Q518" s="34">
        <v>18000</v>
      </c>
      <c r="R518" s="36">
        <f t="shared" si="64"/>
        <v>18000</v>
      </c>
      <c r="U518" s="39">
        <f t="shared" si="75"/>
        <v>0</v>
      </c>
      <c r="V518" s="41">
        <f t="shared" si="72"/>
        <v>75000</v>
      </c>
    </row>
    <row r="519" spans="1:22" x14ac:dyDescent="0.25">
      <c r="A519" s="47">
        <v>152</v>
      </c>
      <c r="B519" s="31">
        <f t="shared" si="70"/>
        <v>3</v>
      </c>
      <c r="C519" s="48">
        <f>IF(A519=A518,C518,"")</f>
        <v>45427</v>
      </c>
      <c r="D519" s="47" t="str">
        <f>IF(A519=A518,D518,"")</f>
        <v>Carlos Stap</v>
      </c>
      <c r="E519" s="31" t="str">
        <f t="shared" si="65"/>
        <v>152Carlos Stap3</v>
      </c>
      <c r="I519" s="31" t="str">
        <f t="shared" si="71"/>
        <v xml:space="preserve">Service. Cambio de aceite y filtro de aceite. Control general del vehiculo. Cambiar sensor de arbol de levas.  </v>
      </c>
      <c r="K519" s="26" t="s">
        <v>598</v>
      </c>
      <c r="P519" s="27">
        <v>1</v>
      </c>
      <c r="Q519" s="34"/>
      <c r="R519" s="36">
        <f t="shared" si="64"/>
        <v>0</v>
      </c>
      <c r="U519" s="39">
        <f t="shared" si="75"/>
        <v>0</v>
      </c>
      <c r="V519" s="41">
        <f t="shared" si="72"/>
        <v>75000</v>
      </c>
    </row>
    <row r="520" spans="1:22" x14ac:dyDescent="0.25">
      <c r="A520" s="47">
        <v>153</v>
      </c>
      <c r="B520" s="31">
        <f t="shared" si="70"/>
        <v>1</v>
      </c>
      <c r="C520" s="48">
        <v>45432</v>
      </c>
      <c r="D520" s="47" t="s">
        <v>599</v>
      </c>
      <c r="E520" s="31" t="str">
        <f t="shared" si="65"/>
        <v>153Ristorto Ester1</v>
      </c>
      <c r="G520" s="47" t="s">
        <v>600</v>
      </c>
      <c r="H520" s="26" t="s">
        <v>440</v>
      </c>
      <c r="I520" s="31" t="str">
        <f t="shared" si="71"/>
        <v>Service completo. Cambio de aceite y filtros. Control general de mas de 50 puntos del vehiculo.</v>
      </c>
      <c r="K520" s="26" t="s">
        <v>91</v>
      </c>
      <c r="P520" s="27">
        <v>1</v>
      </c>
      <c r="Q520" s="34">
        <v>44000</v>
      </c>
      <c r="R520" s="36">
        <f t="shared" si="64"/>
        <v>44000</v>
      </c>
      <c r="S520" s="6">
        <v>1</v>
      </c>
      <c r="T520" s="7">
        <v>60000</v>
      </c>
      <c r="U520" s="39">
        <f t="shared" si="75"/>
        <v>60000</v>
      </c>
      <c r="V520" s="41">
        <f t="shared" si="72"/>
        <v>60000</v>
      </c>
    </row>
    <row r="521" spans="1:22" x14ac:dyDescent="0.25">
      <c r="A521" s="47">
        <v>153</v>
      </c>
      <c r="B521" s="31">
        <f t="shared" si="70"/>
        <v>2</v>
      </c>
      <c r="C521" s="48">
        <f>IF(A521=A520,C520,"")</f>
        <v>45432</v>
      </c>
      <c r="D521" s="47" t="str">
        <f>IF(A521=A520,D520,"")</f>
        <v>Ristorto Ester</v>
      </c>
      <c r="E521" s="31" t="str">
        <f t="shared" si="65"/>
        <v>153Ristorto Ester2</v>
      </c>
      <c r="I521" s="31" t="str">
        <f t="shared" si="71"/>
        <v xml:space="preserve">Service completo. Cambio de aceite y filtros. Control general de mas de 50 puntos del vehiculo. </v>
      </c>
      <c r="K521" s="26" t="s">
        <v>108</v>
      </c>
      <c r="P521" s="27">
        <v>4</v>
      </c>
      <c r="Q521" s="34">
        <v>11250</v>
      </c>
      <c r="R521" s="36">
        <f t="shared" si="64"/>
        <v>45000</v>
      </c>
      <c r="U521" s="39">
        <f t="shared" si="75"/>
        <v>0</v>
      </c>
      <c r="V521" s="41">
        <f t="shared" si="72"/>
        <v>60000</v>
      </c>
    </row>
    <row r="522" spans="1:22" x14ac:dyDescent="0.25">
      <c r="A522" s="47">
        <v>154</v>
      </c>
      <c r="B522" s="31">
        <f t="shared" si="70"/>
        <v>1</v>
      </c>
      <c r="C522" s="48">
        <v>45436</v>
      </c>
      <c r="D522" s="47" t="s">
        <v>601</v>
      </c>
      <c r="E522" s="31" t="str">
        <f t="shared" si="65"/>
        <v>154Barnard Martin1</v>
      </c>
      <c r="G522" s="47" t="s">
        <v>602</v>
      </c>
      <c r="H522" s="26" t="s">
        <v>440</v>
      </c>
      <c r="I522" s="31" t="str">
        <f t="shared" si="71"/>
        <v>Service completo. Cambio de aceite y filtros. Control general de mas de 50 puntos del vehiculo.</v>
      </c>
      <c r="K522" s="26" t="s">
        <v>91</v>
      </c>
      <c r="P522" s="27">
        <v>1</v>
      </c>
      <c r="Q522" s="34">
        <v>107000</v>
      </c>
      <c r="R522" s="36">
        <f t="shared" si="64"/>
        <v>107000</v>
      </c>
      <c r="S522" s="6">
        <v>1</v>
      </c>
      <c r="T522" s="7">
        <v>65000</v>
      </c>
      <c r="U522" s="39">
        <f t="shared" si="75"/>
        <v>65000</v>
      </c>
      <c r="V522" s="41">
        <f t="shared" si="72"/>
        <v>65000</v>
      </c>
    </row>
    <row r="523" spans="1:22" x14ac:dyDescent="0.25">
      <c r="A523" s="47">
        <v>154</v>
      </c>
      <c r="B523" s="31">
        <f t="shared" si="70"/>
        <v>2</v>
      </c>
      <c r="C523" s="48">
        <f>IF(A523=A522,C522,"")</f>
        <v>45436</v>
      </c>
      <c r="D523" s="47" t="str">
        <f>IF(A523=A522,D522,"")</f>
        <v>Barnard Martin</v>
      </c>
      <c r="E523" s="31" t="str">
        <f t="shared" si="65"/>
        <v>154Barnard Martin2</v>
      </c>
      <c r="I523" s="31" t="str">
        <f t="shared" si="71"/>
        <v xml:space="preserve">Service completo. Cambio de aceite y filtros. Control general de mas de 50 puntos del vehiculo. </v>
      </c>
      <c r="K523" s="26" t="s">
        <v>603</v>
      </c>
      <c r="P523" s="27">
        <v>5</v>
      </c>
      <c r="Q523" s="34">
        <v>20750</v>
      </c>
      <c r="R523" s="36">
        <f t="shared" si="64"/>
        <v>103750</v>
      </c>
      <c r="U523" s="39">
        <f t="shared" si="75"/>
        <v>0</v>
      </c>
      <c r="V523" s="41">
        <f t="shared" si="72"/>
        <v>65000</v>
      </c>
    </row>
    <row r="524" spans="1:22" x14ac:dyDescent="0.25">
      <c r="A524" s="47">
        <v>155</v>
      </c>
      <c r="B524" s="31">
        <f t="shared" si="70"/>
        <v>1</v>
      </c>
      <c r="C524" s="48">
        <v>45439</v>
      </c>
      <c r="D524" s="47" t="s">
        <v>604</v>
      </c>
      <c r="E524" s="31" t="str">
        <f t="shared" si="65"/>
        <v>155Gallo Pepe1</v>
      </c>
      <c r="G524" s="47" t="s">
        <v>523</v>
      </c>
      <c r="H524" s="26" t="s">
        <v>440</v>
      </c>
      <c r="I524" s="31" t="str">
        <f t="shared" si="71"/>
        <v>Service completo. Cambio de aceite y filtros. Control general de mas de 50 puntos del vehiculo.</v>
      </c>
      <c r="K524" s="26" t="s">
        <v>91</v>
      </c>
      <c r="P524" s="27">
        <v>1</v>
      </c>
      <c r="Q524" s="34">
        <v>48000</v>
      </c>
      <c r="R524" s="36">
        <f t="shared" si="64"/>
        <v>48000</v>
      </c>
      <c r="S524" s="6">
        <v>1</v>
      </c>
      <c r="T524" s="7">
        <v>65000</v>
      </c>
      <c r="U524" s="39">
        <f t="shared" si="75"/>
        <v>65000</v>
      </c>
      <c r="V524" s="41">
        <f t="shared" si="72"/>
        <v>65000</v>
      </c>
    </row>
    <row r="525" spans="1:22" x14ac:dyDescent="0.25">
      <c r="A525" s="47">
        <v>155</v>
      </c>
      <c r="B525" s="31">
        <f t="shared" si="70"/>
        <v>2</v>
      </c>
      <c r="C525" s="48">
        <f>IF(A525=A524,C524,"")</f>
        <v>45439</v>
      </c>
      <c r="D525" s="47" t="str">
        <f>IF(A525=A524,D524,"")</f>
        <v>Gallo Pepe</v>
      </c>
      <c r="E525" s="31" t="str">
        <f t="shared" si="65"/>
        <v>155Gallo Pepe2</v>
      </c>
      <c r="I525" s="31" t="str">
        <f t="shared" si="71"/>
        <v xml:space="preserve">Service completo. Cambio de aceite y filtros. Control general de mas de 50 puntos del vehiculo. </v>
      </c>
      <c r="K525" s="26" t="s">
        <v>90</v>
      </c>
      <c r="P525" s="27">
        <v>4.5</v>
      </c>
      <c r="Q525" s="34">
        <v>16550</v>
      </c>
      <c r="R525" s="36">
        <f t="shared" si="64"/>
        <v>74475</v>
      </c>
      <c r="U525" s="39">
        <f t="shared" si="75"/>
        <v>0</v>
      </c>
      <c r="V525" s="41">
        <f t="shared" si="72"/>
        <v>65000</v>
      </c>
    </row>
    <row r="526" spans="1:22" x14ac:dyDescent="0.25">
      <c r="A526" s="47">
        <v>156</v>
      </c>
      <c r="B526" s="31">
        <f t="shared" si="70"/>
        <v>1</v>
      </c>
      <c r="C526" s="48">
        <v>45439</v>
      </c>
      <c r="D526" s="47" t="s">
        <v>605</v>
      </c>
      <c r="E526" s="31" t="str">
        <f t="shared" si="65"/>
        <v>156Busso Sergio1</v>
      </c>
      <c r="G526" s="47" t="s">
        <v>606</v>
      </c>
      <c r="H526" s="26" t="s">
        <v>440</v>
      </c>
      <c r="I526" s="31" t="str">
        <f t="shared" si="71"/>
        <v>Service completo. Cambio de aceite y filtros. Control general de mas de 50 puntos del vehiculo.</v>
      </c>
      <c r="K526" s="26" t="s">
        <v>91</v>
      </c>
      <c r="P526" s="27">
        <v>1</v>
      </c>
      <c r="Q526" s="34">
        <v>48000</v>
      </c>
      <c r="R526" s="36">
        <f t="shared" si="64"/>
        <v>48000</v>
      </c>
      <c r="S526" s="6">
        <v>1</v>
      </c>
      <c r="T526" s="7">
        <v>65000</v>
      </c>
      <c r="U526" s="39">
        <f t="shared" si="75"/>
        <v>65000</v>
      </c>
      <c r="V526" s="41">
        <f t="shared" si="72"/>
        <v>65000</v>
      </c>
    </row>
    <row r="527" spans="1:22" x14ac:dyDescent="0.25">
      <c r="A527" s="47">
        <v>156</v>
      </c>
      <c r="B527" s="31">
        <f t="shared" si="70"/>
        <v>2</v>
      </c>
      <c r="C527" s="48">
        <f>IF(A527=A526,C526,"")</f>
        <v>45439</v>
      </c>
      <c r="D527" s="47" t="str">
        <f>IF(A527=A526,D526,"")</f>
        <v>Busso Sergio</v>
      </c>
      <c r="E527" s="31" t="str">
        <f t="shared" si="65"/>
        <v>156Busso Sergio2</v>
      </c>
      <c r="I527" s="31" t="str">
        <f t="shared" si="71"/>
        <v xml:space="preserve">Service completo. Cambio de aceite y filtros. Control general de mas de 50 puntos del vehiculo. </v>
      </c>
      <c r="K527" s="26" t="s">
        <v>607</v>
      </c>
      <c r="P527" s="27">
        <v>4.5</v>
      </c>
      <c r="Q527" s="34">
        <v>20750</v>
      </c>
      <c r="R527" s="36">
        <f t="shared" ref="R527:R590" si="76">Q527*P527</f>
        <v>93375</v>
      </c>
      <c r="U527" s="39">
        <f t="shared" si="75"/>
        <v>0</v>
      </c>
      <c r="V527" s="41">
        <f t="shared" si="72"/>
        <v>65000</v>
      </c>
    </row>
    <row r="528" spans="1:22" x14ac:dyDescent="0.25">
      <c r="A528" s="47">
        <v>157</v>
      </c>
      <c r="B528" s="31">
        <f t="shared" si="70"/>
        <v>1</v>
      </c>
      <c r="C528" s="48">
        <v>45440</v>
      </c>
      <c r="D528" s="47" t="s">
        <v>608</v>
      </c>
      <c r="E528" s="31" t="str">
        <f t="shared" si="65"/>
        <v>157Carabetta Noelia1</v>
      </c>
      <c r="F528" s="47" t="s">
        <v>610</v>
      </c>
      <c r="G528" s="47" t="s">
        <v>179</v>
      </c>
      <c r="H528" s="26" t="s">
        <v>407</v>
      </c>
      <c r="I528" s="31" t="str">
        <f t="shared" si="71"/>
        <v>Desarmar distribucion completa. Cambiar kit, bomba de agua, correa poly-v y liquido refrigerante. Purgado del circuito de refrigeracion. Puesta a punto. Armado total.</v>
      </c>
      <c r="K528" s="26" t="s">
        <v>341</v>
      </c>
      <c r="P528" s="27">
        <v>1</v>
      </c>
      <c r="Q528" s="34">
        <v>115000</v>
      </c>
      <c r="R528" s="36">
        <f t="shared" si="76"/>
        <v>115000</v>
      </c>
      <c r="S528" s="6">
        <v>1</v>
      </c>
      <c r="T528" s="7">
        <v>110000</v>
      </c>
      <c r="U528" s="39">
        <f t="shared" si="75"/>
        <v>110000</v>
      </c>
      <c r="V528" s="41">
        <f t="shared" si="72"/>
        <v>110000</v>
      </c>
    </row>
    <row r="529" spans="1:22" x14ac:dyDescent="0.25">
      <c r="A529" s="47">
        <v>157</v>
      </c>
      <c r="B529" s="31">
        <f t="shared" si="70"/>
        <v>2</v>
      </c>
      <c r="C529" s="48">
        <f>IF(A529=A528,C528,"")</f>
        <v>45440</v>
      </c>
      <c r="D529" s="47" t="str">
        <f>IF(A529=A528,D528,"")</f>
        <v>Carabetta Noelia</v>
      </c>
      <c r="E529" s="31" t="str">
        <f t="shared" ref="E529:E592" si="77">CONCATENATE(A529,D529,B529)</f>
        <v>157Carabetta Noelia2</v>
      </c>
      <c r="I529" s="31" t="str">
        <f t="shared" si="71"/>
        <v xml:space="preserve">Desarmar distribucion completa. Cambiar kit, bomba de agua, correa poly-v y liquido refrigerante. Purgado del circuito de refrigeracion. Puesta a punto. Armado total. </v>
      </c>
      <c r="K529" s="26" t="s">
        <v>69</v>
      </c>
      <c r="P529" s="27">
        <v>1</v>
      </c>
      <c r="Q529" s="34">
        <v>86000</v>
      </c>
      <c r="R529" s="36">
        <f t="shared" si="76"/>
        <v>86000</v>
      </c>
      <c r="U529" s="39">
        <f t="shared" si="75"/>
        <v>0</v>
      </c>
      <c r="V529" s="41">
        <f t="shared" si="72"/>
        <v>110000</v>
      </c>
    </row>
    <row r="530" spans="1:22" x14ac:dyDescent="0.25">
      <c r="A530" s="47">
        <v>157</v>
      </c>
      <c r="B530" s="31">
        <f t="shared" si="70"/>
        <v>3</v>
      </c>
      <c r="C530" s="48">
        <f>IF(A530=A529,C529,"")</f>
        <v>45440</v>
      </c>
      <c r="D530" s="47" t="str">
        <f>IF(A530=A529,D529,"")</f>
        <v>Carabetta Noelia</v>
      </c>
      <c r="E530" s="31" t="str">
        <f t="shared" si="77"/>
        <v>157Carabetta Noelia3</v>
      </c>
      <c r="I530" s="31" t="str">
        <f t="shared" si="71"/>
        <v xml:space="preserve">Desarmar distribucion completa. Cambiar kit, bomba de agua, correa poly-v y liquido refrigerante. Purgado del circuito de refrigeracion. Puesta a punto. Armado total.  </v>
      </c>
      <c r="K530" s="26" t="s">
        <v>322</v>
      </c>
      <c r="P530" s="27">
        <v>1</v>
      </c>
      <c r="Q530" s="34">
        <v>28000</v>
      </c>
      <c r="R530" s="36">
        <f t="shared" si="76"/>
        <v>28000</v>
      </c>
      <c r="U530" s="39">
        <f t="shared" si="75"/>
        <v>0</v>
      </c>
      <c r="V530" s="41">
        <f t="shared" si="72"/>
        <v>110000</v>
      </c>
    </row>
    <row r="531" spans="1:22" x14ac:dyDescent="0.25">
      <c r="A531" s="47">
        <v>157</v>
      </c>
      <c r="B531" s="31">
        <f t="shared" si="70"/>
        <v>4</v>
      </c>
      <c r="C531" s="48">
        <f>IF(A531=A530,C530,"")</f>
        <v>45440</v>
      </c>
      <c r="D531" s="47" t="str">
        <f>IF(A531=A530,D530,"")</f>
        <v>Carabetta Noelia</v>
      </c>
      <c r="E531" s="31" t="str">
        <f t="shared" si="77"/>
        <v>157Carabetta Noelia4</v>
      </c>
      <c r="I531" s="31" t="str">
        <f t="shared" si="71"/>
        <v xml:space="preserve">Desarmar distribucion completa. Cambiar kit, bomba de agua, correa poly-v y liquido refrigerante. Purgado del circuito de refrigeracion. Puesta a punto. Armado total.   </v>
      </c>
      <c r="K531" s="26" t="s">
        <v>409</v>
      </c>
      <c r="P531" s="27">
        <v>2</v>
      </c>
      <c r="Q531" s="34">
        <v>11500</v>
      </c>
      <c r="R531" s="36">
        <f t="shared" si="76"/>
        <v>23000</v>
      </c>
      <c r="U531" s="39">
        <f t="shared" si="75"/>
        <v>0</v>
      </c>
      <c r="V531" s="41">
        <f t="shared" si="72"/>
        <v>110000</v>
      </c>
    </row>
    <row r="532" spans="1:22" x14ac:dyDescent="0.25">
      <c r="A532" s="47">
        <v>157</v>
      </c>
      <c r="B532" s="31">
        <f t="shared" si="70"/>
        <v>5</v>
      </c>
      <c r="C532" s="48">
        <f>IF(A532=A531,C531,"")</f>
        <v>45440</v>
      </c>
      <c r="D532" s="47" t="str">
        <f>IF(A532=A531,D531,"")</f>
        <v>Carabetta Noelia</v>
      </c>
      <c r="E532" s="31" t="str">
        <f t="shared" si="77"/>
        <v>157Carabetta Noelia5</v>
      </c>
      <c r="I532" s="31" t="str">
        <f t="shared" si="71"/>
        <v xml:space="preserve">Desarmar distribucion completa. Cambiar kit, bomba de agua, correa poly-v y liquido refrigerante. Purgado del circuito de refrigeracion. Puesta a punto. Armado total.    </v>
      </c>
      <c r="K532" s="26" t="s">
        <v>410</v>
      </c>
      <c r="P532" s="27">
        <v>1</v>
      </c>
      <c r="Q532" s="34">
        <v>4000</v>
      </c>
      <c r="R532" s="36">
        <f t="shared" si="76"/>
        <v>4000</v>
      </c>
      <c r="U532" s="39">
        <f t="shared" si="75"/>
        <v>0</v>
      </c>
      <c r="V532" s="41">
        <f t="shared" si="72"/>
        <v>110000</v>
      </c>
    </row>
    <row r="533" spans="1:22" x14ac:dyDescent="0.25">
      <c r="A533" s="47">
        <v>158</v>
      </c>
      <c r="B533" s="31">
        <f t="shared" si="70"/>
        <v>1</v>
      </c>
      <c r="C533" s="48">
        <v>45442</v>
      </c>
      <c r="D533" s="47" t="s">
        <v>611</v>
      </c>
      <c r="E533" s="31" t="str">
        <f t="shared" si="77"/>
        <v>158Romero Damian1</v>
      </c>
      <c r="F533" s="47" t="s">
        <v>613</v>
      </c>
      <c r="G533" s="47" t="s">
        <v>612</v>
      </c>
      <c r="H533" s="26" t="s">
        <v>440</v>
      </c>
      <c r="I533" s="31" t="str">
        <f t="shared" si="71"/>
        <v>Service completo. Cambio de aceite y filtros. Control general de mas de 50 puntos del vehiculo.</v>
      </c>
      <c r="K533" s="26" t="s">
        <v>91</v>
      </c>
      <c r="P533" s="27">
        <v>1</v>
      </c>
      <c r="Q533" s="34">
        <v>54000</v>
      </c>
      <c r="R533" s="36">
        <f t="shared" si="76"/>
        <v>54000</v>
      </c>
      <c r="S533" s="6">
        <v>1</v>
      </c>
      <c r="T533" s="7">
        <v>65000</v>
      </c>
      <c r="U533" s="39">
        <f t="shared" si="75"/>
        <v>65000</v>
      </c>
      <c r="V533" s="41">
        <f t="shared" si="72"/>
        <v>65000</v>
      </c>
    </row>
    <row r="534" spans="1:22" x14ac:dyDescent="0.25">
      <c r="A534" s="47">
        <v>158</v>
      </c>
      <c r="B534" s="31">
        <f t="shared" si="70"/>
        <v>2</v>
      </c>
      <c r="C534" s="48">
        <f>IF(A534=A533,C533,"")</f>
        <v>45442</v>
      </c>
      <c r="D534" s="47" t="str">
        <f>IF(A534=A533,D533,"")</f>
        <v>Romero Damian</v>
      </c>
      <c r="E534" s="31" t="str">
        <f t="shared" si="77"/>
        <v>158Romero Damian2</v>
      </c>
      <c r="I534" s="31" t="str">
        <f t="shared" si="71"/>
        <v xml:space="preserve">Service completo. Cambio de aceite y filtros. Control general de mas de 50 puntos del vehiculo. </v>
      </c>
      <c r="K534" s="26" t="s">
        <v>90</v>
      </c>
      <c r="P534" s="27">
        <v>4</v>
      </c>
      <c r="Q534" s="34">
        <v>16550</v>
      </c>
      <c r="R534" s="36">
        <f t="shared" si="76"/>
        <v>66200</v>
      </c>
      <c r="U534" s="39">
        <f t="shared" si="75"/>
        <v>0</v>
      </c>
      <c r="V534" s="41">
        <f t="shared" si="72"/>
        <v>65000</v>
      </c>
    </row>
    <row r="535" spans="1:22" x14ac:dyDescent="0.25">
      <c r="A535" s="47">
        <v>159</v>
      </c>
      <c r="B535" s="31">
        <f t="shared" si="70"/>
        <v>1</v>
      </c>
      <c r="C535" s="48">
        <v>45442</v>
      </c>
      <c r="D535" s="47" t="s">
        <v>611</v>
      </c>
      <c r="E535" s="31" t="str">
        <f t="shared" si="77"/>
        <v>159Romero Damian1</v>
      </c>
      <c r="F535" s="47" t="s">
        <v>613</v>
      </c>
      <c r="G535" s="47" t="s">
        <v>612</v>
      </c>
      <c r="H535" s="26" t="s">
        <v>407</v>
      </c>
      <c r="I535" s="31" t="str">
        <f t="shared" si="71"/>
        <v>Desarmar distribucion completa. Cambiar kit, bomba de agua, correa poly-v y liquido refrigerante. Purgado del circuito de refrigeracion. Puesta a punto. Armado total.</v>
      </c>
      <c r="K535" s="26" t="s">
        <v>341</v>
      </c>
      <c r="P535" s="27">
        <v>1</v>
      </c>
      <c r="Q535" s="34">
        <v>201000</v>
      </c>
      <c r="R535" s="36">
        <f t="shared" si="76"/>
        <v>201000</v>
      </c>
      <c r="S535" s="6">
        <v>1</v>
      </c>
      <c r="T535" s="7">
        <v>120000</v>
      </c>
      <c r="U535" s="39">
        <f t="shared" si="75"/>
        <v>120000</v>
      </c>
      <c r="V535" s="41">
        <f t="shared" si="72"/>
        <v>120000</v>
      </c>
    </row>
    <row r="536" spans="1:22" x14ac:dyDescent="0.25">
      <c r="A536" s="47">
        <v>159</v>
      </c>
      <c r="B536" s="31">
        <f t="shared" si="70"/>
        <v>2</v>
      </c>
      <c r="C536" s="48">
        <f>IF(A536=A535,C535,"")</f>
        <v>45442</v>
      </c>
      <c r="D536" s="47" t="str">
        <f>IF(A536=A535,D535,"")</f>
        <v>Romero Damian</v>
      </c>
      <c r="E536" s="31" t="str">
        <f t="shared" si="77"/>
        <v>159Romero Damian2</v>
      </c>
      <c r="I536" s="31" t="str">
        <f t="shared" si="71"/>
        <v xml:space="preserve">Desarmar distribucion completa. Cambiar kit, bomba de agua, correa poly-v y liquido refrigerante. Purgado del circuito de refrigeracion. Puesta a punto. Armado total. </v>
      </c>
      <c r="K536" s="26" t="s">
        <v>69</v>
      </c>
      <c r="P536" s="27">
        <v>1</v>
      </c>
      <c r="Q536" s="34">
        <v>140000</v>
      </c>
      <c r="R536" s="36">
        <f t="shared" si="76"/>
        <v>140000</v>
      </c>
      <c r="U536" s="39">
        <f t="shared" si="75"/>
        <v>0</v>
      </c>
      <c r="V536" s="41">
        <f t="shared" si="72"/>
        <v>120000</v>
      </c>
    </row>
    <row r="537" spans="1:22" x14ac:dyDescent="0.25">
      <c r="A537" s="47">
        <v>159</v>
      </c>
      <c r="B537" s="31">
        <f t="shared" si="70"/>
        <v>3</v>
      </c>
      <c r="C537" s="48">
        <f>IF(A537=A536,C536,"")</f>
        <v>45442</v>
      </c>
      <c r="D537" s="47" t="str">
        <f>IF(A537=A536,D536,"")</f>
        <v>Romero Damian</v>
      </c>
      <c r="E537" s="31" t="str">
        <f t="shared" si="77"/>
        <v>159Romero Damian3</v>
      </c>
      <c r="I537" s="31" t="str">
        <f t="shared" si="71"/>
        <v xml:space="preserve">Desarmar distribucion completa. Cambiar kit, bomba de agua, correa poly-v y liquido refrigerante. Purgado del circuito de refrigeracion. Puesta a punto. Armado total.  </v>
      </c>
      <c r="K537" s="26" t="s">
        <v>322</v>
      </c>
      <c r="P537" s="27">
        <v>1</v>
      </c>
      <c r="Q537" s="34">
        <v>40000</v>
      </c>
      <c r="R537" s="36">
        <f t="shared" si="76"/>
        <v>40000</v>
      </c>
      <c r="U537" s="39">
        <f t="shared" si="75"/>
        <v>0</v>
      </c>
      <c r="V537" s="41">
        <f t="shared" si="72"/>
        <v>120000</v>
      </c>
    </row>
    <row r="538" spans="1:22" x14ac:dyDescent="0.25">
      <c r="A538" s="47">
        <v>159</v>
      </c>
      <c r="B538" s="31">
        <f t="shared" si="70"/>
        <v>4</v>
      </c>
      <c r="C538" s="48">
        <f>IF(A538=A537,C537,"")</f>
        <v>45442</v>
      </c>
      <c r="D538" s="47" t="str">
        <f>IF(A538=A537,D537,"")</f>
        <v>Romero Damian</v>
      </c>
      <c r="E538" s="31" t="str">
        <f t="shared" si="77"/>
        <v>159Romero Damian4</v>
      </c>
      <c r="I538" s="31" t="str">
        <f t="shared" si="71"/>
        <v xml:space="preserve">Desarmar distribucion completa. Cambiar kit, bomba de agua, correa poly-v y liquido refrigerante. Purgado del circuito de refrigeracion. Puesta a punto. Armado total.   </v>
      </c>
      <c r="K538" s="26" t="s">
        <v>409</v>
      </c>
      <c r="P538" s="27">
        <v>2</v>
      </c>
      <c r="Q538" s="34">
        <v>13000</v>
      </c>
      <c r="R538" s="36">
        <f t="shared" si="76"/>
        <v>26000</v>
      </c>
      <c r="U538" s="39">
        <f t="shared" si="75"/>
        <v>0</v>
      </c>
      <c r="V538" s="41">
        <f t="shared" si="72"/>
        <v>120000</v>
      </c>
    </row>
    <row r="539" spans="1:22" x14ac:dyDescent="0.25">
      <c r="A539" s="47">
        <v>159</v>
      </c>
      <c r="B539" s="31">
        <f t="shared" si="70"/>
        <v>5</v>
      </c>
      <c r="C539" s="48">
        <f>IF(A539=A538,C538,"")</f>
        <v>45442</v>
      </c>
      <c r="D539" s="47" t="str">
        <f>IF(A539=A538,D538,"")</f>
        <v>Romero Damian</v>
      </c>
      <c r="E539" s="31" t="str">
        <f t="shared" si="77"/>
        <v>159Romero Damian5</v>
      </c>
      <c r="I539" s="31" t="str">
        <f t="shared" si="71"/>
        <v xml:space="preserve">Desarmar distribucion completa. Cambiar kit, bomba de agua, correa poly-v y liquido refrigerante. Purgado del circuito de refrigeracion. Puesta a punto. Armado total.    </v>
      </c>
      <c r="K539" s="26" t="s">
        <v>410</v>
      </c>
      <c r="P539" s="27">
        <v>1</v>
      </c>
      <c r="Q539" s="34">
        <v>4500</v>
      </c>
      <c r="R539" s="36">
        <f t="shared" si="76"/>
        <v>4500</v>
      </c>
      <c r="U539" s="39">
        <f t="shared" si="75"/>
        <v>0</v>
      </c>
      <c r="V539" s="41">
        <f t="shared" si="72"/>
        <v>120000</v>
      </c>
    </row>
    <row r="540" spans="1:22" x14ac:dyDescent="0.25">
      <c r="A540" s="47">
        <v>160</v>
      </c>
      <c r="B540" s="31">
        <f t="shared" si="70"/>
        <v>1</v>
      </c>
      <c r="C540" s="48">
        <v>45442</v>
      </c>
      <c r="D540" s="47" t="s">
        <v>614</v>
      </c>
      <c r="E540" s="31" t="str">
        <f t="shared" si="77"/>
        <v>160Digenaro1</v>
      </c>
      <c r="G540" s="47" t="s">
        <v>615</v>
      </c>
      <c r="H540" s="26" t="s">
        <v>407</v>
      </c>
      <c r="I540" s="31" t="str">
        <f t="shared" si="71"/>
        <v>Desarmar distribucion completa. Cambiar kit, bomba de agua, correa poly-v y liquido refrigerante. Purgado del circuito de refrigeracion. Puesta a punto. Armado total.</v>
      </c>
      <c r="K540" s="26" t="s">
        <v>341</v>
      </c>
      <c r="P540" s="27">
        <v>1</v>
      </c>
      <c r="Q540" s="34">
        <v>78000</v>
      </c>
      <c r="R540" s="36">
        <f t="shared" si="76"/>
        <v>78000</v>
      </c>
      <c r="S540" s="6">
        <v>1</v>
      </c>
      <c r="T540" s="7">
        <v>120000</v>
      </c>
      <c r="U540" s="39">
        <f t="shared" si="75"/>
        <v>120000</v>
      </c>
      <c r="V540" s="41">
        <f t="shared" si="72"/>
        <v>120000</v>
      </c>
    </row>
    <row r="541" spans="1:22" x14ac:dyDescent="0.25">
      <c r="A541" s="47">
        <v>160</v>
      </c>
      <c r="B541" s="31">
        <f t="shared" si="70"/>
        <v>2</v>
      </c>
      <c r="C541" s="48">
        <f>IF(A541=A540,C540,"")</f>
        <v>45442</v>
      </c>
      <c r="D541" s="47" t="str">
        <f>IF(A541=A540,D540,"")</f>
        <v>Digenaro</v>
      </c>
      <c r="E541" s="31" t="str">
        <f t="shared" si="77"/>
        <v>160Digenaro2</v>
      </c>
      <c r="I541" s="31" t="str">
        <f t="shared" si="71"/>
        <v xml:space="preserve">Desarmar distribucion completa. Cambiar kit, bomba de agua, correa poly-v y liquido refrigerante. Purgado del circuito de refrigeracion. Puesta a punto. Armado total. </v>
      </c>
      <c r="K541" s="26" t="s">
        <v>69</v>
      </c>
      <c r="P541" s="27">
        <v>1</v>
      </c>
      <c r="Q541" s="34">
        <v>45000</v>
      </c>
      <c r="R541" s="36">
        <f t="shared" si="76"/>
        <v>45000</v>
      </c>
      <c r="U541" s="39">
        <f t="shared" si="75"/>
        <v>0</v>
      </c>
      <c r="V541" s="41">
        <f t="shared" si="72"/>
        <v>120000</v>
      </c>
    </row>
    <row r="542" spans="1:22" x14ac:dyDescent="0.25">
      <c r="A542" s="47">
        <v>160</v>
      </c>
      <c r="B542" s="31">
        <f t="shared" si="70"/>
        <v>3</v>
      </c>
      <c r="C542" s="48">
        <f>IF(A542=A541,C541,"")</f>
        <v>45442</v>
      </c>
      <c r="D542" s="47" t="str">
        <f>IF(A542=A541,D541,"")</f>
        <v>Digenaro</v>
      </c>
      <c r="E542" s="31" t="str">
        <f t="shared" si="77"/>
        <v>160Digenaro3</v>
      </c>
      <c r="I542" s="31" t="str">
        <f t="shared" si="71"/>
        <v xml:space="preserve">Desarmar distribucion completa. Cambiar kit, bomba de agua, correa poly-v y liquido refrigerante. Purgado del circuito de refrigeracion. Puesta a punto. Armado total.  </v>
      </c>
      <c r="K542" s="26" t="s">
        <v>322</v>
      </c>
      <c r="P542" s="27">
        <v>2</v>
      </c>
      <c r="Q542" s="34">
        <v>47600</v>
      </c>
      <c r="R542" s="36">
        <f t="shared" si="76"/>
        <v>95200</v>
      </c>
      <c r="U542" s="39">
        <f t="shared" si="75"/>
        <v>0</v>
      </c>
      <c r="V542" s="41">
        <f t="shared" si="72"/>
        <v>120000</v>
      </c>
    </row>
    <row r="543" spans="1:22" x14ac:dyDescent="0.25">
      <c r="A543" s="47">
        <v>160</v>
      </c>
      <c r="B543" s="31">
        <f t="shared" ref="B543:B606" si="78">IF(A543=A542,B542+1,1)</f>
        <v>4</v>
      </c>
      <c r="C543" s="48">
        <f>IF(A543=A542,C542,"")</f>
        <v>45442</v>
      </c>
      <c r="D543" s="47" t="str">
        <f>IF(A543=A542,D542,"")</f>
        <v>Digenaro</v>
      </c>
      <c r="E543" s="31" t="str">
        <f t="shared" si="77"/>
        <v>160Digenaro4</v>
      </c>
      <c r="I543" s="31" t="str">
        <f t="shared" ref="I543:I606" si="79">IF(A543=A542,CONCATENATE(I542," ",H543),H543)</f>
        <v xml:space="preserve">Desarmar distribucion completa. Cambiar kit, bomba de agua, correa poly-v y liquido refrigerante. Purgado del circuito de refrigeracion. Puesta a punto. Armado total.   </v>
      </c>
      <c r="K543" s="26" t="s">
        <v>409</v>
      </c>
      <c r="P543" s="27">
        <v>2</v>
      </c>
      <c r="Q543" s="34">
        <v>11500</v>
      </c>
      <c r="R543" s="36">
        <f t="shared" si="76"/>
        <v>23000</v>
      </c>
      <c r="U543" s="39">
        <f t="shared" si="75"/>
        <v>0</v>
      </c>
      <c r="V543" s="41">
        <f t="shared" ref="V543:V606" si="80">IF(A543=A542,V542+U543,U543)</f>
        <v>120000</v>
      </c>
    </row>
    <row r="544" spans="1:22" x14ac:dyDescent="0.25">
      <c r="A544" s="47">
        <v>160</v>
      </c>
      <c r="B544" s="31">
        <f t="shared" si="78"/>
        <v>5</v>
      </c>
      <c r="C544" s="48">
        <f>IF(A544=A543,C543,"")</f>
        <v>45442</v>
      </c>
      <c r="D544" s="47" t="str">
        <f>IF(A544=A543,D543,"")</f>
        <v>Digenaro</v>
      </c>
      <c r="E544" s="31" t="str">
        <f t="shared" si="77"/>
        <v>160Digenaro5</v>
      </c>
      <c r="I544" s="31" t="str">
        <f t="shared" si="79"/>
        <v xml:space="preserve">Desarmar distribucion completa. Cambiar kit, bomba de agua, correa poly-v y liquido refrigerante. Purgado del circuito de refrigeracion. Puesta a punto. Armado total.    </v>
      </c>
      <c r="K544" s="26" t="s">
        <v>410</v>
      </c>
      <c r="P544" s="27">
        <v>1</v>
      </c>
      <c r="Q544" s="34">
        <v>4000</v>
      </c>
      <c r="R544" s="36">
        <f t="shared" si="76"/>
        <v>4000</v>
      </c>
      <c r="U544" s="39">
        <f t="shared" si="75"/>
        <v>0</v>
      </c>
      <c r="V544" s="41">
        <f t="shared" si="80"/>
        <v>120000</v>
      </c>
    </row>
    <row r="545" spans="1:22" x14ac:dyDescent="0.25">
      <c r="A545" s="47">
        <v>160</v>
      </c>
      <c r="B545" s="31">
        <f t="shared" si="78"/>
        <v>6</v>
      </c>
      <c r="C545" s="48">
        <f>IF(A545=A544,C544,"")</f>
        <v>45442</v>
      </c>
      <c r="D545" s="47" t="str">
        <f>IF(A545=A544,D544,"")</f>
        <v>Digenaro</v>
      </c>
      <c r="E545" s="31" t="str">
        <f t="shared" si="77"/>
        <v>160Digenaro6</v>
      </c>
      <c r="I545" s="31" t="str">
        <f t="shared" si="79"/>
        <v xml:space="preserve">Desarmar distribucion completa. Cambiar kit, bomba de agua, correa poly-v y liquido refrigerante. Purgado del circuito de refrigeracion. Puesta a punto. Armado total.     </v>
      </c>
      <c r="K545" s="26" t="s">
        <v>565</v>
      </c>
      <c r="P545" s="27">
        <v>4</v>
      </c>
      <c r="Q545" s="34">
        <v>8000</v>
      </c>
      <c r="R545" s="36">
        <f t="shared" si="76"/>
        <v>32000</v>
      </c>
      <c r="U545" s="39">
        <f t="shared" si="75"/>
        <v>0</v>
      </c>
      <c r="V545" s="41">
        <f t="shared" si="80"/>
        <v>120000</v>
      </c>
    </row>
    <row r="546" spans="1:22" x14ac:dyDescent="0.25">
      <c r="A546" s="47">
        <v>161</v>
      </c>
      <c r="B546" s="31">
        <f t="shared" si="78"/>
        <v>1</v>
      </c>
      <c r="C546" s="48">
        <v>45504</v>
      </c>
      <c r="D546" s="47" t="s">
        <v>678</v>
      </c>
      <c r="E546" s="31" t="str">
        <f t="shared" si="77"/>
        <v>161Aranda Federico1</v>
      </c>
      <c r="G546" s="47" t="s">
        <v>179</v>
      </c>
      <c r="H546" s="26" t="s">
        <v>407</v>
      </c>
      <c r="I546" s="31" t="str">
        <f t="shared" si="79"/>
        <v>Desarmar distribucion completa. Cambiar kit, bomba de agua, correa poly-v y liquido refrigerante. Purgado del circuito de refrigeracion. Puesta a punto. Armado total.</v>
      </c>
      <c r="K546" s="26" t="s">
        <v>341</v>
      </c>
      <c r="P546" s="27">
        <v>1</v>
      </c>
      <c r="Q546" s="34">
        <v>112000</v>
      </c>
      <c r="R546" s="36">
        <f t="shared" si="76"/>
        <v>112000</v>
      </c>
      <c r="S546" s="6">
        <v>1</v>
      </c>
      <c r="T546" s="7">
        <v>110000</v>
      </c>
      <c r="U546" s="39">
        <f t="shared" si="75"/>
        <v>110000</v>
      </c>
      <c r="V546" s="41">
        <f t="shared" si="80"/>
        <v>110000</v>
      </c>
    </row>
    <row r="547" spans="1:22" x14ac:dyDescent="0.25">
      <c r="A547" s="47">
        <v>161</v>
      </c>
      <c r="B547" s="31">
        <f t="shared" si="78"/>
        <v>2</v>
      </c>
      <c r="C547" s="48">
        <f>IF(A547=A546,C546,"")</f>
        <v>45504</v>
      </c>
      <c r="D547" s="47" t="str">
        <f>IF(A547=A546,D546,"")</f>
        <v>Aranda Federico</v>
      </c>
      <c r="E547" s="31" t="str">
        <f t="shared" si="77"/>
        <v>161Aranda Federico2</v>
      </c>
      <c r="I547" s="31" t="str">
        <f t="shared" si="79"/>
        <v xml:space="preserve">Desarmar distribucion completa. Cambiar kit, bomba de agua, correa poly-v y liquido refrigerante. Purgado del circuito de refrigeracion. Puesta a punto. Armado total. </v>
      </c>
      <c r="K547" s="26" t="s">
        <v>69</v>
      </c>
      <c r="P547" s="27">
        <v>1</v>
      </c>
      <c r="Q547" s="34">
        <v>88000</v>
      </c>
      <c r="R547" s="36">
        <f t="shared" si="76"/>
        <v>88000</v>
      </c>
      <c r="U547" s="39">
        <f t="shared" si="75"/>
        <v>0</v>
      </c>
      <c r="V547" s="41">
        <f t="shared" si="80"/>
        <v>110000</v>
      </c>
    </row>
    <row r="548" spans="1:22" x14ac:dyDescent="0.25">
      <c r="A548" s="47">
        <v>161</v>
      </c>
      <c r="B548" s="31">
        <f t="shared" si="78"/>
        <v>3</v>
      </c>
      <c r="C548" s="48">
        <f>IF(A548=A547,C547,"")</f>
        <v>45504</v>
      </c>
      <c r="D548" s="47" t="str">
        <f>IF(A548=A547,D547,"")</f>
        <v>Aranda Federico</v>
      </c>
      <c r="E548" s="31" t="str">
        <f t="shared" si="77"/>
        <v>161Aranda Federico3</v>
      </c>
      <c r="I548" s="31" t="str">
        <f t="shared" si="79"/>
        <v xml:space="preserve">Desarmar distribucion completa. Cambiar kit, bomba de agua, correa poly-v y liquido refrigerante. Purgado del circuito de refrigeracion. Puesta a punto. Armado total.  </v>
      </c>
      <c r="K548" s="26" t="s">
        <v>322</v>
      </c>
      <c r="P548" s="27">
        <v>1</v>
      </c>
      <c r="Q548" s="34">
        <v>34000</v>
      </c>
      <c r="R548" s="36">
        <f t="shared" si="76"/>
        <v>34000</v>
      </c>
      <c r="U548" s="39">
        <f t="shared" si="75"/>
        <v>0</v>
      </c>
      <c r="V548" s="41">
        <f t="shared" si="80"/>
        <v>110000</v>
      </c>
    </row>
    <row r="549" spans="1:22" x14ac:dyDescent="0.25">
      <c r="A549" s="47">
        <v>161</v>
      </c>
      <c r="B549" s="31">
        <f t="shared" si="78"/>
        <v>4</v>
      </c>
      <c r="C549" s="48">
        <f>IF(A549=A548,C548,"")</f>
        <v>45504</v>
      </c>
      <c r="D549" s="47" t="str">
        <f>IF(A549=A548,D548,"")</f>
        <v>Aranda Federico</v>
      </c>
      <c r="E549" s="31" t="str">
        <f t="shared" si="77"/>
        <v>161Aranda Federico4</v>
      </c>
      <c r="I549" s="31" t="str">
        <f t="shared" si="79"/>
        <v xml:space="preserve">Desarmar distribucion completa. Cambiar kit, bomba de agua, correa poly-v y liquido refrigerante. Purgado del circuito de refrigeracion. Puesta a punto. Armado total.   </v>
      </c>
      <c r="K549" s="26" t="s">
        <v>409</v>
      </c>
      <c r="P549" s="27">
        <v>2</v>
      </c>
      <c r="Q549" s="34">
        <v>13500</v>
      </c>
      <c r="R549" s="36">
        <f t="shared" si="76"/>
        <v>27000</v>
      </c>
      <c r="U549" s="39">
        <f t="shared" si="75"/>
        <v>0</v>
      </c>
      <c r="V549" s="41">
        <f t="shared" si="80"/>
        <v>110000</v>
      </c>
    </row>
    <row r="550" spans="1:22" x14ac:dyDescent="0.25">
      <c r="A550" s="47">
        <v>161</v>
      </c>
      <c r="B550" s="31">
        <f t="shared" si="78"/>
        <v>5</v>
      </c>
      <c r="C550" s="48">
        <f>IF(A550=A549,C549,"")</f>
        <v>45504</v>
      </c>
      <c r="D550" s="47" t="str">
        <f>IF(A550=A549,D549,"")</f>
        <v>Aranda Federico</v>
      </c>
      <c r="E550" s="31" t="str">
        <f t="shared" si="77"/>
        <v>161Aranda Federico5</v>
      </c>
      <c r="I550" s="31" t="str">
        <f t="shared" si="79"/>
        <v xml:space="preserve">Desarmar distribucion completa. Cambiar kit, bomba de agua, correa poly-v y liquido refrigerante. Purgado del circuito de refrigeracion. Puesta a punto. Armado total.    </v>
      </c>
      <c r="K550" s="26" t="s">
        <v>410</v>
      </c>
      <c r="P550" s="27">
        <v>1</v>
      </c>
      <c r="Q550" s="34">
        <v>5000</v>
      </c>
      <c r="R550" s="36">
        <f t="shared" si="76"/>
        <v>5000</v>
      </c>
      <c r="U550" s="39">
        <f t="shared" si="75"/>
        <v>0</v>
      </c>
      <c r="V550" s="41">
        <f t="shared" si="80"/>
        <v>110000</v>
      </c>
    </row>
    <row r="551" spans="1:22" x14ac:dyDescent="0.25">
      <c r="A551" s="47">
        <v>162</v>
      </c>
      <c r="B551" s="31">
        <f t="shared" si="78"/>
        <v>1</v>
      </c>
      <c r="C551" s="48">
        <v>45453</v>
      </c>
      <c r="D551" s="47" t="s">
        <v>616</v>
      </c>
      <c r="E551" s="31" t="str">
        <f t="shared" si="77"/>
        <v>162Gomez Lucas1</v>
      </c>
      <c r="F551" s="47" t="s">
        <v>618</v>
      </c>
      <c r="G551" s="47" t="s">
        <v>617</v>
      </c>
      <c r="H551" s="26" t="s">
        <v>632</v>
      </c>
      <c r="I551" s="31" t="str">
        <f t="shared" si="79"/>
        <v>Desarmar suspension trasera de ambos lados. Cambiar ambas parrillas de suspension y ambos amortiguadores. Alinear eje trasero. Cambiar amortiguador delantero derecho. Regulacion de convergencia. Cambiar radiador de agua. Completar con liquido refrigerante. Purgado del circuito de refrigeracion. Colocacion de medio escape. Armado de cubiertas en llantas.</v>
      </c>
      <c r="K551" s="26" t="s">
        <v>619</v>
      </c>
      <c r="P551" s="27">
        <v>2</v>
      </c>
      <c r="Q551" s="34">
        <v>140000</v>
      </c>
      <c r="R551" s="36">
        <f t="shared" si="76"/>
        <v>280000</v>
      </c>
      <c r="S551" s="6">
        <v>1</v>
      </c>
      <c r="T551" s="7">
        <v>345000</v>
      </c>
      <c r="U551" s="39">
        <f t="shared" si="75"/>
        <v>345000</v>
      </c>
      <c r="V551" s="41">
        <f t="shared" si="80"/>
        <v>345000</v>
      </c>
    </row>
    <row r="552" spans="1:22" x14ac:dyDescent="0.25">
      <c r="A552" s="47">
        <v>162</v>
      </c>
      <c r="B552" s="31">
        <f t="shared" si="78"/>
        <v>2</v>
      </c>
      <c r="C552" s="48">
        <f t="shared" ref="C552:C558" si="81">IF(A552=A551,C551,"")</f>
        <v>45453</v>
      </c>
      <c r="D552" s="47" t="str">
        <f t="shared" ref="D552:D558" si="82">IF(A552=A551,D551,"")</f>
        <v>Gomez Lucas</v>
      </c>
      <c r="E552" s="31" t="str">
        <f t="shared" si="77"/>
        <v>162Gomez Lucas2</v>
      </c>
      <c r="I552" s="31" t="str">
        <f t="shared" si="79"/>
        <v xml:space="preserve">Desarmar suspension trasera de ambos lados. Cambiar ambas parrillas de suspension y ambos amortiguadores. Alinear eje trasero. Cambiar amortiguador delantero derecho. Regulacion de convergencia. Cambiar radiador de agua. Completar con liquido refrigerante. Purgado del circuito de refrigeracion. Colocacion de medio escape. Armado de cubiertas en llantas. </v>
      </c>
      <c r="K552" s="26" t="s">
        <v>620</v>
      </c>
      <c r="P552" s="27">
        <v>2</v>
      </c>
      <c r="Q552" s="34">
        <v>220000</v>
      </c>
      <c r="R552" s="36">
        <f t="shared" si="76"/>
        <v>440000</v>
      </c>
      <c r="U552" s="39">
        <f t="shared" si="75"/>
        <v>0</v>
      </c>
      <c r="V552" s="41">
        <f t="shared" si="80"/>
        <v>345000</v>
      </c>
    </row>
    <row r="553" spans="1:22" x14ac:dyDescent="0.25">
      <c r="A553" s="47">
        <v>162</v>
      </c>
      <c r="B553" s="31">
        <f t="shared" si="78"/>
        <v>3</v>
      </c>
      <c r="C553" s="48">
        <f t="shared" si="81"/>
        <v>45453</v>
      </c>
      <c r="D553" s="47" t="str">
        <f t="shared" si="82"/>
        <v>Gomez Lucas</v>
      </c>
      <c r="E553" s="31" t="str">
        <f t="shared" si="77"/>
        <v>162Gomez Lucas3</v>
      </c>
      <c r="I553" s="31" t="str">
        <f t="shared" si="79"/>
        <v xml:space="preserve">Desarmar suspension trasera de ambos lados. Cambiar ambas parrillas de suspension y ambos amortiguadores. Alinear eje trasero. Cambiar amortiguador delantero derecho. Regulacion de convergencia. Cambiar radiador de agua. Completar con liquido refrigerante. Purgado del circuito de refrigeracion. Colocacion de medio escape. Armado de cubiertas en llantas.  </v>
      </c>
      <c r="K553" s="26" t="s">
        <v>435</v>
      </c>
      <c r="P553" s="27">
        <v>2</v>
      </c>
      <c r="Q553" s="34">
        <v>95000</v>
      </c>
      <c r="R553" s="36">
        <f t="shared" si="76"/>
        <v>190000</v>
      </c>
      <c r="U553" s="39">
        <f t="shared" si="75"/>
        <v>0</v>
      </c>
      <c r="V553" s="41">
        <f t="shared" si="80"/>
        <v>345000</v>
      </c>
    </row>
    <row r="554" spans="1:22" x14ac:dyDescent="0.25">
      <c r="A554" s="47">
        <v>162</v>
      </c>
      <c r="B554" s="31">
        <f t="shared" si="78"/>
        <v>4</v>
      </c>
      <c r="C554" s="48">
        <f t="shared" si="81"/>
        <v>45453</v>
      </c>
      <c r="D554" s="47" t="str">
        <f t="shared" si="82"/>
        <v>Gomez Lucas</v>
      </c>
      <c r="E554" s="31" t="str">
        <f t="shared" si="77"/>
        <v>162Gomez Lucas4</v>
      </c>
      <c r="I554" s="31" t="str">
        <f t="shared" si="79"/>
        <v xml:space="preserve">Desarmar suspension trasera de ambos lados. Cambiar ambas parrillas de suspension y ambos amortiguadores. Alinear eje trasero. Cambiar amortiguador delantero derecho. Regulacion de convergencia. Cambiar radiador de agua. Completar con liquido refrigerante. Purgado del circuito de refrigeracion. Colocacion de medio escape. Armado de cubiertas en llantas.   </v>
      </c>
      <c r="K554" s="26" t="s">
        <v>621</v>
      </c>
      <c r="P554" s="27">
        <v>2</v>
      </c>
      <c r="Q554" s="34">
        <v>42000</v>
      </c>
      <c r="R554" s="36">
        <f t="shared" si="76"/>
        <v>84000</v>
      </c>
      <c r="U554" s="39">
        <f t="shared" si="75"/>
        <v>0</v>
      </c>
      <c r="V554" s="41">
        <f t="shared" si="80"/>
        <v>345000</v>
      </c>
    </row>
    <row r="555" spans="1:22" x14ac:dyDescent="0.25">
      <c r="A555" s="47">
        <v>162</v>
      </c>
      <c r="B555" s="31">
        <f t="shared" si="78"/>
        <v>5</v>
      </c>
      <c r="C555" s="48">
        <f t="shared" si="81"/>
        <v>45453</v>
      </c>
      <c r="D555" s="47" t="str">
        <f t="shared" si="82"/>
        <v>Gomez Lucas</v>
      </c>
      <c r="E555" s="31" t="str">
        <f t="shared" si="77"/>
        <v>162Gomez Lucas5</v>
      </c>
      <c r="I555" s="31" t="str">
        <f t="shared" si="79"/>
        <v xml:space="preserve">Desarmar suspension trasera de ambos lados. Cambiar ambas parrillas de suspension y ambos amortiguadores. Alinear eje trasero. Cambiar amortiguador delantero derecho. Regulacion de convergencia. Cambiar radiador de agua. Completar con liquido refrigerante. Purgado del circuito de refrigeracion. Colocacion de medio escape. Armado de cubiertas en llantas.    </v>
      </c>
      <c r="K555" s="26" t="s">
        <v>622</v>
      </c>
      <c r="P555" s="27">
        <v>1</v>
      </c>
      <c r="Q555" s="34">
        <v>92000</v>
      </c>
      <c r="R555" s="36">
        <f t="shared" si="76"/>
        <v>92000</v>
      </c>
      <c r="U555" s="39">
        <f t="shared" si="75"/>
        <v>0</v>
      </c>
      <c r="V555" s="41">
        <f t="shared" si="80"/>
        <v>345000</v>
      </c>
    </row>
    <row r="556" spans="1:22" x14ac:dyDescent="0.25">
      <c r="A556" s="47">
        <v>162</v>
      </c>
      <c r="B556" s="31">
        <f t="shared" si="78"/>
        <v>6</v>
      </c>
      <c r="C556" s="48">
        <f t="shared" si="81"/>
        <v>45453</v>
      </c>
      <c r="D556" s="47" t="str">
        <f t="shared" si="82"/>
        <v>Gomez Lucas</v>
      </c>
      <c r="E556" s="31" t="str">
        <f t="shared" si="77"/>
        <v>162Gomez Lucas6</v>
      </c>
      <c r="I556" s="31" t="str">
        <f t="shared" si="79"/>
        <v xml:space="preserve">Desarmar suspension trasera de ambos lados. Cambiar ambas parrillas de suspension y ambos amortiguadores. Alinear eje trasero. Cambiar amortiguador delantero derecho. Regulacion de convergencia. Cambiar radiador de agua. Completar con liquido refrigerante. Purgado del circuito de refrigeracion. Colocacion de medio escape. Armado de cubiertas en llantas.     </v>
      </c>
      <c r="K556" s="26" t="s">
        <v>93</v>
      </c>
      <c r="P556" s="27">
        <v>1</v>
      </c>
      <c r="Q556" s="34">
        <v>145000</v>
      </c>
      <c r="R556" s="36">
        <f t="shared" si="76"/>
        <v>145000</v>
      </c>
      <c r="U556" s="39">
        <f t="shared" si="75"/>
        <v>0</v>
      </c>
      <c r="V556" s="41">
        <f t="shared" si="80"/>
        <v>345000</v>
      </c>
    </row>
    <row r="557" spans="1:22" x14ac:dyDescent="0.25">
      <c r="A557" s="47">
        <v>162</v>
      </c>
      <c r="B557" s="31">
        <f t="shared" si="78"/>
        <v>7</v>
      </c>
      <c r="C557" s="48">
        <f t="shared" si="81"/>
        <v>45453</v>
      </c>
      <c r="D557" s="47" t="str">
        <f t="shared" si="82"/>
        <v>Gomez Lucas</v>
      </c>
      <c r="E557" s="31" t="str">
        <f t="shared" si="77"/>
        <v>162Gomez Lucas7</v>
      </c>
      <c r="I557" s="31" t="str">
        <f t="shared" si="79"/>
        <v xml:space="preserve">Desarmar suspension trasera de ambos lados. Cambiar ambas parrillas de suspension y ambos amortiguadores. Alinear eje trasero. Cambiar amortiguador delantero derecho. Regulacion de convergencia. Cambiar radiador de agua. Completar con liquido refrigerante. Purgado del circuito de refrigeracion. Colocacion de medio escape. Armado de cubiertas en llantas.      </v>
      </c>
      <c r="K557" s="26" t="s">
        <v>623</v>
      </c>
      <c r="P557" s="27">
        <v>1</v>
      </c>
      <c r="Q557" s="34">
        <v>18000</v>
      </c>
      <c r="R557" s="36">
        <f t="shared" si="76"/>
        <v>18000</v>
      </c>
      <c r="U557" s="39">
        <f t="shared" si="75"/>
        <v>0</v>
      </c>
      <c r="V557" s="41">
        <f t="shared" si="80"/>
        <v>345000</v>
      </c>
    </row>
    <row r="558" spans="1:22" x14ac:dyDescent="0.25">
      <c r="A558" s="47">
        <v>162</v>
      </c>
      <c r="B558" s="31">
        <f t="shared" si="78"/>
        <v>8</v>
      </c>
      <c r="C558" s="48">
        <f t="shared" si="81"/>
        <v>45453</v>
      </c>
      <c r="D558" s="47" t="str">
        <f t="shared" si="82"/>
        <v>Gomez Lucas</v>
      </c>
      <c r="E558" s="31" t="str">
        <f t="shared" si="77"/>
        <v>162Gomez Lucas8</v>
      </c>
      <c r="I558" s="31" t="str">
        <f t="shared" si="79"/>
        <v xml:space="preserve">Desarmar suspension trasera de ambos lados. Cambiar ambas parrillas de suspension y ambos amortiguadores. Alinear eje trasero. Cambiar amortiguador delantero derecho. Regulacion de convergencia. Cambiar radiador de agua. Completar con liquido refrigerante. Purgado del circuito de refrigeracion. Colocacion de medio escape. Armado de cubiertas en llantas.       </v>
      </c>
      <c r="K558" s="26" t="s">
        <v>624</v>
      </c>
      <c r="P558" s="27">
        <v>1</v>
      </c>
      <c r="Q558" s="34">
        <v>98000</v>
      </c>
      <c r="R558" s="36">
        <f t="shared" si="76"/>
        <v>98000</v>
      </c>
      <c r="U558" s="39">
        <f t="shared" si="75"/>
        <v>0</v>
      </c>
      <c r="V558" s="41">
        <f t="shared" si="80"/>
        <v>345000</v>
      </c>
    </row>
    <row r="559" spans="1:22" x14ac:dyDescent="0.25">
      <c r="A559" s="47">
        <v>163</v>
      </c>
      <c r="B559" s="31">
        <f t="shared" si="78"/>
        <v>1</v>
      </c>
      <c r="C559" s="48">
        <v>45454</v>
      </c>
      <c r="D559" s="47" t="s">
        <v>625</v>
      </c>
      <c r="E559" s="31" t="str">
        <f t="shared" si="77"/>
        <v>163Slovoyañoch Maria Jose1</v>
      </c>
      <c r="F559" s="47" t="s">
        <v>626</v>
      </c>
      <c r="G559" s="47" t="s">
        <v>627</v>
      </c>
      <c r="H559" s="26" t="s">
        <v>628</v>
      </c>
      <c r="I559" s="31" t="str">
        <f t="shared" si="79"/>
        <v xml:space="preserve">Auxilio a corralon de secuestro de vehiculos. Desarmar frente del vehiculo. Cambiar radiador de agua, radiador de intercooler, condensador de aire acondicionado, embocador de ventilador. Armado total. Agregar liquido refrigerante. Purgado del circuito de refrigeracion. Puesta en marcha. </v>
      </c>
      <c r="K559" s="26" t="s">
        <v>93</v>
      </c>
      <c r="P559" s="27">
        <v>1</v>
      </c>
      <c r="Q559" s="34">
        <v>282100</v>
      </c>
      <c r="R559" s="36">
        <f t="shared" si="76"/>
        <v>282100</v>
      </c>
      <c r="S559" s="6">
        <v>1</v>
      </c>
      <c r="T559" s="7">
        <v>220000</v>
      </c>
      <c r="U559" s="39">
        <f t="shared" si="75"/>
        <v>220000</v>
      </c>
      <c r="V559" s="41">
        <f t="shared" si="80"/>
        <v>220000</v>
      </c>
    </row>
    <row r="560" spans="1:22" x14ac:dyDescent="0.25">
      <c r="A560" s="47">
        <v>163</v>
      </c>
      <c r="B560" s="31">
        <f t="shared" si="78"/>
        <v>2</v>
      </c>
      <c r="C560" s="48">
        <f>IF(A560=A559,C559,"")</f>
        <v>45454</v>
      </c>
      <c r="D560" s="47" t="str">
        <f>IF(A560=A559,D559,"")</f>
        <v>Slovoyañoch Maria Jose</v>
      </c>
      <c r="E560" s="31" t="str">
        <f t="shared" si="77"/>
        <v>163Slovoyañoch Maria Jose2</v>
      </c>
      <c r="I560" s="31" t="str">
        <f t="shared" si="79"/>
        <v xml:space="preserve">Auxilio a corralon de secuestro de vehiculos. Desarmar frente del vehiculo. Cambiar radiador de agua, radiador de intercooler, condensador de aire acondicionado, embocador de ventilador. Armado total. Agregar liquido refrigerante. Purgado del circuito de refrigeracion. Puesta en marcha.  </v>
      </c>
      <c r="K560" s="26" t="s">
        <v>629</v>
      </c>
      <c r="P560" s="27">
        <v>1</v>
      </c>
      <c r="Q560" s="34">
        <v>182100</v>
      </c>
      <c r="R560" s="36">
        <f t="shared" si="76"/>
        <v>182100</v>
      </c>
      <c r="U560" s="39">
        <f t="shared" si="75"/>
        <v>0</v>
      </c>
      <c r="V560" s="41">
        <f t="shared" si="80"/>
        <v>220000</v>
      </c>
    </row>
    <row r="561" spans="1:22" x14ac:dyDescent="0.25">
      <c r="A561" s="47">
        <v>163</v>
      </c>
      <c r="B561" s="31">
        <f t="shared" si="78"/>
        <v>3</v>
      </c>
      <c r="C561" s="48">
        <f>IF(A561=A560,C560,"")</f>
        <v>45454</v>
      </c>
      <c r="D561" s="47" t="str">
        <f>IF(A561=A560,D560,"")</f>
        <v>Slovoyañoch Maria Jose</v>
      </c>
      <c r="E561" s="31" t="str">
        <f t="shared" si="77"/>
        <v>163Slovoyañoch Maria Jose3</v>
      </c>
      <c r="I561" s="31" t="str">
        <f t="shared" si="79"/>
        <v xml:space="preserve">Auxilio a corralon de secuestro de vehiculos. Desarmar frente del vehiculo. Cambiar radiador de agua, radiador de intercooler, condensador de aire acondicionado, embocador de ventilador. Armado total. Agregar liquido refrigerante. Purgado del circuito de refrigeracion. Puesta en marcha.   </v>
      </c>
      <c r="K561" s="26" t="s">
        <v>630</v>
      </c>
      <c r="P561" s="27">
        <v>1</v>
      </c>
      <c r="Q561" s="34">
        <v>365700</v>
      </c>
      <c r="R561" s="36">
        <f t="shared" si="76"/>
        <v>365700</v>
      </c>
      <c r="U561" s="39">
        <f t="shared" si="75"/>
        <v>0</v>
      </c>
      <c r="V561" s="41">
        <f t="shared" si="80"/>
        <v>220000</v>
      </c>
    </row>
    <row r="562" spans="1:22" x14ac:dyDescent="0.25">
      <c r="A562" s="47">
        <v>163</v>
      </c>
      <c r="B562" s="31">
        <f t="shared" si="78"/>
        <v>4</v>
      </c>
      <c r="C562" s="48">
        <f>IF(A562=A561,C561,"")</f>
        <v>45454</v>
      </c>
      <c r="D562" s="47" t="str">
        <f>IF(A562=A561,D561,"")</f>
        <v>Slovoyañoch Maria Jose</v>
      </c>
      <c r="E562" s="31" t="str">
        <f t="shared" si="77"/>
        <v>163Slovoyañoch Maria Jose4</v>
      </c>
      <c r="I562" s="31" t="str">
        <f t="shared" si="79"/>
        <v xml:space="preserve">Auxilio a corralon de secuestro de vehiculos. Desarmar frente del vehiculo. Cambiar radiador de agua, radiador de intercooler, condensador de aire acondicionado, embocador de ventilador. Armado total. Agregar liquido refrigerante. Purgado del circuito de refrigeracion. Puesta en marcha.    </v>
      </c>
      <c r="K562" s="26" t="s">
        <v>631</v>
      </c>
      <c r="P562" s="27">
        <v>1</v>
      </c>
      <c r="Q562" s="34">
        <v>98900</v>
      </c>
      <c r="R562" s="36">
        <f t="shared" si="76"/>
        <v>98900</v>
      </c>
      <c r="U562" s="39">
        <f t="shared" si="75"/>
        <v>0</v>
      </c>
      <c r="V562" s="41">
        <f t="shared" si="80"/>
        <v>220000</v>
      </c>
    </row>
    <row r="563" spans="1:22" x14ac:dyDescent="0.25">
      <c r="A563" s="47">
        <v>163</v>
      </c>
      <c r="B563" s="31">
        <f t="shared" si="78"/>
        <v>5</v>
      </c>
      <c r="C563" s="48">
        <f>IF(A563=A562,C562,"")</f>
        <v>45454</v>
      </c>
      <c r="D563" s="47" t="str">
        <f>IF(A563=A562,D562,"")</f>
        <v>Slovoyañoch Maria Jose</v>
      </c>
      <c r="E563" s="31" t="str">
        <f t="shared" si="77"/>
        <v>163Slovoyañoch Maria Jose5</v>
      </c>
      <c r="I563" s="31" t="str">
        <f t="shared" si="79"/>
        <v xml:space="preserve">Auxilio a corralon de secuestro de vehiculos. Desarmar frente del vehiculo. Cambiar radiador de agua, radiador de intercooler, condensador de aire acondicionado, embocador de ventilador. Armado total. Agregar liquido refrigerante. Purgado del circuito de refrigeracion. Puesta en marcha.     </v>
      </c>
      <c r="K563" s="26" t="s">
        <v>409</v>
      </c>
      <c r="P563" s="27">
        <v>3</v>
      </c>
      <c r="Q563" s="34">
        <v>11500</v>
      </c>
      <c r="R563" s="36">
        <f t="shared" si="76"/>
        <v>34500</v>
      </c>
      <c r="U563" s="39">
        <f t="shared" si="75"/>
        <v>0</v>
      </c>
      <c r="V563" s="41">
        <f t="shared" si="80"/>
        <v>220000</v>
      </c>
    </row>
    <row r="564" spans="1:22" x14ac:dyDescent="0.25">
      <c r="A564" s="47">
        <v>163</v>
      </c>
      <c r="B564" s="31">
        <f t="shared" si="78"/>
        <v>6</v>
      </c>
      <c r="C564" s="48">
        <f>IF(A564=A563,C563,"")</f>
        <v>45454</v>
      </c>
      <c r="D564" s="47" t="str">
        <f>IF(A564=A563,D563,"")</f>
        <v>Slovoyañoch Maria Jose</v>
      </c>
      <c r="E564" s="31" t="str">
        <f t="shared" si="77"/>
        <v>163Slovoyañoch Maria Jose6</v>
      </c>
      <c r="I564" s="31" t="str">
        <f t="shared" si="79"/>
        <v xml:space="preserve">Auxilio a corralon de secuestro de vehiculos. Desarmar frente del vehiculo. Cambiar radiador de agua, radiador de intercooler, condensador de aire acondicionado, embocador de ventilador. Armado total. Agregar liquido refrigerante. Purgado del circuito de refrigeracion. Puesta en marcha.      </v>
      </c>
      <c r="K564" s="26" t="s">
        <v>410</v>
      </c>
      <c r="P564" s="27">
        <v>1.4</v>
      </c>
      <c r="Q564" s="34">
        <v>4500</v>
      </c>
      <c r="R564" s="36">
        <f t="shared" si="76"/>
        <v>6300</v>
      </c>
      <c r="U564" s="39">
        <f t="shared" si="75"/>
        <v>0</v>
      </c>
      <c r="V564" s="41">
        <f t="shared" si="80"/>
        <v>220000</v>
      </c>
    </row>
    <row r="565" spans="1:22" x14ac:dyDescent="0.25">
      <c r="A565" s="47">
        <v>164</v>
      </c>
      <c r="B565" s="31">
        <f t="shared" si="78"/>
        <v>1</v>
      </c>
      <c r="C565" s="48">
        <v>45455</v>
      </c>
      <c r="D565" s="47" t="s">
        <v>532</v>
      </c>
      <c r="E565" s="31" t="str">
        <f t="shared" si="77"/>
        <v>164Morales Ariel1</v>
      </c>
      <c r="G565" s="47" t="s">
        <v>633</v>
      </c>
      <c r="H565" s="26" t="s">
        <v>556</v>
      </c>
      <c r="I565" s="31" t="str">
        <f t="shared" si="79"/>
        <v>Service completo. Cambio de aceite y filtros. Control general de mas de 50 puntos del vehiculo. Desarmar distribucion completa. Cambiar kit, bomba de agua, correa poly-v y liquido refrigerante. Purgado del circuito de refrigeracion. Puesta a punto. Armado total.</v>
      </c>
      <c r="K565" s="26" t="s">
        <v>91</v>
      </c>
      <c r="P565" s="27">
        <v>1</v>
      </c>
      <c r="Q565" s="34">
        <v>38000</v>
      </c>
      <c r="R565" s="36">
        <f t="shared" si="76"/>
        <v>38000</v>
      </c>
      <c r="S565" s="6">
        <v>1</v>
      </c>
      <c r="T565" s="7">
        <v>150000</v>
      </c>
      <c r="U565" s="39">
        <f t="shared" si="75"/>
        <v>150000</v>
      </c>
      <c r="V565" s="41">
        <f t="shared" si="80"/>
        <v>150000</v>
      </c>
    </row>
    <row r="566" spans="1:22" x14ac:dyDescent="0.25">
      <c r="A566" s="47">
        <v>164</v>
      </c>
      <c r="B566" s="31">
        <f t="shared" si="78"/>
        <v>2</v>
      </c>
      <c r="C566" s="48">
        <f>IF(A566=A565,C565,"")</f>
        <v>45455</v>
      </c>
      <c r="D566" s="47" t="str">
        <f>IF(A566=A565,D565,"")</f>
        <v>Morales Ariel</v>
      </c>
      <c r="E566" s="31" t="str">
        <f t="shared" si="77"/>
        <v>164Morales Ariel2</v>
      </c>
      <c r="I566" s="31" t="str">
        <f t="shared" si="79"/>
        <v xml:space="preserve">Service completo. Cambio de aceite y filtros. Control general de mas de 50 puntos del vehiculo. Desarmar distribucion completa. Cambiar kit, bomba de agua, correa poly-v y liquido refrigerante. Purgado del circuito de refrigeracion. Puesta a punto. Armado total. </v>
      </c>
      <c r="K566" s="26" t="s">
        <v>108</v>
      </c>
      <c r="P566" s="27">
        <v>4</v>
      </c>
      <c r="Q566" s="34">
        <v>11250</v>
      </c>
      <c r="R566" s="36">
        <f t="shared" si="76"/>
        <v>45000</v>
      </c>
      <c r="U566" s="39">
        <f t="shared" si="75"/>
        <v>0</v>
      </c>
      <c r="V566" s="41">
        <f t="shared" si="80"/>
        <v>150000</v>
      </c>
    </row>
    <row r="567" spans="1:22" x14ac:dyDescent="0.25">
      <c r="A567" s="47">
        <v>164</v>
      </c>
      <c r="B567" s="31">
        <f t="shared" si="78"/>
        <v>3</v>
      </c>
      <c r="C567" s="48">
        <f>IF(A567=A566,C566,"")</f>
        <v>45455</v>
      </c>
      <c r="D567" s="47" t="str">
        <f>IF(A567=A566,D566,"")</f>
        <v>Morales Ariel</v>
      </c>
      <c r="E567" s="31" t="str">
        <f t="shared" si="77"/>
        <v>164Morales Ariel3</v>
      </c>
      <c r="I567" s="31" t="str">
        <f t="shared" si="79"/>
        <v xml:space="preserve">Service completo. Cambio de aceite y filtros. Control general de mas de 50 puntos del vehiculo. Desarmar distribucion completa. Cambiar kit, bomba de agua, correa poly-v y liquido refrigerante. Purgado del circuito de refrigeracion. Puesta a punto. Armado total.  </v>
      </c>
      <c r="K567" s="26" t="s">
        <v>552</v>
      </c>
      <c r="P567" s="27">
        <v>1</v>
      </c>
      <c r="Q567" s="34">
        <v>146000</v>
      </c>
      <c r="R567" s="36">
        <f t="shared" si="76"/>
        <v>146000</v>
      </c>
      <c r="U567" s="39">
        <f t="shared" si="75"/>
        <v>0</v>
      </c>
      <c r="V567" s="41">
        <f t="shared" si="80"/>
        <v>150000</v>
      </c>
    </row>
    <row r="568" spans="1:22" x14ac:dyDescent="0.25">
      <c r="A568" s="47">
        <v>164</v>
      </c>
      <c r="B568" s="31">
        <f t="shared" si="78"/>
        <v>4</v>
      </c>
      <c r="C568" s="48">
        <f>IF(A568=A567,C567,"")</f>
        <v>45455</v>
      </c>
      <c r="D568" s="47" t="str">
        <f>IF(A568=A567,D567,"")</f>
        <v>Morales Ariel</v>
      </c>
      <c r="E568" s="31" t="str">
        <f t="shared" si="77"/>
        <v>164Morales Ariel4</v>
      </c>
      <c r="I568" s="31" t="str">
        <f t="shared" si="79"/>
        <v xml:space="preserve">Service completo. Cambio de aceite y filtros. Control general de mas de 50 puntos del vehiculo. Desarmar distribucion completa. Cambiar kit, bomba de agua, correa poly-v y liquido refrigerante. Purgado del circuito de refrigeracion. Puesta a punto. Armado total.   </v>
      </c>
      <c r="K568" s="26" t="s">
        <v>409</v>
      </c>
      <c r="P568" s="27">
        <v>2</v>
      </c>
      <c r="Q568" s="34">
        <v>11500</v>
      </c>
      <c r="R568" s="36">
        <f t="shared" si="76"/>
        <v>23000</v>
      </c>
      <c r="U568" s="39">
        <f t="shared" si="75"/>
        <v>0</v>
      </c>
      <c r="V568" s="41">
        <f t="shared" si="80"/>
        <v>150000</v>
      </c>
    </row>
    <row r="569" spans="1:22" x14ac:dyDescent="0.25">
      <c r="A569" s="47">
        <v>164</v>
      </c>
      <c r="B569" s="31">
        <f t="shared" si="78"/>
        <v>5</v>
      </c>
      <c r="C569" s="48">
        <f>IF(A569=A568,C568,"")</f>
        <v>45455</v>
      </c>
      <c r="D569" s="47" t="str">
        <f>IF(A569=A568,D568,"")</f>
        <v>Morales Ariel</v>
      </c>
      <c r="E569" s="31" t="str">
        <f t="shared" si="77"/>
        <v>164Morales Ariel5</v>
      </c>
      <c r="I569" s="31" t="str">
        <f t="shared" si="79"/>
        <v xml:space="preserve">Service completo. Cambio de aceite y filtros. Control general de mas de 50 puntos del vehiculo. Desarmar distribucion completa. Cambiar kit, bomba de agua, correa poly-v y liquido refrigerante. Purgado del circuito de refrigeracion. Puesta a punto. Armado total.    </v>
      </c>
      <c r="K569" s="26" t="s">
        <v>410</v>
      </c>
      <c r="P569" s="27">
        <v>1</v>
      </c>
      <c r="Q569" s="34">
        <v>4500</v>
      </c>
      <c r="R569" s="36">
        <f t="shared" si="76"/>
        <v>4500</v>
      </c>
      <c r="U569" s="39">
        <f t="shared" si="75"/>
        <v>0</v>
      </c>
      <c r="V569" s="41">
        <f t="shared" si="80"/>
        <v>150000</v>
      </c>
    </row>
    <row r="570" spans="1:22" x14ac:dyDescent="0.25">
      <c r="A570" s="47">
        <v>165</v>
      </c>
      <c r="B570" s="31">
        <f t="shared" si="78"/>
        <v>1</v>
      </c>
      <c r="C570" s="48">
        <v>45461</v>
      </c>
      <c r="D570" s="47" t="s">
        <v>625</v>
      </c>
      <c r="E570" s="31" t="str">
        <f t="shared" si="77"/>
        <v>165Slovoyañoch Maria Jose1</v>
      </c>
      <c r="F570" s="47" t="s">
        <v>626</v>
      </c>
      <c r="G570" s="47" t="s">
        <v>634</v>
      </c>
      <c r="I570" s="31">
        <f t="shared" si="79"/>
        <v>0</v>
      </c>
      <c r="K570" s="26" t="s">
        <v>635</v>
      </c>
      <c r="P570" s="27">
        <v>1</v>
      </c>
      <c r="Q570" s="34">
        <v>199025</v>
      </c>
      <c r="R570" s="36">
        <f t="shared" si="76"/>
        <v>199025</v>
      </c>
      <c r="U570" s="39">
        <f t="shared" si="75"/>
        <v>0</v>
      </c>
      <c r="V570" s="41">
        <f t="shared" si="80"/>
        <v>0</v>
      </c>
    </row>
    <row r="571" spans="1:22" x14ac:dyDescent="0.25">
      <c r="A571" s="47">
        <v>165</v>
      </c>
      <c r="B571" s="31">
        <f t="shared" si="78"/>
        <v>2</v>
      </c>
      <c r="C571" s="48">
        <f t="shared" ref="C571:C578" si="83">IF(A571=A570,C570,"")</f>
        <v>45461</v>
      </c>
      <c r="D571" s="47" t="str">
        <f t="shared" ref="D571:D578" si="84">IF(A571=A570,D570,"")</f>
        <v>Slovoyañoch Maria Jose</v>
      </c>
      <c r="E571" s="31" t="str">
        <f t="shared" si="77"/>
        <v>165Slovoyañoch Maria Jose2</v>
      </c>
      <c r="I571" s="31" t="str">
        <f t="shared" si="79"/>
        <v xml:space="preserve">0 </v>
      </c>
      <c r="K571" s="26" t="s">
        <v>636</v>
      </c>
      <c r="P571" s="27">
        <v>2</v>
      </c>
      <c r="Q571" s="34">
        <v>73900</v>
      </c>
      <c r="R571" s="36">
        <f t="shared" si="76"/>
        <v>147800</v>
      </c>
      <c r="U571" s="39">
        <f t="shared" si="75"/>
        <v>0</v>
      </c>
      <c r="V571" s="41">
        <f t="shared" si="80"/>
        <v>0</v>
      </c>
    </row>
    <row r="572" spans="1:22" x14ac:dyDescent="0.25">
      <c r="A572" s="47">
        <v>165</v>
      </c>
      <c r="B572" s="31">
        <f t="shared" si="78"/>
        <v>3</v>
      </c>
      <c r="C572" s="48">
        <f t="shared" si="83"/>
        <v>45461</v>
      </c>
      <c r="D572" s="47" t="str">
        <f t="shared" si="84"/>
        <v>Slovoyañoch Maria Jose</v>
      </c>
      <c r="E572" s="31" t="str">
        <f t="shared" si="77"/>
        <v>165Slovoyañoch Maria Jose3</v>
      </c>
      <c r="I572" s="31" t="str">
        <f t="shared" si="79"/>
        <v xml:space="preserve">0  </v>
      </c>
      <c r="K572" s="26" t="s">
        <v>637</v>
      </c>
      <c r="P572" s="27">
        <v>1</v>
      </c>
      <c r="Q572" s="34">
        <v>225241</v>
      </c>
      <c r="R572" s="36">
        <f t="shared" si="76"/>
        <v>225241</v>
      </c>
      <c r="U572" s="39">
        <f t="shared" si="75"/>
        <v>0</v>
      </c>
      <c r="V572" s="41">
        <f t="shared" si="80"/>
        <v>0</v>
      </c>
    </row>
    <row r="573" spans="1:22" x14ac:dyDescent="0.25">
      <c r="A573" s="47">
        <v>165</v>
      </c>
      <c r="B573" s="31">
        <f t="shared" si="78"/>
        <v>4</v>
      </c>
      <c r="C573" s="48">
        <f t="shared" si="83"/>
        <v>45461</v>
      </c>
      <c r="D573" s="47" t="str">
        <f t="shared" si="84"/>
        <v>Slovoyañoch Maria Jose</v>
      </c>
      <c r="E573" s="31" t="str">
        <f t="shared" si="77"/>
        <v>165Slovoyañoch Maria Jose4</v>
      </c>
      <c r="I573" s="31" t="str">
        <f t="shared" si="79"/>
        <v xml:space="preserve">0   </v>
      </c>
      <c r="K573" s="26" t="s">
        <v>638</v>
      </c>
      <c r="P573" s="27">
        <v>1</v>
      </c>
      <c r="Q573" s="34">
        <v>106900</v>
      </c>
      <c r="R573" s="36">
        <f t="shared" si="76"/>
        <v>106900</v>
      </c>
      <c r="U573" s="39">
        <f t="shared" si="75"/>
        <v>0</v>
      </c>
      <c r="V573" s="41">
        <f t="shared" si="80"/>
        <v>0</v>
      </c>
    </row>
    <row r="574" spans="1:22" x14ac:dyDescent="0.25">
      <c r="A574" s="47">
        <v>165</v>
      </c>
      <c r="B574" s="31">
        <f t="shared" si="78"/>
        <v>5</v>
      </c>
      <c r="C574" s="48">
        <f t="shared" si="83"/>
        <v>45461</v>
      </c>
      <c r="D574" s="47" t="str">
        <f t="shared" si="84"/>
        <v>Slovoyañoch Maria Jose</v>
      </c>
      <c r="E574" s="31" t="str">
        <f t="shared" si="77"/>
        <v>165Slovoyañoch Maria Jose5</v>
      </c>
      <c r="I574" s="31" t="str">
        <f t="shared" si="79"/>
        <v xml:space="preserve">0    </v>
      </c>
      <c r="K574" s="26" t="s">
        <v>639</v>
      </c>
      <c r="P574" s="27">
        <v>1</v>
      </c>
      <c r="Q574" s="34">
        <v>282100</v>
      </c>
      <c r="R574" s="36">
        <f t="shared" si="76"/>
        <v>282100</v>
      </c>
      <c r="U574" s="39">
        <f t="shared" si="75"/>
        <v>0</v>
      </c>
      <c r="V574" s="41">
        <f t="shared" si="80"/>
        <v>0</v>
      </c>
    </row>
    <row r="575" spans="1:22" x14ac:dyDescent="0.25">
      <c r="A575" s="47">
        <v>165</v>
      </c>
      <c r="B575" s="31">
        <f t="shared" si="78"/>
        <v>6</v>
      </c>
      <c r="C575" s="48">
        <f t="shared" si="83"/>
        <v>45461</v>
      </c>
      <c r="D575" s="47" t="str">
        <f t="shared" si="84"/>
        <v>Slovoyañoch Maria Jose</v>
      </c>
      <c r="E575" s="31" t="str">
        <f t="shared" si="77"/>
        <v>165Slovoyañoch Maria Jose6</v>
      </c>
      <c r="I575" s="31" t="str">
        <f t="shared" si="79"/>
        <v xml:space="preserve">0     </v>
      </c>
      <c r="K575" s="26" t="s">
        <v>629</v>
      </c>
      <c r="P575" s="27">
        <v>1</v>
      </c>
      <c r="Q575" s="34">
        <v>182100</v>
      </c>
      <c r="R575" s="36">
        <f t="shared" si="76"/>
        <v>182100</v>
      </c>
      <c r="U575" s="39">
        <f t="shared" si="75"/>
        <v>0</v>
      </c>
      <c r="V575" s="41">
        <f t="shared" si="80"/>
        <v>0</v>
      </c>
    </row>
    <row r="576" spans="1:22" x14ac:dyDescent="0.25">
      <c r="A576" s="47">
        <v>165</v>
      </c>
      <c r="B576" s="31">
        <f t="shared" si="78"/>
        <v>7</v>
      </c>
      <c r="C576" s="48">
        <f t="shared" si="83"/>
        <v>45461</v>
      </c>
      <c r="D576" s="47" t="str">
        <f t="shared" si="84"/>
        <v>Slovoyañoch Maria Jose</v>
      </c>
      <c r="E576" s="31" t="str">
        <f t="shared" si="77"/>
        <v>165Slovoyañoch Maria Jose7</v>
      </c>
      <c r="I576" s="31" t="str">
        <f t="shared" si="79"/>
        <v xml:space="preserve">0      </v>
      </c>
      <c r="K576" s="26" t="s">
        <v>631</v>
      </c>
      <c r="P576" s="27">
        <v>1</v>
      </c>
      <c r="Q576" s="34">
        <v>98900</v>
      </c>
      <c r="R576" s="36">
        <f t="shared" si="76"/>
        <v>98900</v>
      </c>
      <c r="U576" s="39">
        <f t="shared" si="75"/>
        <v>0</v>
      </c>
      <c r="V576" s="41">
        <f t="shared" si="80"/>
        <v>0</v>
      </c>
    </row>
    <row r="577" spans="1:22" x14ac:dyDescent="0.25">
      <c r="A577" s="47">
        <v>165</v>
      </c>
      <c r="B577" s="31">
        <f t="shared" si="78"/>
        <v>8</v>
      </c>
      <c r="C577" s="48">
        <f t="shared" si="83"/>
        <v>45461</v>
      </c>
      <c r="D577" s="47" t="str">
        <f t="shared" si="84"/>
        <v>Slovoyañoch Maria Jose</v>
      </c>
      <c r="E577" s="31" t="str">
        <f t="shared" si="77"/>
        <v>165Slovoyañoch Maria Jose8</v>
      </c>
      <c r="I577" s="31" t="str">
        <f t="shared" si="79"/>
        <v xml:space="preserve">0       </v>
      </c>
      <c r="K577" s="26" t="s">
        <v>409</v>
      </c>
      <c r="P577" s="27">
        <v>3</v>
      </c>
      <c r="Q577" s="34">
        <v>11500</v>
      </c>
      <c r="R577" s="36">
        <f t="shared" si="76"/>
        <v>34500</v>
      </c>
      <c r="U577" s="39">
        <f t="shared" si="75"/>
        <v>0</v>
      </c>
      <c r="V577" s="41">
        <f t="shared" si="80"/>
        <v>0</v>
      </c>
    </row>
    <row r="578" spans="1:22" x14ac:dyDescent="0.25">
      <c r="A578" s="47">
        <v>165</v>
      </c>
      <c r="B578" s="31">
        <f t="shared" si="78"/>
        <v>9</v>
      </c>
      <c r="C578" s="48">
        <f t="shared" si="83"/>
        <v>45461</v>
      </c>
      <c r="D578" s="47" t="str">
        <f t="shared" si="84"/>
        <v>Slovoyañoch Maria Jose</v>
      </c>
      <c r="E578" s="31" t="str">
        <f t="shared" si="77"/>
        <v>165Slovoyañoch Maria Jose9</v>
      </c>
      <c r="I578" s="31" t="str">
        <f t="shared" si="79"/>
        <v xml:space="preserve">0        </v>
      </c>
      <c r="K578" s="26" t="s">
        <v>410</v>
      </c>
      <c r="P578" s="27">
        <v>1.4</v>
      </c>
      <c r="Q578" s="34">
        <v>4500</v>
      </c>
      <c r="R578" s="36">
        <f t="shared" si="76"/>
        <v>6300</v>
      </c>
      <c r="U578" s="39">
        <f t="shared" si="75"/>
        <v>0</v>
      </c>
      <c r="V578" s="41">
        <f t="shared" si="80"/>
        <v>0</v>
      </c>
    </row>
    <row r="579" spans="1:22" x14ac:dyDescent="0.25">
      <c r="A579" s="47">
        <v>165</v>
      </c>
      <c r="B579" s="31">
        <f t="shared" si="78"/>
        <v>10</v>
      </c>
      <c r="C579" s="48">
        <v>45461</v>
      </c>
      <c r="D579" s="47" t="s">
        <v>625</v>
      </c>
      <c r="E579" s="31" t="str">
        <f t="shared" si="77"/>
        <v>165Slovoyañoch Maria Jose10</v>
      </c>
      <c r="I579" s="31" t="str">
        <f t="shared" si="79"/>
        <v xml:space="preserve">0         </v>
      </c>
      <c r="K579" s="26" t="s">
        <v>630</v>
      </c>
      <c r="P579" s="27">
        <v>1</v>
      </c>
      <c r="Q579" s="34">
        <v>438800</v>
      </c>
      <c r="R579" s="36">
        <f t="shared" si="76"/>
        <v>438800</v>
      </c>
      <c r="U579" s="39">
        <f t="shared" si="75"/>
        <v>0</v>
      </c>
      <c r="V579" s="41">
        <f t="shared" si="80"/>
        <v>0</v>
      </c>
    </row>
    <row r="580" spans="1:22" x14ac:dyDescent="0.25">
      <c r="A580" s="47">
        <v>165</v>
      </c>
      <c r="B580" s="31">
        <f t="shared" si="78"/>
        <v>11</v>
      </c>
      <c r="C580" s="48">
        <f>IF(A580=A579,C579,"")</f>
        <v>45461</v>
      </c>
      <c r="D580" s="47" t="str">
        <f>IF(A580=A579,D579,"")</f>
        <v>Slovoyañoch Maria Jose</v>
      </c>
      <c r="E580" s="31" t="str">
        <f t="shared" si="77"/>
        <v>165Slovoyañoch Maria Jose11</v>
      </c>
      <c r="I580" s="31" t="str">
        <f t="shared" si="79"/>
        <v xml:space="preserve">0          </v>
      </c>
      <c r="K580" s="26" t="s">
        <v>642</v>
      </c>
      <c r="P580" s="27">
        <v>1</v>
      </c>
      <c r="Q580" s="34">
        <v>138000</v>
      </c>
      <c r="R580" s="36">
        <f t="shared" si="76"/>
        <v>138000</v>
      </c>
      <c r="U580" s="39">
        <f t="shared" ref="U580:U643" si="85">+T580*S580</f>
        <v>0</v>
      </c>
      <c r="V580" s="41">
        <f t="shared" si="80"/>
        <v>0</v>
      </c>
    </row>
    <row r="581" spans="1:22" x14ac:dyDescent="0.25">
      <c r="A581" s="47">
        <v>165</v>
      </c>
      <c r="B581" s="31">
        <f t="shared" si="78"/>
        <v>12</v>
      </c>
      <c r="C581" s="48">
        <f>IF(A581=A580,C580,"")</f>
        <v>45461</v>
      </c>
      <c r="D581" s="47" t="str">
        <f>IF(A581=A580,D580,"")</f>
        <v>Slovoyañoch Maria Jose</v>
      </c>
      <c r="E581" s="31" t="str">
        <f t="shared" si="77"/>
        <v>165Slovoyañoch Maria Jose12</v>
      </c>
      <c r="I581" s="31" t="str">
        <f t="shared" si="79"/>
        <v xml:space="preserve">0           </v>
      </c>
      <c r="K581" s="26" t="s">
        <v>644</v>
      </c>
      <c r="P581" s="27">
        <v>1</v>
      </c>
      <c r="Q581" s="34">
        <v>613650</v>
      </c>
      <c r="R581" s="36">
        <f t="shared" si="76"/>
        <v>613650</v>
      </c>
      <c r="U581" s="39">
        <f t="shared" si="85"/>
        <v>0</v>
      </c>
      <c r="V581" s="41">
        <f t="shared" si="80"/>
        <v>0</v>
      </c>
    </row>
    <row r="582" spans="1:22" x14ac:dyDescent="0.25">
      <c r="A582" s="47">
        <v>165</v>
      </c>
      <c r="B582" s="31">
        <f t="shared" si="78"/>
        <v>13</v>
      </c>
      <c r="C582" s="48">
        <f>IF(A582=A581,C581,"")</f>
        <v>45461</v>
      </c>
      <c r="D582" s="47" t="str">
        <f>IF(A582=A581,D581,"")</f>
        <v>Slovoyañoch Maria Jose</v>
      </c>
      <c r="E582" s="31" t="str">
        <f t="shared" si="77"/>
        <v>165Slovoyañoch Maria Jose13</v>
      </c>
      <c r="I582" s="31" t="str">
        <f t="shared" si="79"/>
        <v xml:space="preserve">0            </v>
      </c>
      <c r="K582" s="26" t="s">
        <v>643</v>
      </c>
      <c r="P582" s="27">
        <v>1</v>
      </c>
      <c r="Q582" s="34">
        <v>613650</v>
      </c>
      <c r="R582" s="36">
        <f t="shared" si="76"/>
        <v>613650</v>
      </c>
      <c r="U582" s="39">
        <f t="shared" si="85"/>
        <v>0</v>
      </c>
      <c r="V582" s="41">
        <f t="shared" si="80"/>
        <v>0</v>
      </c>
    </row>
    <row r="583" spans="1:22" x14ac:dyDescent="0.25">
      <c r="A583" s="47">
        <v>166</v>
      </c>
      <c r="B583" s="31">
        <f t="shared" si="78"/>
        <v>1</v>
      </c>
      <c r="C583" s="48">
        <v>45469</v>
      </c>
      <c r="D583" s="47" t="s">
        <v>640</v>
      </c>
      <c r="E583" s="31" t="str">
        <f t="shared" si="77"/>
        <v>166Vallejos Cristian1</v>
      </c>
      <c r="G583" s="47" t="s">
        <v>641</v>
      </c>
      <c r="H583" s="26" t="s">
        <v>407</v>
      </c>
      <c r="I583" s="31" t="str">
        <f t="shared" si="79"/>
        <v>Desarmar distribucion completa. Cambiar kit, bomba de agua, correa poly-v y liquido refrigerante. Purgado del circuito de refrigeracion. Puesta a punto. Armado total.</v>
      </c>
      <c r="K583" s="26" t="s">
        <v>408</v>
      </c>
      <c r="P583" s="27">
        <v>1</v>
      </c>
      <c r="Q583" s="34">
        <v>377000</v>
      </c>
      <c r="R583" s="36">
        <f t="shared" si="76"/>
        <v>377000</v>
      </c>
      <c r="S583" s="6">
        <v>1</v>
      </c>
      <c r="T583" s="7">
        <v>160000</v>
      </c>
      <c r="U583" s="39">
        <f t="shared" si="85"/>
        <v>160000</v>
      </c>
      <c r="V583" s="41">
        <f t="shared" si="80"/>
        <v>160000</v>
      </c>
    </row>
    <row r="584" spans="1:22" x14ac:dyDescent="0.25">
      <c r="A584" s="47">
        <v>166</v>
      </c>
      <c r="B584" s="31">
        <f t="shared" si="78"/>
        <v>2</v>
      </c>
      <c r="C584" s="48">
        <f>IF(A584=A583,C583,"")</f>
        <v>45469</v>
      </c>
      <c r="D584" s="47" t="str">
        <f>IF(A584=A583,D583,"")</f>
        <v>Vallejos Cristian</v>
      </c>
      <c r="E584" s="31" t="str">
        <f t="shared" si="77"/>
        <v>166Vallejos Cristian2</v>
      </c>
      <c r="I584" s="31" t="str">
        <f t="shared" si="79"/>
        <v xml:space="preserve">Desarmar distribucion completa. Cambiar kit, bomba de agua, correa poly-v y liquido refrigerante. Purgado del circuito de refrigeracion. Puesta a punto. Armado total. </v>
      </c>
      <c r="K584" s="26" t="s">
        <v>322</v>
      </c>
      <c r="P584" s="27">
        <v>1</v>
      </c>
      <c r="Q584" s="34">
        <v>28800</v>
      </c>
      <c r="R584" s="36">
        <f t="shared" si="76"/>
        <v>28800</v>
      </c>
      <c r="U584" s="39">
        <f t="shared" si="85"/>
        <v>0</v>
      </c>
      <c r="V584" s="41">
        <f t="shared" si="80"/>
        <v>160000</v>
      </c>
    </row>
    <row r="585" spans="1:22" x14ac:dyDescent="0.25">
      <c r="A585" s="47">
        <v>166</v>
      </c>
      <c r="B585" s="31">
        <f t="shared" si="78"/>
        <v>3</v>
      </c>
      <c r="C585" s="48">
        <f>IF(A585=A584,C584,"")</f>
        <v>45469</v>
      </c>
      <c r="D585" s="47" t="str">
        <f>IF(A585=A584,D584,"")</f>
        <v>Vallejos Cristian</v>
      </c>
      <c r="E585" s="31" t="str">
        <f t="shared" si="77"/>
        <v>166Vallejos Cristian3</v>
      </c>
      <c r="I585" s="31" t="str">
        <f t="shared" si="79"/>
        <v xml:space="preserve">Desarmar distribucion completa. Cambiar kit, bomba de agua, correa poly-v y liquido refrigerante. Purgado del circuito de refrigeracion. Puesta a punto. Armado total.  </v>
      </c>
      <c r="K585" s="26" t="s">
        <v>409</v>
      </c>
      <c r="P585" s="27">
        <v>2</v>
      </c>
      <c r="Q585" s="34">
        <v>13000</v>
      </c>
      <c r="R585" s="36">
        <f t="shared" si="76"/>
        <v>26000</v>
      </c>
      <c r="U585" s="39">
        <f t="shared" si="85"/>
        <v>0</v>
      </c>
      <c r="V585" s="41">
        <f t="shared" si="80"/>
        <v>160000</v>
      </c>
    </row>
    <row r="586" spans="1:22" x14ac:dyDescent="0.25">
      <c r="A586" s="47">
        <v>166</v>
      </c>
      <c r="B586" s="31">
        <f t="shared" si="78"/>
        <v>4</v>
      </c>
      <c r="C586" s="48">
        <f>IF(A586=A585,C585,"")</f>
        <v>45469</v>
      </c>
      <c r="D586" s="47" t="str">
        <f>IF(A586=A585,D585,"")</f>
        <v>Vallejos Cristian</v>
      </c>
      <c r="E586" s="31" t="str">
        <f t="shared" si="77"/>
        <v>166Vallejos Cristian4</v>
      </c>
      <c r="I586" s="31" t="str">
        <f t="shared" si="79"/>
        <v xml:space="preserve">Desarmar distribucion completa. Cambiar kit, bomba de agua, correa poly-v y liquido refrigerante. Purgado del circuito de refrigeracion. Puesta a punto. Armado total.   </v>
      </c>
      <c r="K586" s="26" t="s">
        <v>410</v>
      </c>
      <c r="P586" s="27">
        <v>1</v>
      </c>
      <c r="Q586" s="34">
        <v>4500</v>
      </c>
      <c r="R586" s="36">
        <f t="shared" si="76"/>
        <v>4500</v>
      </c>
      <c r="U586" s="39">
        <f t="shared" si="85"/>
        <v>0</v>
      </c>
      <c r="V586" s="41">
        <f t="shared" si="80"/>
        <v>160000</v>
      </c>
    </row>
    <row r="587" spans="1:22" x14ac:dyDescent="0.25">
      <c r="A587" s="47">
        <v>167</v>
      </c>
      <c r="B587" s="31">
        <f t="shared" si="78"/>
        <v>1</v>
      </c>
      <c r="C587" s="48">
        <v>45474</v>
      </c>
      <c r="D587" s="47" t="s">
        <v>646</v>
      </c>
      <c r="E587" s="31" t="str">
        <f t="shared" si="77"/>
        <v>167Chavez Daniel1</v>
      </c>
      <c r="G587" s="47" t="s">
        <v>645</v>
      </c>
      <c r="H587" s="26" t="s">
        <v>440</v>
      </c>
      <c r="I587" s="31" t="str">
        <f t="shared" si="79"/>
        <v>Service completo. Cambio de aceite y filtros. Control general de mas de 50 puntos del vehiculo.</v>
      </c>
      <c r="K587" s="26" t="s">
        <v>91</v>
      </c>
      <c r="P587" s="27">
        <v>1</v>
      </c>
      <c r="Q587" s="34">
        <v>68000</v>
      </c>
      <c r="R587" s="36">
        <f t="shared" si="76"/>
        <v>68000</v>
      </c>
      <c r="S587" s="6">
        <v>1</v>
      </c>
      <c r="T587" s="7">
        <v>70000</v>
      </c>
      <c r="U587" s="39">
        <f t="shared" si="85"/>
        <v>70000</v>
      </c>
      <c r="V587" s="41">
        <f t="shared" si="80"/>
        <v>70000</v>
      </c>
    </row>
    <row r="588" spans="1:22" x14ac:dyDescent="0.25">
      <c r="A588" s="47">
        <v>167</v>
      </c>
      <c r="B588" s="31">
        <f t="shared" si="78"/>
        <v>2</v>
      </c>
      <c r="C588" s="48">
        <f>IF(A588=A587,C587,"")</f>
        <v>45474</v>
      </c>
      <c r="D588" s="47" t="str">
        <f>IF(A588=A587,D587,"")</f>
        <v>Chavez Daniel</v>
      </c>
      <c r="E588" s="31" t="str">
        <f t="shared" si="77"/>
        <v>167Chavez Daniel2</v>
      </c>
      <c r="I588" s="31" t="str">
        <f t="shared" si="79"/>
        <v xml:space="preserve">Service completo. Cambio de aceite y filtros. Control general de mas de 50 puntos del vehiculo. </v>
      </c>
      <c r="K588" s="26" t="s">
        <v>90</v>
      </c>
      <c r="P588" s="27">
        <v>4.5</v>
      </c>
      <c r="Q588" s="34">
        <v>17870</v>
      </c>
      <c r="R588" s="36">
        <f t="shared" si="76"/>
        <v>80415</v>
      </c>
      <c r="U588" s="39">
        <f t="shared" si="85"/>
        <v>0</v>
      </c>
      <c r="V588" s="41">
        <f t="shared" si="80"/>
        <v>70000</v>
      </c>
    </row>
    <row r="589" spans="1:22" x14ac:dyDescent="0.25">
      <c r="A589" s="47">
        <v>167</v>
      </c>
      <c r="B589" s="31">
        <f t="shared" si="78"/>
        <v>3</v>
      </c>
      <c r="C589" s="48">
        <f>IF(A589=A588,C588,"")</f>
        <v>45474</v>
      </c>
      <c r="D589" s="47" t="str">
        <f>IF(A589=A588,D588,"")</f>
        <v>Chavez Daniel</v>
      </c>
      <c r="E589" s="31" t="str">
        <f t="shared" si="77"/>
        <v>167Chavez Daniel3</v>
      </c>
      <c r="I589" s="31" t="str">
        <f t="shared" si="79"/>
        <v xml:space="preserve">Service completo. Cambio de aceite y filtros. Control general de mas de 50 puntos del vehiculo.  </v>
      </c>
      <c r="K589" s="26" t="s">
        <v>647</v>
      </c>
      <c r="P589" s="27">
        <v>4</v>
      </c>
      <c r="Q589" s="34">
        <v>27600</v>
      </c>
      <c r="R589" s="36">
        <f t="shared" si="76"/>
        <v>110400</v>
      </c>
      <c r="U589" s="39">
        <f t="shared" si="85"/>
        <v>0</v>
      </c>
      <c r="V589" s="41">
        <f t="shared" si="80"/>
        <v>70000</v>
      </c>
    </row>
    <row r="590" spans="1:22" x14ac:dyDescent="0.25">
      <c r="A590" s="47">
        <v>168</v>
      </c>
      <c r="B590" s="31">
        <f t="shared" si="78"/>
        <v>1</v>
      </c>
      <c r="C590" s="48">
        <v>45478</v>
      </c>
      <c r="D590" s="47" t="s">
        <v>648</v>
      </c>
      <c r="E590" s="31" t="str">
        <f t="shared" si="77"/>
        <v>168Pra Adolfo1</v>
      </c>
      <c r="G590" s="47" t="s">
        <v>446</v>
      </c>
      <c r="H590" s="26" t="s">
        <v>407</v>
      </c>
      <c r="I590" s="31" t="str">
        <f t="shared" si="79"/>
        <v>Desarmar distribucion completa. Cambiar kit, bomba de agua, correa poly-v y liquido refrigerante. Purgado del circuito de refrigeracion. Puesta a punto. Armado total.</v>
      </c>
      <c r="K590" s="26" t="s">
        <v>408</v>
      </c>
      <c r="P590" s="27">
        <v>1</v>
      </c>
      <c r="Q590" s="34">
        <v>200000</v>
      </c>
      <c r="R590" s="36">
        <f t="shared" si="76"/>
        <v>200000</v>
      </c>
      <c r="S590" s="6">
        <v>1</v>
      </c>
      <c r="T590" s="7">
        <v>150000</v>
      </c>
      <c r="U590" s="39">
        <f t="shared" si="85"/>
        <v>150000</v>
      </c>
      <c r="V590" s="41">
        <f t="shared" si="80"/>
        <v>150000</v>
      </c>
    </row>
    <row r="591" spans="1:22" x14ac:dyDescent="0.25">
      <c r="A591" s="47">
        <v>168</v>
      </c>
      <c r="B591" s="31">
        <f t="shared" si="78"/>
        <v>2</v>
      </c>
      <c r="C591" s="48">
        <f>IF(A591=A590,C590,"")</f>
        <v>45478</v>
      </c>
      <c r="D591" s="47" t="str">
        <f>IF(A591=A590,D590,"")</f>
        <v>Pra Adolfo</v>
      </c>
      <c r="E591" s="31" t="str">
        <f t="shared" si="77"/>
        <v>168Pra Adolfo2</v>
      </c>
      <c r="I591" s="31" t="str">
        <f t="shared" si="79"/>
        <v xml:space="preserve">Desarmar distribucion completa. Cambiar kit, bomba de agua, correa poly-v y liquido refrigerante. Purgado del circuito de refrigeracion. Puesta a punto. Armado total. </v>
      </c>
      <c r="K591" s="26" t="s">
        <v>322</v>
      </c>
      <c r="P591" s="27">
        <v>1</v>
      </c>
      <c r="Q591" s="34">
        <v>43000</v>
      </c>
      <c r="R591" s="36">
        <f t="shared" ref="R591:R654" si="86">Q591*P591</f>
        <v>43000</v>
      </c>
      <c r="U591" s="39">
        <f t="shared" si="85"/>
        <v>0</v>
      </c>
      <c r="V591" s="41">
        <f t="shared" si="80"/>
        <v>150000</v>
      </c>
    </row>
    <row r="592" spans="1:22" x14ac:dyDescent="0.25">
      <c r="A592" s="47">
        <v>168</v>
      </c>
      <c r="B592" s="31">
        <f t="shared" si="78"/>
        <v>3</v>
      </c>
      <c r="C592" s="48">
        <f>IF(A592=A591,C591,"")</f>
        <v>45478</v>
      </c>
      <c r="D592" s="47" t="str">
        <f>IF(A592=A591,D591,"")</f>
        <v>Pra Adolfo</v>
      </c>
      <c r="E592" s="31" t="str">
        <f t="shared" si="77"/>
        <v>168Pra Adolfo3</v>
      </c>
      <c r="I592" s="31" t="str">
        <f t="shared" si="79"/>
        <v xml:space="preserve">Desarmar distribucion completa. Cambiar kit, bomba de agua, correa poly-v y liquido refrigerante. Purgado del circuito de refrigeracion. Puesta a punto. Armado total.  </v>
      </c>
      <c r="K592" s="26" t="s">
        <v>409</v>
      </c>
      <c r="P592" s="27">
        <v>2</v>
      </c>
      <c r="Q592" s="34">
        <v>13500</v>
      </c>
      <c r="R592" s="36">
        <f t="shared" si="86"/>
        <v>27000</v>
      </c>
      <c r="U592" s="39">
        <f t="shared" si="85"/>
        <v>0</v>
      </c>
      <c r="V592" s="41">
        <f t="shared" si="80"/>
        <v>150000</v>
      </c>
    </row>
    <row r="593" spans="1:22" x14ac:dyDescent="0.25">
      <c r="A593" s="47">
        <v>168</v>
      </c>
      <c r="B593" s="31">
        <f t="shared" si="78"/>
        <v>4</v>
      </c>
      <c r="C593" s="48">
        <f>IF(A593=A592,C592,"")</f>
        <v>45478</v>
      </c>
      <c r="D593" s="47" t="str">
        <f>IF(A593=A592,D592,"")</f>
        <v>Pra Adolfo</v>
      </c>
      <c r="E593" s="31" t="str">
        <f t="shared" ref="E593:E656" si="87">CONCATENATE(A593,D593,B593)</f>
        <v>168Pra Adolfo4</v>
      </c>
      <c r="I593" s="31" t="str">
        <f t="shared" si="79"/>
        <v xml:space="preserve">Desarmar distribucion completa. Cambiar kit, bomba de agua, correa poly-v y liquido refrigerante. Purgado del circuito de refrigeracion. Puesta a punto. Armado total.   </v>
      </c>
      <c r="K593" s="26" t="s">
        <v>410</v>
      </c>
      <c r="P593" s="27">
        <v>1</v>
      </c>
      <c r="Q593" s="34">
        <v>4900</v>
      </c>
      <c r="R593" s="36">
        <f t="shared" si="86"/>
        <v>4900</v>
      </c>
      <c r="U593" s="39">
        <f t="shared" si="85"/>
        <v>0</v>
      </c>
      <c r="V593" s="41">
        <f t="shared" si="80"/>
        <v>150000</v>
      </c>
    </row>
    <row r="594" spans="1:22" x14ac:dyDescent="0.25">
      <c r="A594" s="47">
        <v>169</v>
      </c>
      <c r="B594" s="31">
        <f t="shared" si="78"/>
        <v>1</v>
      </c>
      <c r="C594" s="48">
        <v>45481</v>
      </c>
      <c r="D594" s="47" t="s">
        <v>649</v>
      </c>
      <c r="E594" s="31" t="str">
        <f t="shared" si="87"/>
        <v>169Barnard Agostina1</v>
      </c>
      <c r="G594" s="47" t="s">
        <v>650</v>
      </c>
      <c r="H594" s="26" t="s">
        <v>651</v>
      </c>
      <c r="I594" s="31" t="str">
        <f t="shared" si="79"/>
        <v>Desarmar frente del vehiculo. Sacar multiple de escape, catalizador, base de filtro de aceite. Cambiar juego de oring a intercambiador de calor. Limpieza. Armado total.</v>
      </c>
      <c r="K594" s="26" t="s">
        <v>652</v>
      </c>
      <c r="P594" s="27">
        <v>1</v>
      </c>
      <c r="Q594" s="34">
        <v>106000</v>
      </c>
      <c r="R594" s="36">
        <f t="shared" si="86"/>
        <v>106000</v>
      </c>
      <c r="S594" s="6">
        <v>1</v>
      </c>
      <c r="T594" s="7">
        <v>400000</v>
      </c>
      <c r="U594" s="39">
        <f t="shared" si="85"/>
        <v>400000</v>
      </c>
      <c r="V594" s="41">
        <f t="shared" si="80"/>
        <v>400000</v>
      </c>
    </row>
    <row r="595" spans="1:22" x14ac:dyDescent="0.25">
      <c r="A595" s="47">
        <v>169</v>
      </c>
      <c r="B595" s="31">
        <f t="shared" si="78"/>
        <v>2</v>
      </c>
      <c r="C595" s="48">
        <f>IF(A595=A594,C594,"")</f>
        <v>45481</v>
      </c>
      <c r="D595" s="47" t="str">
        <f>IF(A595=A594,D594,"")</f>
        <v>Barnard Agostina</v>
      </c>
      <c r="E595" s="31" t="str">
        <f t="shared" si="87"/>
        <v>169Barnard Agostina2</v>
      </c>
      <c r="I595" s="31" t="str">
        <f t="shared" si="79"/>
        <v xml:space="preserve">Desarmar frente del vehiculo. Sacar multiple de escape, catalizador, base de filtro de aceite. Cambiar juego de oring a intercambiador de calor. Limpieza. Armado total. </v>
      </c>
      <c r="P595" s="27"/>
      <c r="Q595" s="34"/>
      <c r="R595" s="36">
        <f t="shared" si="86"/>
        <v>0</v>
      </c>
      <c r="U595" s="39">
        <f t="shared" si="85"/>
        <v>0</v>
      </c>
      <c r="V595" s="41">
        <f t="shared" si="80"/>
        <v>400000</v>
      </c>
    </row>
    <row r="596" spans="1:22" x14ac:dyDescent="0.25">
      <c r="A596" s="47">
        <v>170</v>
      </c>
      <c r="B596" s="31">
        <f t="shared" si="78"/>
        <v>1</v>
      </c>
      <c r="C596" s="48">
        <v>45485</v>
      </c>
      <c r="D596" s="47" t="s">
        <v>653</v>
      </c>
      <c r="E596" s="31" t="str">
        <f t="shared" si="87"/>
        <v>170Rivas Enzo1</v>
      </c>
      <c r="G596" s="47" t="s">
        <v>336</v>
      </c>
      <c r="H596" s="26" t="s">
        <v>440</v>
      </c>
      <c r="I596" s="31" t="str">
        <f t="shared" si="79"/>
        <v>Service completo. Cambio de aceite y filtros. Control general de mas de 50 puntos del vehiculo.</v>
      </c>
      <c r="K596" s="26" t="s">
        <v>91</v>
      </c>
      <c r="P596" s="27">
        <v>1</v>
      </c>
      <c r="Q596" s="34">
        <v>48500</v>
      </c>
      <c r="R596" s="36">
        <f t="shared" si="86"/>
        <v>48500</v>
      </c>
      <c r="S596" s="6">
        <v>1</v>
      </c>
      <c r="T596" s="7">
        <v>70000</v>
      </c>
      <c r="U596" s="39">
        <f t="shared" si="85"/>
        <v>70000</v>
      </c>
      <c r="V596" s="41">
        <f t="shared" si="80"/>
        <v>70000</v>
      </c>
    </row>
    <row r="597" spans="1:22" x14ac:dyDescent="0.25">
      <c r="A597" s="47">
        <v>170</v>
      </c>
      <c r="B597" s="31">
        <f t="shared" si="78"/>
        <v>2</v>
      </c>
      <c r="C597" s="48">
        <f>IF(A597=A596,C596,"")</f>
        <v>45485</v>
      </c>
      <c r="D597" s="47" t="str">
        <f>IF(A597=A596,D596,"")</f>
        <v>Rivas Enzo</v>
      </c>
      <c r="E597" s="31" t="str">
        <f t="shared" si="87"/>
        <v>170Rivas Enzo2</v>
      </c>
      <c r="I597" s="31" t="str">
        <f t="shared" si="79"/>
        <v xml:space="preserve">Service completo. Cambio de aceite y filtros. Control general de mas de 50 puntos del vehiculo. </v>
      </c>
      <c r="K597" s="26" t="s">
        <v>90</v>
      </c>
      <c r="P597" s="27">
        <v>4</v>
      </c>
      <c r="Q597" s="34">
        <v>17870</v>
      </c>
      <c r="R597" s="36">
        <f t="shared" si="86"/>
        <v>71480</v>
      </c>
      <c r="U597" s="39">
        <f t="shared" si="85"/>
        <v>0</v>
      </c>
      <c r="V597" s="41">
        <f t="shared" si="80"/>
        <v>70000</v>
      </c>
    </row>
    <row r="598" spans="1:22" x14ac:dyDescent="0.25">
      <c r="A598" s="47">
        <v>171</v>
      </c>
      <c r="B598" s="31">
        <f t="shared" si="78"/>
        <v>1</v>
      </c>
      <c r="C598" s="48">
        <v>45491</v>
      </c>
      <c r="D598" s="47" t="s">
        <v>654</v>
      </c>
      <c r="E598" s="31" t="str">
        <f t="shared" si="87"/>
        <v>171Cerioli Monica1</v>
      </c>
      <c r="G598" s="47" t="s">
        <v>655</v>
      </c>
      <c r="H598" s="26" t="s">
        <v>407</v>
      </c>
      <c r="I598" s="31" t="str">
        <f t="shared" si="79"/>
        <v>Desarmar distribucion completa. Cambiar kit, bomba de agua, correa poly-v y liquido refrigerante. Purgado del circuito de refrigeracion. Puesta a punto. Armado total.</v>
      </c>
      <c r="K598" s="26" t="s">
        <v>656</v>
      </c>
      <c r="P598" s="27">
        <v>1</v>
      </c>
      <c r="Q598" s="34">
        <v>198000</v>
      </c>
      <c r="R598" s="36">
        <f t="shared" si="86"/>
        <v>198000</v>
      </c>
      <c r="S598" s="6">
        <v>1</v>
      </c>
      <c r="T598" s="7">
        <v>160000</v>
      </c>
      <c r="U598" s="39">
        <f t="shared" si="85"/>
        <v>160000</v>
      </c>
      <c r="V598" s="41">
        <f t="shared" si="80"/>
        <v>160000</v>
      </c>
    </row>
    <row r="599" spans="1:22" x14ac:dyDescent="0.25">
      <c r="A599" s="47">
        <v>171</v>
      </c>
      <c r="B599" s="31">
        <f t="shared" si="78"/>
        <v>2</v>
      </c>
      <c r="C599" s="48">
        <f>IF(A599=A598,C598,"")</f>
        <v>45491</v>
      </c>
      <c r="D599" s="47" t="str">
        <f>IF(A599=A598,D598,"")</f>
        <v>Cerioli Monica</v>
      </c>
      <c r="E599" s="31" t="str">
        <f t="shared" si="87"/>
        <v>171Cerioli Monica2</v>
      </c>
      <c r="I599" s="31" t="str">
        <f t="shared" si="79"/>
        <v xml:space="preserve">Desarmar distribucion completa. Cambiar kit, bomba de agua, correa poly-v y liquido refrigerante. Purgado del circuito de refrigeracion. Puesta a punto. Armado total. </v>
      </c>
      <c r="K599" s="26" t="s">
        <v>657</v>
      </c>
      <c r="P599" s="27">
        <v>1</v>
      </c>
      <c r="Q599" s="34">
        <v>140000</v>
      </c>
      <c r="R599" s="36">
        <f t="shared" si="86"/>
        <v>140000</v>
      </c>
      <c r="U599" s="39">
        <f t="shared" si="85"/>
        <v>0</v>
      </c>
      <c r="V599" s="41">
        <f t="shared" si="80"/>
        <v>160000</v>
      </c>
    </row>
    <row r="600" spans="1:22" x14ac:dyDescent="0.25">
      <c r="A600" s="47">
        <v>171</v>
      </c>
      <c r="B600" s="31">
        <f t="shared" si="78"/>
        <v>3</v>
      </c>
      <c r="C600" s="48">
        <f>IF(A600=A599,C599,"")</f>
        <v>45491</v>
      </c>
      <c r="D600" s="47" t="str">
        <f>IF(A600=A599,D599,"")</f>
        <v>Cerioli Monica</v>
      </c>
      <c r="E600" s="31" t="str">
        <f t="shared" si="87"/>
        <v>171Cerioli Monica3</v>
      </c>
      <c r="I600" s="31" t="str">
        <f t="shared" si="79"/>
        <v xml:space="preserve">Desarmar distribucion completa. Cambiar kit, bomba de agua, correa poly-v y liquido refrigerante. Purgado del circuito de refrigeracion. Puesta a punto. Armado total.  </v>
      </c>
      <c r="K600" s="26" t="s">
        <v>322</v>
      </c>
      <c r="P600" s="27">
        <v>1</v>
      </c>
      <c r="Q600" s="34">
        <v>34000</v>
      </c>
      <c r="R600" s="36">
        <f t="shared" si="86"/>
        <v>34000</v>
      </c>
      <c r="U600" s="39">
        <f t="shared" si="85"/>
        <v>0</v>
      </c>
      <c r="V600" s="41">
        <f t="shared" si="80"/>
        <v>160000</v>
      </c>
    </row>
    <row r="601" spans="1:22" x14ac:dyDescent="0.25">
      <c r="A601" s="47">
        <v>171</v>
      </c>
      <c r="B601" s="31">
        <f t="shared" si="78"/>
        <v>4</v>
      </c>
      <c r="C601" s="48">
        <f>IF(A601=A600,C600,"")</f>
        <v>45491</v>
      </c>
      <c r="D601" s="47" t="str">
        <f>IF(A601=A600,D600,"")</f>
        <v>Cerioli Monica</v>
      </c>
      <c r="E601" s="31" t="str">
        <f t="shared" si="87"/>
        <v>171Cerioli Monica4</v>
      </c>
      <c r="I601" s="31" t="str">
        <f t="shared" si="79"/>
        <v xml:space="preserve">Desarmar distribucion completa. Cambiar kit, bomba de agua, correa poly-v y liquido refrigerante. Purgado del circuito de refrigeracion. Puesta a punto. Armado total.   </v>
      </c>
      <c r="K601" s="26" t="s">
        <v>409</v>
      </c>
      <c r="P601" s="27">
        <v>2</v>
      </c>
      <c r="Q601" s="34">
        <v>13500</v>
      </c>
      <c r="R601" s="36">
        <f t="shared" si="86"/>
        <v>27000</v>
      </c>
      <c r="U601" s="39">
        <f t="shared" si="85"/>
        <v>0</v>
      </c>
      <c r="V601" s="41">
        <f t="shared" si="80"/>
        <v>160000</v>
      </c>
    </row>
    <row r="602" spans="1:22" x14ac:dyDescent="0.25">
      <c r="A602" s="47">
        <v>171</v>
      </c>
      <c r="B602" s="31">
        <f t="shared" si="78"/>
        <v>5</v>
      </c>
      <c r="C602" s="48">
        <f>IF(A602=A601,C601,"")</f>
        <v>45491</v>
      </c>
      <c r="D602" s="47" t="str">
        <f>IF(A602=A601,D601,"")</f>
        <v>Cerioli Monica</v>
      </c>
      <c r="E602" s="31" t="str">
        <f t="shared" si="87"/>
        <v>171Cerioli Monica5</v>
      </c>
      <c r="I602" s="31" t="str">
        <f t="shared" si="79"/>
        <v xml:space="preserve">Desarmar distribucion completa. Cambiar kit, bomba de agua, correa poly-v y liquido refrigerante. Purgado del circuito de refrigeracion. Puesta a punto. Armado total.    </v>
      </c>
      <c r="K602" s="26" t="s">
        <v>410</v>
      </c>
      <c r="P602" s="27">
        <v>1</v>
      </c>
      <c r="Q602" s="34">
        <v>4500</v>
      </c>
      <c r="R602" s="36">
        <f t="shared" si="86"/>
        <v>4500</v>
      </c>
      <c r="U602" s="39">
        <f t="shared" si="85"/>
        <v>0</v>
      </c>
      <c r="V602" s="41">
        <f t="shared" si="80"/>
        <v>160000</v>
      </c>
    </row>
    <row r="603" spans="1:22" x14ac:dyDescent="0.25">
      <c r="A603" s="47">
        <v>172</v>
      </c>
      <c r="B603" s="31">
        <f t="shared" si="78"/>
        <v>1</v>
      </c>
      <c r="C603" s="48">
        <v>45491</v>
      </c>
      <c r="D603" s="47" t="s">
        <v>658</v>
      </c>
      <c r="E603" s="31" t="str">
        <f t="shared" si="87"/>
        <v>172Nave Diego1</v>
      </c>
      <c r="G603" s="47" t="s">
        <v>659</v>
      </c>
      <c r="H603" s="26" t="s">
        <v>440</v>
      </c>
      <c r="I603" s="31" t="str">
        <f t="shared" si="79"/>
        <v>Service completo. Cambio de aceite y filtros. Control general de mas de 50 puntos del vehiculo.</v>
      </c>
      <c r="K603" s="26" t="s">
        <v>91</v>
      </c>
      <c r="P603" s="27">
        <v>1</v>
      </c>
      <c r="Q603" s="34">
        <v>115000</v>
      </c>
      <c r="R603" s="36">
        <f t="shared" si="86"/>
        <v>115000</v>
      </c>
      <c r="S603" s="6">
        <v>1</v>
      </c>
      <c r="T603" s="7">
        <v>75000</v>
      </c>
      <c r="U603" s="39">
        <f t="shared" si="85"/>
        <v>75000</v>
      </c>
      <c r="V603" s="41">
        <f t="shared" si="80"/>
        <v>75000</v>
      </c>
    </row>
    <row r="604" spans="1:22" x14ac:dyDescent="0.25">
      <c r="A604" s="47">
        <v>172</v>
      </c>
      <c r="B604" s="31">
        <f t="shared" si="78"/>
        <v>2</v>
      </c>
      <c r="C604" s="48">
        <f>IF(A604=A603,C603,"")</f>
        <v>45491</v>
      </c>
      <c r="D604" s="47" t="str">
        <f>IF(A604=A603,D603,"")</f>
        <v>Nave Diego</v>
      </c>
      <c r="E604" s="31" t="str">
        <f t="shared" si="87"/>
        <v>172Nave Diego2</v>
      </c>
      <c r="I604" s="31" t="str">
        <f t="shared" si="79"/>
        <v xml:space="preserve">Service completo. Cambio de aceite y filtros. Control general de mas de 50 puntos del vehiculo. </v>
      </c>
      <c r="K604" s="26" t="s">
        <v>90</v>
      </c>
      <c r="P604" s="27">
        <v>5</v>
      </c>
      <c r="Q604" s="34">
        <v>17870</v>
      </c>
      <c r="R604" s="36">
        <f t="shared" si="86"/>
        <v>89350</v>
      </c>
      <c r="U604" s="39">
        <f t="shared" si="85"/>
        <v>0</v>
      </c>
      <c r="V604" s="41">
        <f t="shared" si="80"/>
        <v>75000</v>
      </c>
    </row>
    <row r="605" spans="1:22" x14ac:dyDescent="0.25">
      <c r="A605" s="47">
        <v>173</v>
      </c>
      <c r="B605" s="31">
        <f t="shared" si="78"/>
        <v>1</v>
      </c>
      <c r="C605" s="48">
        <v>45492</v>
      </c>
      <c r="D605" s="47" t="s">
        <v>660</v>
      </c>
      <c r="E605" s="31" t="str">
        <f t="shared" si="87"/>
        <v>173Sr Dale1</v>
      </c>
      <c r="G605" s="47" t="s">
        <v>156</v>
      </c>
      <c r="H605" s="26" t="s">
        <v>661</v>
      </c>
      <c r="I605" s="31" t="str">
        <f t="shared" si="79"/>
        <v>Control general del vehiculo para tecnica.</v>
      </c>
      <c r="P605" s="27"/>
      <c r="Q605" s="34"/>
      <c r="R605" s="36">
        <f t="shared" si="86"/>
        <v>0</v>
      </c>
      <c r="S605" s="6">
        <v>1</v>
      </c>
      <c r="T605" s="7">
        <v>30000</v>
      </c>
      <c r="U605" s="39">
        <f t="shared" si="85"/>
        <v>30000</v>
      </c>
      <c r="V605" s="41">
        <f t="shared" si="80"/>
        <v>30000</v>
      </c>
    </row>
    <row r="606" spans="1:22" x14ac:dyDescent="0.25">
      <c r="A606" s="47">
        <v>173</v>
      </c>
      <c r="B606" s="31">
        <f t="shared" si="78"/>
        <v>2</v>
      </c>
      <c r="C606" s="48">
        <f>IF(A606=A605,C605,"")</f>
        <v>45492</v>
      </c>
      <c r="D606" s="47" t="str">
        <f>IF(A606=A605,D605,"")</f>
        <v>Sr Dale</v>
      </c>
      <c r="E606" s="31" t="str">
        <f t="shared" si="87"/>
        <v>173Sr Dale2</v>
      </c>
      <c r="I606" s="31" t="str">
        <f t="shared" si="79"/>
        <v xml:space="preserve">Control general del vehiculo para tecnica. </v>
      </c>
      <c r="P606" s="27"/>
      <c r="Q606" s="34"/>
      <c r="R606" s="36">
        <f t="shared" si="86"/>
        <v>0</v>
      </c>
      <c r="U606" s="39">
        <f t="shared" si="85"/>
        <v>0</v>
      </c>
      <c r="V606" s="41">
        <f t="shared" si="80"/>
        <v>30000</v>
      </c>
    </row>
    <row r="607" spans="1:22" x14ac:dyDescent="0.25">
      <c r="A607" s="47">
        <v>174</v>
      </c>
      <c r="B607" s="31">
        <f t="shared" ref="B607:B670" si="88">IF(A607=A606,B606+1,1)</f>
        <v>1</v>
      </c>
      <c r="C607" s="48">
        <v>45497</v>
      </c>
      <c r="D607" s="47" t="s">
        <v>662</v>
      </c>
      <c r="E607" s="31" t="str">
        <f t="shared" si="87"/>
        <v>174Gallo Walter1</v>
      </c>
      <c r="G607" s="54" t="s">
        <v>187</v>
      </c>
      <c r="H607" s="26" t="s">
        <v>556</v>
      </c>
      <c r="I607" s="31" t="str">
        <f t="shared" ref="I607:I670" si="89">IF(A607=A606,CONCATENATE(I606," ",H607),H607)</f>
        <v>Service completo. Cambio de aceite y filtros. Control general de mas de 50 puntos del vehiculo. Desarmar distribucion completa. Cambiar kit, bomba de agua, correa poly-v y liquido refrigerante. Purgado del circuito de refrigeracion. Puesta a punto. Armado total.</v>
      </c>
      <c r="K607" s="26" t="s">
        <v>91</v>
      </c>
      <c r="P607" s="27">
        <v>1</v>
      </c>
      <c r="Q607" s="34">
        <v>34000</v>
      </c>
      <c r="R607" s="36">
        <f t="shared" si="86"/>
        <v>34000</v>
      </c>
      <c r="S607" s="6">
        <v>1</v>
      </c>
      <c r="T607" s="7">
        <v>180000</v>
      </c>
      <c r="U607" s="39">
        <f t="shared" si="85"/>
        <v>180000</v>
      </c>
      <c r="V607" s="41">
        <f t="shared" ref="V607:V670" si="90">IF(A607=A606,V606+U607,U607)</f>
        <v>180000</v>
      </c>
    </row>
    <row r="608" spans="1:22" x14ac:dyDescent="0.25">
      <c r="A608" s="47">
        <v>174</v>
      </c>
      <c r="B608" s="31">
        <f t="shared" si="88"/>
        <v>2</v>
      </c>
      <c r="C608" s="48">
        <f>IF(A608=A607,C607,"")</f>
        <v>45497</v>
      </c>
      <c r="D608" s="47" t="str">
        <f>IF(A608=A607,D607,"")</f>
        <v>Gallo Walter</v>
      </c>
      <c r="E608" s="31" t="str">
        <f t="shared" si="87"/>
        <v>174Gallo Walter2</v>
      </c>
      <c r="I608" s="31" t="str">
        <f t="shared" si="89"/>
        <v xml:space="preserve">Service completo. Cambio de aceite y filtros. Control general de mas de 50 puntos del vehiculo. Desarmar distribucion completa. Cambiar kit, bomba de agua, correa poly-v y liquido refrigerante. Purgado del circuito de refrigeracion. Puesta a punto. Armado total. </v>
      </c>
      <c r="K608" s="26" t="s">
        <v>108</v>
      </c>
      <c r="P608" s="27">
        <v>4</v>
      </c>
      <c r="Q608" s="34">
        <v>12200</v>
      </c>
      <c r="R608" s="36">
        <f t="shared" si="86"/>
        <v>48800</v>
      </c>
      <c r="U608" s="39">
        <f t="shared" si="85"/>
        <v>0</v>
      </c>
      <c r="V608" s="41">
        <f t="shared" si="90"/>
        <v>180000</v>
      </c>
    </row>
    <row r="609" spans="1:22" x14ac:dyDescent="0.25">
      <c r="A609" s="47">
        <v>174</v>
      </c>
      <c r="B609" s="31">
        <f t="shared" si="88"/>
        <v>3</v>
      </c>
      <c r="C609" s="48">
        <f>IF(A609=A608,C608,"")</f>
        <v>45497</v>
      </c>
      <c r="D609" s="47" t="str">
        <f>IF(A609=A608,D608,"")</f>
        <v>Gallo Walter</v>
      </c>
      <c r="E609" s="31" t="str">
        <f t="shared" si="87"/>
        <v>174Gallo Walter3</v>
      </c>
      <c r="I609" s="31" t="str">
        <f t="shared" si="89"/>
        <v xml:space="preserve">Service completo. Cambio de aceite y filtros. Control general de mas de 50 puntos del vehiculo. Desarmar distribucion completa. Cambiar kit, bomba de agua, correa poly-v y liquido refrigerante. Purgado del circuito de refrigeracion. Puesta a punto. Armado total.  </v>
      </c>
      <c r="K609" s="26" t="s">
        <v>552</v>
      </c>
      <c r="P609" s="27">
        <v>1</v>
      </c>
      <c r="Q609" s="34">
        <v>150000</v>
      </c>
      <c r="R609" s="36">
        <f t="shared" si="86"/>
        <v>150000</v>
      </c>
      <c r="U609" s="39">
        <f t="shared" si="85"/>
        <v>0</v>
      </c>
      <c r="V609" s="41">
        <f t="shared" si="90"/>
        <v>180000</v>
      </c>
    </row>
    <row r="610" spans="1:22" x14ac:dyDescent="0.25">
      <c r="A610" s="47">
        <v>174</v>
      </c>
      <c r="B610" s="31">
        <f t="shared" si="88"/>
        <v>4</v>
      </c>
      <c r="C610" s="48">
        <f>IF(A610=A609,C609,"")</f>
        <v>45497</v>
      </c>
      <c r="D610" s="47" t="str">
        <f>IF(A610=A609,D609,"")</f>
        <v>Gallo Walter</v>
      </c>
      <c r="E610" s="31" t="str">
        <f t="shared" si="87"/>
        <v>174Gallo Walter4</v>
      </c>
      <c r="I610" s="31" t="str">
        <f t="shared" si="89"/>
        <v xml:space="preserve">Service completo. Cambio de aceite y filtros. Control general de mas de 50 puntos del vehiculo. Desarmar distribucion completa. Cambiar kit, bomba de agua, correa poly-v y liquido refrigerante. Purgado del circuito de refrigeracion. Puesta a punto. Armado total.   </v>
      </c>
      <c r="K610" s="26" t="s">
        <v>409</v>
      </c>
      <c r="P610" s="27">
        <v>2</v>
      </c>
      <c r="Q610" s="34">
        <v>13500</v>
      </c>
      <c r="R610" s="36">
        <f t="shared" si="86"/>
        <v>27000</v>
      </c>
      <c r="U610" s="39">
        <f t="shared" si="85"/>
        <v>0</v>
      </c>
      <c r="V610" s="41">
        <f t="shared" si="90"/>
        <v>180000</v>
      </c>
    </row>
    <row r="611" spans="1:22" x14ac:dyDescent="0.25">
      <c r="A611" s="47">
        <v>174</v>
      </c>
      <c r="B611" s="31">
        <f t="shared" si="88"/>
        <v>5</v>
      </c>
      <c r="C611" s="48">
        <f>IF(A611=A610,C610,"")</f>
        <v>45497</v>
      </c>
      <c r="D611" s="47" t="str">
        <f>IF(A611=A610,D610,"")</f>
        <v>Gallo Walter</v>
      </c>
      <c r="E611" s="31" t="str">
        <f t="shared" si="87"/>
        <v>174Gallo Walter5</v>
      </c>
      <c r="I611" s="31" t="str">
        <f t="shared" si="89"/>
        <v xml:space="preserve">Service completo. Cambio de aceite y filtros. Control general de mas de 50 puntos del vehiculo. Desarmar distribucion completa. Cambiar kit, bomba de agua, correa poly-v y liquido refrigerante. Purgado del circuito de refrigeracion. Puesta a punto. Armado total.    </v>
      </c>
      <c r="K611" s="26" t="s">
        <v>410</v>
      </c>
      <c r="P611" s="27">
        <v>1</v>
      </c>
      <c r="Q611" s="34">
        <v>4500</v>
      </c>
      <c r="R611" s="36">
        <f t="shared" si="86"/>
        <v>4500</v>
      </c>
      <c r="U611" s="39">
        <f t="shared" si="85"/>
        <v>0</v>
      </c>
      <c r="V611" s="41">
        <f t="shared" si="90"/>
        <v>180000</v>
      </c>
    </row>
    <row r="612" spans="1:22" x14ac:dyDescent="0.25">
      <c r="A612" s="47">
        <v>175</v>
      </c>
      <c r="B612" s="31">
        <f t="shared" si="88"/>
        <v>1</v>
      </c>
      <c r="C612" s="48">
        <v>45498</v>
      </c>
      <c r="D612" s="47" t="s">
        <v>663</v>
      </c>
      <c r="E612" s="31" t="str">
        <f t="shared" si="87"/>
        <v>175Polanco Andres1</v>
      </c>
      <c r="G612" s="47" t="s">
        <v>156</v>
      </c>
      <c r="H612" s="26" t="s">
        <v>440</v>
      </c>
      <c r="I612" s="31" t="str">
        <f t="shared" si="89"/>
        <v>Service completo. Cambio de aceite y filtros. Control general de mas de 50 puntos del vehiculo.</v>
      </c>
      <c r="K612" s="26" t="s">
        <v>91</v>
      </c>
      <c r="P612" s="27">
        <v>1</v>
      </c>
      <c r="Q612" s="34">
        <v>42000</v>
      </c>
      <c r="R612" s="36">
        <f t="shared" si="86"/>
        <v>42000</v>
      </c>
      <c r="S612" s="6">
        <v>1</v>
      </c>
      <c r="T612" s="7">
        <v>70000</v>
      </c>
      <c r="U612" s="39">
        <f t="shared" si="85"/>
        <v>70000</v>
      </c>
      <c r="V612" s="41">
        <f t="shared" si="90"/>
        <v>70000</v>
      </c>
    </row>
    <row r="613" spans="1:22" x14ac:dyDescent="0.25">
      <c r="A613" s="47">
        <v>175</v>
      </c>
      <c r="B613" s="31">
        <f t="shared" si="88"/>
        <v>2</v>
      </c>
      <c r="C613" s="48">
        <f>IF(A613=A612,C612,"")</f>
        <v>45498</v>
      </c>
      <c r="D613" s="47" t="str">
        <f>IF(A613=A612,D612,"")</f>
        <v>Polanco Andres</v>
      </c>
      <c r="E613" s="31" t="str">
        <f t="shared" si="87"/>
        <v>175Polanco Andres2</v>
      </c>
      <c r="I613" s="31" t="str">
        <f t="shared" si="89"/>
        <v xml:space="preserve">Service completo. Cambio de aceite y filtros. Control general de mas de 50 puntos del vehiculo. </v>
      </c>
      <c r="K613" s="26" t="s">
        <v>108</v>
      </c>
      <c r="P613" s="27">
        <v>4</v>
      </c>
      <c r="Q613" s="34">
        <v>12200</v>
      </c>
      <c r="R613" s="36">
        <f t="shared" si="86"/>
        <v>48800</v>
      </c>
      <c r="U613" s="39">
        <f t="shared" si="85"/>
        <v>0</v>
      </c>
      <c r="V613" s="41">
        <f t="shared" si="90"/>
        <v>70000</v>
      </c>
    </row>
    <row r="614" spans="1:22" x14ac:dyDescent="0.25">
      <c r="A614" s="47">
        <v>176</v>
      </c>
      <c r="B614" s="31">
        <f t="shared" si="88"/>
        <v>1</v>
      </c>
      <c r="C614" s="48">
        <v>45503</v>
      </c>
      <c r="D614" s="47" t="s">
        <v>625</v>
      </c>
      <c r="E614" s="31" t="str">
        <f t="shared" si="87"/>
        <v>176Slovoyañoch Maria Jose1</v>
      </c>
      <c r="I614" s="31">
        <f t="shared" si="89"/>
        <v>0</v>
      </c>
      <c r="K614" s="26" t="s">
        <v>664</v>
      </c>
      <c r="P614" s="27">
        <v>1</v>
      </c>
      <c r="Q614" s="34">
        <v>650000</v>
      </c>
      <c r="R614" s="36">
        <f t="shared" si="86"/>
        <v>650000</v>
      </c>
      <c r="U614" s="39">
        <f t="shared" si="85"/>
        <v>0</v>
      </c>
      <c r="V614" s="41">
        <f t="shared" si="90"/>
        <v>0</v>
      </c>
    </row>
    <row r="615" spans="1:22" x14ac:dyDescent="0.25">
      <c r="A615" s="47">
        <v>176</v>
      </c>
      <c r="B615" s="31">
        <f t="shared" si="88"/>
        <v>2</v>
      </c>
      <c r="C615" s="48">
        <f>IF(A615=A614,C614,"")</f>
        <v>45503</v>
      </c>
      <c r="D615" s="47" t="str">
        <f>IF(A615=A614,D614,"")</f>
        <v>Slovoyañoch Maria Jose</v>
      </c>
      <c r="E615" s="31" t="str">
        <f t="shared" si="87"/>
        <v>176Slovoyañoch Maria Jose2</v>
      </c>
      <c r="I615" s="31" t="str">
        <f t="shared" si="89"/>
        <v xml:space="preserve">0 </v>
      </c>
      <c r="K615" s="26" t="s">
        <v>665</v>
      </c>
      <c r="P615" s="27">
        <v>1</v>
      </c>
      <c r="Q615" s="34">
        <v>120000</v>
      </c>
      <c r="R615" s="36">
        <f t="shared" si="86"/>
        <v>120000</v>
      </c>
      <c r="U615" s="39">
        <f t="shared" si="85"/>
        <v>0</v>
      </c>
      <c r="V615" s="41">
        <f t="shared" si="90"/>
        <v>0</v>
      </c>
    </row>
    <row r="616" spans="1:22" x14ac:dyDescent="0.25">
      <c r="A616" s="47">
        <v>176</v>
      </c>
      <c r="B616" s="31">
        <f t="shared" si="88"/>
        <v>3</v>
      </c>
      <c r="C616" s="48">
        <f>IF(A616=A615,C615,"")</f>
        <v>45503</v>
      </c>
      <c r="D616" s="47" t="str">
        <f>IF(A616=A615,D615,"")</f>
        <v>Slovoyañoch Maria Jose</v>
      </c>
      <c r="E616" s="31" t="str">
        <f t="shared" si="87"/>
        <v>176Slovoyañoch Maria Jose3</v>
      </c>
      <c r="I616" s="31" t="str">
        <f t="shared" si="89"/>
        <v xml:space="preserve">0  </v>
      </c>
      <c r="K616" s="26" t="s">
        <v>666</v>
      </c>
      <c r="P616" s="27">
        <v>1</v>
      </c>
      <c r="Q616" s="34">
        <v>180000</v>
      </c>
      <c r="R616" s="36">
        <f t="shared" si="86"/>
        <v>180000</v>
      </c>
      <c r="U616" s="39">
        <f t="shared" si="85"/>
        <v>0</v>
      </c>
      <c r="V616" s="41">
        <f t="shared" si="90"/>
        <v>0</v>
      </c>
    </row>
    <row r="617" spans="1:22" x14ac:dyDescent="0.25">
      <c r="A617" s="47">
        <v>176</v>
      </c>
      <c r="B617" s="31">
        <f t="shared" si="88"/>
        <v>4</v>
      </c>
      <c r="C617" s="48">
        <f>IF(A617=A616,C616,"")</f>
        <v>45503</v>
      </c>
      <c r="D617" s="47" t="str">
        <f>IF(A617=A616,D616,"")</f>
        <v>Slovoyañoch Maria Jose</v>
      </c>
      <c r="E617" s="31" t="str">
        <f t="shared" si="87"/>
        <v>176Slovoyañoch Maria Jose4</v>
      </c>
      <c r="I617" s="31" t="str">
        <f t="shared" si="89"/>
        <v xml:space="preserve">0   </v>
      </c>
      <c r="K617" s="26" t="s">
        <v>667</v>
      </c>
      <c r="P617" s="27">
        <v>1</v>
      </c>
      <c r="Q617" s="34">
        <v>180000</v>
      </c>
      <c r="R617" s="36">
        <f t="shared" si="86"/>
        <v>180000</v>
      </c>
      <c r="U617" s="39">
        <f t="shared" si="85"/>
        <v>0</v>
      </c>
      <c r="V617" s="41">
        <f t="shared" si="90"/>
        <v>0</v>
      </c>
    </row>
    <row r="618" spans="1:22" x14ac:dyDescent="0.25">
      <c r="A618" s="47">
        <v>177</v>
      </c>
      <c r="B618" s="31">
        <f t="shared" si="88"/>
        <v>1</v>
      </c>
      <c r="C618" s="48">
        <v>45503</v>
      </c>
      <c r="D618" s="47" t="s">
        <v>669</v>
      </c>
      <c r="E618" s="31" t="str">
        <f t="shared" si="87"/>
        <v>177Picco Miguel1</v>
      </c>
      <c r="G618" s="47" t="s">
        <v>387</v>
      </c>
      <c r="H618" s="26" t="s">
        <v>407</v>
      </c>
      <c r="I618" s="31" t="str">
        <f t="shared" si="89"/>
        <v>Desarmar distribucion completa. Cambiar kit, bomba de agua, correa poly-v y liquido refrigerante. Purgado del circuito de refrigeracion. Puesta a punto. Armado total.</v>
      </c>
      <c r="K618" s="26" t="s">
        <v>408</v>
      </c>
      <c r="P618" s="27">
        <v>1</v>
      </c>
      <c r="Q618" s="34">
        <v>296000</v>
      </c>
      <c r="R618" s="36">
        <f t="shared" si="86"/>
        <v>296000</v>
      </c>
      <c r="S618" s="6">
        <v>1</v>
      </c>
      <c r="T618" s="7">
        <v>200000</v>
      </c>
      <c r="U618" s="39">
        <f t="shared" si="85"/>
        <v>200000</v>
      </c>
      <c r="V618" s="41">
        <f t="shared" si="90"/>
        <v>200000</v>
      </c>
    </row>
    <row r="619" spans="1:22" x14ac:dyDescent="0.25">
      <c r="A619" s="47">
        <v>177</v>
      </c>
      <c r="B619" s="31">
        <f t="shared" si="88"/>
        <v>2</v>
      </c>
      <c r="C619" s="48">
        <f>IF(A619=A618,C618,"")</f>
        <v>45503</v>
      </c>
      <c r="D619" s="47" t="str">
        <f>IF(A619=A618,D618,"")</f>
        <v>Picco Miguel</v>
      </c>
      <c r="E619" s="31" t="str">
        <f t="shared" si="87"/>
        <v>177Picco Miguel2</v>
      </c>
      <c r="I619" s="31" t="str">
        <f t="shared" si="89"/>
        <v xml:space="preserve">Desarmar distribucion completa. Cambiar kit, bomba de agua, correa poly-v y liquido refrigerante. Purgado del circuito de refrigeracion. Puesta a punto. Armado total. </v>
      </c>
      <c r="K619" s="26" t="s">
        <v>322</v>
      </c>
      <c r="P619" s="27">
        <v>1</v>
      </c>
      <c r="Q619" s="34">
        <v>58000</v>
      </c>
      <c r="R619" s="36">
        <f t="shared" si="86"/>
        <v>58000</v>
      </c>
      <c r="U619" s="39">
        <f t="shared" si="85"/>
        <v>0</v>
      </c>
      <c r="V619" s="41">
        <f t="shared" si="90"/>
        <v>200000</v>
      </c>
    </row>
    <row r="620" spans="1:22" x14ac:dyDescent="0.25">
      <c r="A620" s="47">
        <v>177</v>
      </c>
      <c r="B620" s="31">
        <f t="shared" si="88"/>
        <v>3</v>
      </c>
      <c r="C620" s="48">
        <f>IF(A620=A619,C619,"")</f>
        <v>45503</v>
      </c>
      <c r="D620" s="47" t="str">
        <f>IF(A620=A619,D619,"")</f>
        <v>Picco Miguel</v>
      </c>
      <c r="E620" s="31" t="str">
        <f t="shared" si="87"/>
        <v>177Picco Miguel3</v>
      </c>
      <c r="I620" s="31" t="str">
        <f t="shared" si="89"/>
        <v xml:space="preserve">Desarmar distribucion completa. Cambiar kit, bomba de agua, correa poly-v y liquido refrigerante. Purgado del circuito de refrigeracion. Puesta a punto. Armado total.  </v>
      </c>
      <c r="K620" s="26" t="s">
        <v>409</v>
      </c>
      <c r="P620" s="27">
        <v>2</v>
      </c>
      <c r="Q620" s="34">
        <v>15000</v>
      </c>
      <c r="R620" s="36">
        <f t="shared" si="86"/>
        <v>30000</v>
      </c>
      <c r="U620" s="39">
        <f t="shared" si="85"/>
        <v>0</v>
      </c>
      <c r="V620" s="41">
        <f t="shared" si="90"/>
        <v>200000</v>
      </c>
    </row>
    <row r="621" spans="1:22" x14ac:dyDescent="0.25">
      <c r="A621" s="47">
        <v>177</v>
      </c>
      <c r="B621" s="31">
        <f t="shared" si="88"/>
        <v>4</v>
      </c>
      <c r="C621" s="48">
        <f>IF(A621=A620,C620,"")</f>
        <v>45503</v>
      </c>
      <c r="D621" s="47" t="str">
        <f>IF(A621=A620,D620,"")</f>
        <v>Picco Miguel</v>
      </c>
      <c r="E621" s="31" t="str">
        <f t="shared" si="87"/>
        <v>177Picco Miguel4</v>
      </c>
      <c r="I621" s="31" t="str">
        <f t="shared" si="89"/>
        <v xml:space="preserve">Desarmar distribucion completa. Cambiar kit, bomba de agua, correa poly-v y liquido refrigerante. Purgado del circuito de refrigeracion. Puesta a punto. Armado total.   </v>
      </c>
      <c r="K621" s="26" t="s">
        <v>410</v>
      </c>
      <c r="P621" s="27">
        <v>1</v>
      </c>
      <c r="Q621" s="34">
        <v>5000</v>
      </c>
      <c r="R621" s="36">
        <f t="shared" si="86"/>
        <v>5000</v>
      </c>
      <c r="U621" s="39">
        <f t="shared" si="85"/>
        <v>0</v>
      </c>
      <c r="V621" s="41">
        <f t="shared" si="90"/>
        <v>200000</v>
      </c>
    </row>
    <row r="622" spans="1:22" x14ac:dyDescent="0.25">
      <c r="A622" s="47">
        <v>177</v>
      </c>
      <c r="B622" s="31">
        <f t="shared" si="88"/>
        <v>5</v>
      </c>
      <c r="C622" s="48">
        <f>IF(A622=A621,C621,"")</f>
        <v>45503</v>
      </c>
      <c r="D622" s="47" t="str">
        <f>IF(A622=A621,D621,"")</f>
        <v>Picco Miguel</v>
      </c>
      <c r="E622" s="31" t="str">
        <f t="shared" si="87"/>
        <v>177Picco Miguel5</v>
      </c>
      <c r="I622" s="31" t="str">
        <f t="shared" si="89"/>
        <v xml:space="preserve">Desarmar distribucion completa. Cambiar kit, bomba de agua, correa poly-v y liquido refrigerante. Purgado del circuito de refrigeracion. Puesta a punto. Armado total.    </v>
      </c>
      <c r="P622" s="27"/>
      <c r="Q622" s="34"/>
      <c r="R622" s="36">
        <f t="shared" si="86"/>
        <v>0</v>
      </c>
      <c r="U622" s="39">
        <f t="shared" si="85"/>
        <v>0</v>
      </c>
      <c r="V622" s="41">
        <f t="shared" si="90"/>
        <v>200000</v>
      </c>
    </row>
    <row r="623" spans="1:22" x14ac:dyDescent="0.25">
      <c r="A623" s="47">
        <v>178</v>
      </c>
      <c r="B623" s="31">
        <f t="shared" si="88"/>
        <v>1</v>
      </c>
      <c r="C623" s="48">
        <v>45503</v>
      </c>
      <c r="D623" s="47" t="s">
        <v>668</v>
      </c>
      <c r="E623" s="31" t="str">
        <f t="shared" si="87"/>
        <v>178Rios Diego1</v>
      </c>
      <c r="G623" s="47" t="s">
        <v>293</v>
      </c>
      <c r="H623" s="26" t="s">
        <v>407</v>
      </c>
      <c r="I623" s="31" t="str">
        <f t="shared" si="89"/>
        <v>Desarmar distribucion completa. Cambiar kit, bomba de agua, correa poly-v y liquido refrigerante. Purgado del circuito de refrigeracion. Puesta a punto. Armado total.</v>
      </c>
      <c r="K623" s="26" t="s">
        <v>408</v>
      </c>
      <c r="P623" s="27">
        <v>1</v>
      </c>
      <c r="Q623" s="34">
        <v>298000</v>
      </c>
      <c r="R623" s="36">
        <f t="shared" si="86"/>
        <v>298000</v>
      </c>
      <c r="S623" s="6">
        <v>1</v>
      </c>
      <c r="T623" s="7">
        <v>160000</v>
      </c>
      <c r="U623" s="39">
        <f t="shared" si="85"/>
        <v>160000</v>
      </c>
      <c r="V623" s="41">
        <f t="shared" si="90"/>
        <v>160000</v>
      </c>
    </row>
    <row r="624" spans="1:22" x14ac:dyDescent="0.25">
      <c r="A624" s="47">
        <v>178</v>
      </c>
      <c r="B624" s="31">
        <f t="shared" si="88"/>
        <v>2</v>
      </c>
      <c r="C624" s="48">
        <f>IF(A624=A623,C623,"")</f>
        <v>45503</v>
      </c>
      <c r="D624" s="47" t="str">
        <f>IF(A624=A623,D623,"")</f>
        <v>Rios Diego</v>
      </c>
      <c r="E624" s="31" t="str">
        <f t="shared" si="87"/>
        <v>178Rios Diego2</v>
      </c>
      <c r="I624" s="31" t="str">
        <f t="shared" si="89"/>
        <v xml:space="preserve">Desarmar distribucion completa. Cambiar kit, bomba de agua, correa poly-v y liquido refrigerante. Purgado del circuito de refrigeracion. Puesta a punto. Armado total. </v>
      </c>
      <c r="K624" s="26" t="s">
        <v>322</v>
      </c>
      <c r="P624" s="27">
        <v>1</v>
      </c>
      <c r="Q624" s="34">
        <v>28800</v>
      </c>
      <c r="R624" s="36">
        <f t="shared" si="86"/>
        <v>28800</v>
      </c>
      <c r="U624" s="39">
        <f t="shared" si="85"/>
        <v>0</v>
      </c>
      <c r="V624" s="41">
        <f t="shared" si="90"/>
        <v>160000</v>
      </c>
    </row>
    <row r="625" spans="1:22" x14ac:dyDescent="0.25">
      <c r="A625" s="47">
        <v>178</v>
      </c>
      <c r="B625" s="31">
        <f t="shared" si="88"/>
        <v>3</v>
      </c>
      <c r="C625" s="48">
        <f>IF(A625=A624,C624,"")</f>
        <v>45503</v>
      </c>
      <c r="D625" s="47" t="str">
        <f>IF(A625=A624,D624,"")</f>
        <v>Rios Diego</v>
      </c>
      <c r="E625" s="31" t="str">
        <f t="shared" si="87"/>
        <v>178Rios Diego3</v>
      </c>
      <c r="I625" s="31" t="str">
        <f t="shared" si="89"/>
        <v xml:space="preserve">Desarmar distribucion completa. Cambiar kit, bomba de agua, correa poly-v y liquido refrigerante. Purgado del circuito de refrigeracion. Puesta a punto. Armado total.  </v>
      </c>
      <c r="K625" s="26" t="s">
        <v>409</v>
      </c>
      <c r="P625" s="27">
        <v>2</v>
      </c>
      <c r="Q625" s="34">
        <v>15000</v>
      </c>
      <c r="R625" s="36">
        <f t="shared" si="86"/>
        <v>30000</v>
      </c>
      <c r="U625" s="39">
        <f t="shared" si="85"/>
        <v>0</v>
      </c>
      <c r="V625" s="41">
        <f t="shared" si="90"/>
        <v>160000</v>
      </c>
    </row>
    <row r="626" spans="1:22" x14ac:dyDescent="0.25">
      <c r="A626" s="47">
        <v>178</v>
      </c>
      <c r="B626" s="31">
        <f t="shared" si="88"/>
        <v>4</v>
      </c>
      <c r="C626" s="48">
        <f>IF(A626=A625,C625,"")</f>
        <v>45503</v>
      </c>
      <c r="D626" s="47" t="str">
        <f>IF(A626=A625,D625,"")</f>
        <v>Rios Diego</v>
      </c>
      <c r="E626" s="31" t="str">
        <f t="shared" si="87"/>
        <v>178Rios Diego4</v>
      </c>
      <c r="I626" s="31" t="str">
        <f t="shared" si="89"/>
        <v xml:space="preserve">Desarmar distribucion completa. Cambiar kit, bomba de agua, correa poly-v y liquido refrigerante. Purgado del circuito de refrigeracion. Puesta a punto. Armado total.   </v>
      </c>
      <c r="K626" s="26" t="s">
        <v>410</v>
      </c>
      <c r="P626" s="27">
        <v>1</v>
      </c>
      <c r="Q626" s="34">
        <v>5000</v>
      </c>
      <c r="R626" s="36">
        <f t="shared" si="86"/>
        <v>5000</v>
      </c>
      <c r="U626" s="39">
        <f t="shared" si="85"/>
        <v>0</v>
      </c>
      <c r="V626" s="41">
        <f t="shared" si="90"/>
        <v>160000</v>
      </c>
    </row>
    <row r="627" spans="1:22" x14ac:dyDescent="0.25">
      <c r="A627" s="47">
        <v>179</v>
      </c>
      <c r="B627" s="31">
        <f t="shared" si="88"/>
        <v>1</v>
      </c>
      <c r="C627" s="48">
        <v>45503</v>
      </c>
      <c r="D627" s="47" t="s">
        <v>670</v>
      </c>
      <c r="E627" s="31" t="str">
        <f t="shared" si="87"/>
        <v>179Raso Julia1</v>
      </c>
      <c r="G627" s="47" t="s">
        <v>383</v>
      </c>
      <c r="H627" s="26" t="s">
        <v>671</v>
      </c>
      <c r="I627" s="31" t="str">
        <f t="shared" si="89"/>
        <v>Control del tren delantero. Cambiar ambas rotulas inferiores. Cambiar precap de direccion lado izquierdo. Cambiar extremo de direccion lado derecho. Regulacion de convergencia.</v>
      </c>
      <c r="K627" s="26" t="s">
        <v>672</v>
      </c>
      <c r="P627" s="27">
        <v>2</v>
      </c>
      <c r="Q627" s="34">
        <v>29000</v>
      </c>
      <c r="R627" s="36">
        <f t="shared" si="86"/>
        <v>58000</v>
      </c>
      <c r="S627" s="6">
        <v>1</v>
      </c>
      <c r="T627" s="7">
        <v>200000</v>
      </c>
      <c r="U627" s="39">
        <f t="shared" si="85"/>
        <v>200000</v>
      </c>
      <c r="V627" s="41">
        <f t="shared" si="90"/>
        <v>200000</v>
      </c>
    </row>
    <row r="628" spans="1:22" x14ac:dyDescent="0.25">
      <c r="A628" s="47">
        <v>179</v>
      </c>
      <c r="B628" s="31">
        <f t="shared" si="88"/>
        <v>2</v>
      </c>
      <c r="C628" s="48">
        <f>IF(A628=A627,C627,"")</f>
        <v>45503</v>
      </c>
      <c r="D628" s="47" t="str">
        <f>IF(A628=A627,D627,"")</f>
        <v>Raso Julia</v>
      </c>
      <c r="E628" s="31" t="str">
        <f t="shared" si="87"/>
        <v>179Raso Julia2</v>
      </c>
      <c r="I628" s="31" t="str">
        <f t="shared" si="89"/>
        <v xml:space="preserve">Control del tren delantero. Cambiar ambas rotulas inferiores. Cambiar precap de direccion lado izquierdo. Cambiar extremo de direccion lado derecho. Regulacion de convergencia. </v>
      </c>
      <c r="K628" s="26" t="s">
        <v>594</v>
      </c>
      <c r="P628" s="27">
        <v>1</v>
      </c>
      <c r="Q628" s="34">
        <v>24800</v>
      </c>
      <c r="R628" s="36">
        <f t="shared" si="86"/>
        <v>24800</v>
      </c>
      <c r="U628" s="39">
        <f t="shared" si="85"/>
        <v>0</v>
      </c>
      <c r="V628" s="41">
        <f t="shared" si="90"/>
        <v>200000</v>
      </c>
    </row>
    <row r="629" spans="1:22" x14ac:dyDescent="0.25">
      <c r="A629" s="47">
        <v>179</v>
      </c>
      <c r="B629" s="31">
        <f t="shared" si="88"/>
        <v>3</v>
      </c>
      <c r="C629" s="48">
        <f>IF(A629=A628,C628,"")</f>
        <v>45503</v>
      </c>
      <c r="D629" s="47" t="str">
        <f>IF(A629=A628,D628,"")</f>
        <v>Raso Julia</v>
      </c>
      <c r="E629" s="31" t="str">
        <f t="shared" si="87"/>
        <v>179Raso Julia3</v>
      </c>
      <c r="I629" s="31" t="str">
        <f t="shared" si="89"/>
        <v xml:space="preserve">Control del tren delantero. Cambiar ambas rotulas inferiores. Cambiar precap de direccion lado izquierdo. Cambiar extremo de direccion lado derecho. Regulacion de convergencia.  </v>
      </c>
      <c r="K629" s="26" t="s">
        <v>457</v>
      </c>
      <c r="P629" s="27">
        <v>1</v>
      </c>
      <c r="Q629" s="34">
        <v>34800</v>
      </c>
      <c r="R629" s="36">
        <f t="shared" si="86"/>
        <v>34800</v>
      </c>
      <c r="U629" s="39">
        <f t="shared" si="85"/>
        <v>0</v>
      </c>
      <c r="V629" s="41">
        <f t="shared" si="90"/>
        <v>200000</v>
      </c>
    </row>
    <row r="630" spans="1:22" x14ac:dyDescent="0.25">
      <c r="A630" s="47">
        <v>180</v>
      </c>
      <c r="B630" s="31">
        <f t="shared" si="88"/>
        <v>1</v>
      </c>
      <c r="C630" s="48">
        <v>45504</v>
      </c>
      <c r="D630" s="47" t="s">
        <v>673</v>
      </c>
      <c r="E630" s="31" t="str">
        <f t="shared" si="87"/>
        <v>180Tosello Carlos1</v>
      </c>
      <c r="G630" s="47" t="s">
        <v>674</v>
      </c>
      <c r="H630" s="26" t="s">
        <v>440</v>
      </c>
      <c r="I630" s="31" t="str">
        <f t="shared" si="89"/>
        <v>Service completo. Cambio de aceite y filtros. Control general de mas de 50 puntos del vehiculo.</v>
      </c>
      <c r="K630" s="26" t="s">
        <v>91</v>
      </c>
      <c r="P630" s="27">
        <v>1</v>
      </c>
      <c r="Q630" s="34">
        <v>58000</v>
      </c>
      <c r="R630" s="36">
        <f t="shared" si="86"/>
        <v>58000</v>
      </c>
      <c r="S630" s="6">
        <v>1</v>
      </c>
      <c r="T630" s="7">
        <v>70000</v>
      </c>
      <c r="U630" s="39">
        <f t="shared" si="85"/>
        <v>70000</v>
      </c>
      <c r="V630" s="41">
        <f t="shared" si="90"/>
        <v>70000</v>
      </c>
    </row>
    <row r="631" spans="1:22" x14ac:dyDescent="0.25">
      <c r="A631" s="47">
        <v>180</v>
      </c>
      <c r="B631" s="31">
        <f t="shared" si="88"/>
        <v>2</v>
      </c>
      <c r="C631" s="48">
        <f>IF(A631=A630,C630,"")</f>
        <v>45504</v>
      </c>
      <c r="D631" s="47" t="str">
        <f>IF(A631=A630,D630,"")</f>
        <v>Tosello Carlos</v>
      </c>
      <c r="E631" s="31" t="str">
        <f t="shared" si="87"/>
        <v>180Tosello Carlos2</v>
      </c>
      <c r="I631" s="31" t="str">
        <f t="shared" si="89"/>
        <v xml:space="preserve">Service completo. Cambio de aceite y filtros. Control general de mas de 50 puntos del vehiculo. </v>
      </c>
      <c r="K631" s="26" t="s">
        <v>326</v>
      </c>
      <c r="P631" s="27">
        <v>3</v>
      </c>
      <c r="Q631" s="34">
        <v>22000</v>
      </c>
      <c r="R631" s="36">
        <f t="shared" si="86"/>
        <v>66000</v>
      </c>
      <c r="U631" s="39">
        <f t="shared" si="85"/>
        <v>0</v>
      </c>
      <c r="V631" s="41">
        <f t="shared" si="90"/>
        <v>70000</v>
      </c>
    </row>
    <row r="632" spans="1:22" x14ac:dyDescent="0.25">
      <c r="A632" s="47">
        <v>181</v>
      </c>
      <c r="B632" s="31">
        <f t="shared" si="88"/>
        <v>1</v>
      </c>
      <c r="C632" s="48">
        <v>45504</v>
      </c>
      <c r="D632" s="47" t="s">
        <v>538</v>
      </c>
      <c r="E632" s="31" t="str">
        <f t="shared" si="87"/>
        <v>181Cometto Franco1</v>
      </c>
      <c r="F632" s="47" t="s">
        <v>677</v>
      </c>
      <c r="G632" s="47" t="s">
        <v>369</v>
      </c>
      <c r="H632" s="26" t="s">
        <v>675</v>
      </c>
      <c r="I632" s="31" t="str">
        <f t="shared" si="89"/>
        <v>Control de circuito de correa poly-v. Cambiar correa poly-v y polea tensora de tensor movil.</v>
      </c>
      <c r="K632" s="26" t="s">
        <v>322</v>
      </c>
      <c r="P632" s="27">
        <v>1</v>
      </c>
      <c r="Q632" s="34">
        <v>26800</v>
      </c>
      <c r="R632" s="36">
        <f t="shared" si="86"/>
        <v>26800</v>
      </c>
      <c r="S632" s="6">
        <v>1</v>
      </c>
      <c r="T632" s="7">
        <v>75000</v>
      </c>
      <c r="U632" s="39">
        <f t="shared" si="85"/>
        <v>75000</v>
      </c>
      <c r="V632" s="41">
        <f t="shared" si="90"/>
        <v>75000</v>
      </c>
    </row>
    <row r="633" spans="1:22" x14ac:dyDescent="0.25">
      <c r="A633" s="47">
        <v>181</v>
      </c>
      <c r="B633" s="31">
        <f t="shared" si="88"/>
        <v>2</v>
      </c>
      <c r="C633" s="48">
        <f>IF(A633=A632,C632,"")</f>
        <v>45504</v>
      </c>
      <c r="D633" s="47" t="str">
        <f>IF(A633=A632,D632,"")</f>
        <v>Cometto Franco</v>
      </c>
      <c r="E633" s="31" t="str">
        <f t="shared" si="87"/>
        <v>181Cometto Franco2</v>
      </c>
      <c r="I633" s="31" t="str">
        <f t="shared" si="89"/>
        <v xml:space="preserve">Control de circuito de correa poly-v. Cambiar correa poly-v y polea tensora de tensor movil. </v>
      </c>
      <c r="K633" s="26" t="s">
        <v>676</v>
      </c>
      <c r="P633" s="27">
        <v>1</v>
      </c>
      <c r="Q633" s="34">
        <v>22000</v>
      </c>
      <c r="R633" s="36">
        <f t="shared" si="86"/>
        <v>22000</v>
      </c>
      <c r="U633" s="39">
        <f t="shared" si="85"/>
        <v>0</v>
      </c>
      <c r="V633" s="41">
        <f t="shared" si="90"/>
        <v>75000</v>
      </c>
    </row>
    <row r="634" spans="1:22" x14ac:dyDescent="0.25">
      <c r="A634" s="47">
        <v>182</v>
      </c>
      <c r="B634" s="31">
        <f t="shared" si="88"/>
        <v>1</v>
      </c>
      <c r="C634" s="48">
        <v>45507</v>
      </c>
      <c r="D634" s="47" t="s">
        <v>679</v>
      </c>
      <c r="E634" s="31" t="str">
        <f t="shared" si="87"/>
        <v>182Slovoyañoch Cristian1</v>
      </c>
      <c r="G634" s="47" t="s">
        <v>680</v>
      </c>
      <c r="H634" s="26" t="s">
        <v>440</v>
      </c>
      <c r="I634" s="31" t="str">
        <f t="shared" si="89"/>
        <v>Service completo. Cambio de aceite y filtros. Control general de mas de 50 puntos del vehiculo.</v>
      </c>
      <c r="K634" s="26" t="s">
        <v>91</v>
      </c>
      <c r="P634" s="27">
        <v>1</v>
      </c>
      <c r="Q634" s="34">
        <v>69000</v>
      </c>
      <c r="R634" s="36">
        <f t="shared" si="86"/>
        <v>69000</v>
      </c>
      <c r="S634" s="6">
        <v>1</v>
      </c>
      <c r="U634" s="39">
        <f t="shared" si="85"/>
        <v>0</v>
      </c>
      <c r="V634" s="41">
        <f t="shared" si="90"/>
        <v>0</v>
      </c>
    </row>
    <row r="635" spans="1:22" x14ac:dyDescent="0.25">
      <c r="A635" s="47">
        <v>182</v>
      </c>
      <c r="B635" s="31">
        <f t="shared" si="88"/>
        <v>2</v>
      </c>
      <c r="C635" s="48">
        <f>IF(A635=A634,C634,"")</f>
        <v>45507</v>
      </c>
      <c r="D635" s="47" t="str">
        <f>IF(A635=A634,D634,"")</f>
        <v>Slovoyañoch Cristian</v>
      </c>
      <c r="E635" s="31" t="str">
        <f t="shared" si="87"/>
        <v>182Slovoyañoch Cristian2</v>
      </c>
      <c r="I635" s="31" t="str">
        <f t="shared" si="89"/>
        <v xml:space="preserve">Service completo. Cambio de aceite y filtros. Control general de mas de 50 puntos del vehiculo. </v>
      </c>
      <c r="K635" s="26" t="s">
        <v>681</v>
      </c>
      <c r="P635" s="27">
        <v>1</v>
      </c>
      <c r="Q635" s="34">
        <v>99000</v>
      </c>
      <c r="R635" s="36">
        <f t="shared" si="86"/>
        <v>99000</v>
      </c>
      <c r="U635" s="39">
        <f t="shared" si="85"/>
        <v>0</v>
      </c>
      <c r="V635" s="41">
        <f t="shared" si="90"/>
        <v>0</v>
      </c>
    </row>
    <row r="636" spans="1:22" x14ac:dyDescent="0.25">
      <c r="A636" s="47">
        <v>182</v>
      </c>
      <c r="B636" s="31">
        <f t="shared" si="88"/>
        <v>3</v>
      </c>
      <c r="C636" s="48">
        <f>IF(A636=A635,C635,"")</f>
        <v>45507</v>
      </c>
      <c r="D636" s="47" t="str">
        <f>IF(A636=A635,D635,"")</f>
        <v>Slovoyañoch Cristian</v>
      </c>
      <c r="E636" s="31" t="str">
        <f t="shared" si="87"/>
        <v>182Slovoyañoch Cristian3</v>
      </c>
      <c r="I636" s="31" t="str">
        <f t="shared" si="89"/>
        <v xml:space="preserve">Service completo. Cambio de aceite y filtros. Control general de mas de 50 puntos del vehiculo.  </v>
      </c>
      <c r="K636" s="26" t="s">
        <v>90</v>
      </c>
      <c r="P636" s="27">
        <v>7</v>
      </c>
      <c r="Q636" s="34">
        <v>18000</v>
      </c>
      <c r="R636" s="36">
        <f t="shared" si="86"/>
        <v>126000</v>
      </c>
      <c r="U636" s="39">
        <f t="shared" si="85"/>
        <v>0</v>
      </c>
      <c r="V636" s="41">
        <f t="shared" si="90"/>
        <v>0</v>
      </c>
    </row>
    <row r="637" spans="1:22" x14ac:dyDescent="0.25">
      <c r="A637" s="47">
        <v>182</v>
      </c>
      <c r="B637" s="31">
        <f t="shared" si="88"/>
        <v>4</v>
      </c>
      <c r="C637" s="48">
        <f>IF(A637=A636,C636,"")</f>
        <v>45507</v>
      </c>
      <c r="D637" s="47" t="str">
        <f>IF(A637=A636,D636,"")</f>
        <v>Slovoyañoch Cristian</v>
      </c>
      <c r="E637" s="31" t="str">
        <f t="shared" si="87"/>
        <v>182Slovoyañoch Cristian4</v>
      </c>
      <c r="I637" s="31" t="str">
        <f t="shared" si="89"/>
        <v xml:space="preserve">Service completo. Cambio de aceite y filtros. Control general de mas de 50 puntos del vehiculo.   </v>
      </c>
      <c r="K637" s="26" t="s">
        <v>682</v>
      </c>
      <c r="P637" s="27"/>
      <c r="Q637" s="34"/>
      <c r="R637" s="36">
        <f t="shared" si="86"/>
        <v>0</v>
      </c>
      <c r="U637" s="39">
        <f t="shared" si="85"/>
        <v>0</v>
      </c>
      <c r="V637" s="41">
        <f t="shared" si="90"/>
        <v>0</v>
      </c>
    </row>
    <row r="638" spans="1:22" x14ac:dyDescent="0.25">
      <c r="A638" s="47">
        <v>182</v>
      </c>
      <c r="B638" s="31">
        <f t="shared" si="88"/>
        <v>5</v>
      </c>
      <c r="C638" s="48">
        <f>IF(A638=A637,C637,"")</f>
        <v>45507</v>
      </c>
      <c r="D638" s="47" t="str">
        <f>IF(A638=A637,D637,"")</f>
        <v>Slovoyañoch Cristian</v>
      </c>
      <c r="E638" s="31" t="str">
        <f t="shared" si="87"/>
        <v>182Slovoyañoch Cristian5</v>
      </c>
      <c r="I638" s="31" t="str">
        <f t="shared" si="89"/>
        <v xml:space="preserve">Service completo. Cambio de aceite y filtros. Control general de mas de 50 puntos del vehiculo.    </v>
      </c>
      <c r="K638" s="26" t="s">
        <v>683</v>
      </c>
      <c r="P638" s="27"/>
      <c r="Q638" s="34"/>
      <c r="R638" s="36">
        <f t="shared" si="86"/>
        <v>0</v>
      </c>
      <c r="U638" s="39">
        <f t="shared" si="85"/>
        <v>0</v>
      </c>
      <c r="V638" s="41">
        <f t="shared" si="90"/>
        <v>0</v>
      </c>
    </row>
    <row r="639" spans="1:22" x14ac:dyDescent="0.25">
      <c r="A639" s="47">
        <v>183</v>
      </c>
      <c r="B639" s="31">
        <f t="shared" si="88"/>
        <v>1</v>
      </c>
      <c r="C639" s="48">
        <v>45512</v>
      </c>
      <c r="D639" s="47" t="s">
        <v>684</v>
      </c>
      <c r="E639" s="31" t="str">
        <f t="shared" si="87"/>
        <v>183Loeiro Daniel1</v>
      </c>
      <c r="G639" s="47" t="s">
        <v>659</v>
      </c>
      <c r="H639" s="26" t="s">
        <v>407</v>
      </c>
      <c r="I639" s="31" t="str">
        <f t="shared" si="89"/>
        <v>Desarmar distribucion completa. Cambiar kit, bomba de agua, correa poly-v y liquido refrigerante. Purgado del circuito de refrigeracion. Puesta a punto. Armado total.</v>
      </c>
      <c r="K639" s="26" t="s">
        <v>408</v>
      </c>
      <c r="P639" s="27">
        <v>1</v>
      </c>
      <c r="Q639" s="34">
        <v>506000</v>
      </c>
      <c r="R639" s="36">
        <f t="shared" si="86"/>
        <v>506000</v>
      </c>
      <c r="S639" s="6">
        <v>1</v>
      </c>
      <c r="T639" s="7">
        <v>200000</v>
      </c>
      <c r="U639" s="39">
        <f t="shared" si="85"/>
        <v>200000</v>
      </c>
      <c r="V639" s="41">
        <f t="shared" si="90"/>
        <v>200000</v>
      </c>
    </row>
    <row r="640" spans="1:22" x14ac:dyDescent="0.25">
      <c r="A640" s="47">
        <v>183</v>
      </c>
      <c r="B640" s="31">
        <f t="shared" si="88"/>
        <v>2</v>
      </c>
      <c r="C640" s="48">
        <f>IF(A640=A639,C639,"")</f>
        <v>45512</v>
      </c>
      <c r="D640" s="47" t="str">
        <f>IF(A640=A639,D639,"")</f>
        <v>Loeiro Daniel</v>
      </c>
      <c r="E640" s="31" t="str">
        <f t="shared" si="87"/>
        <v>183Loeiro Daniel2</v>
      </c>
      <c r="I640" s="31" t="str">
        <f t="shared" si="89"/>
        <v xml:space="preserve">Desarmar distribucion completa. Cambiar kit, bomba de agua, correa poly-v y liquido refrigerante. Purgado del circuito de refrigeracion. Puesta a punto. Armado total. </v>
      </c>
      <c r="K640" s="26" t="s">
        <v>322</v>
      </c>
      <c r="P640" s="27">
        <v>1</v>
      </c>
      <c r="Q640" s="34">
        <v>31000</v>
      </c>
      <c r="R640" s="36">
        <f t="shared" si="86"/>
        <v>31000</v>
      </c>
      <c r="U640" s="39">
        <f t="shared" si="85"/>
        <v>0</v>
      </c>
      <c r="V640" s="41">
        <f t="shared" si="90"/>
        <v>200000</v>
      </c>
    </row>
    <row r="641" spans="1:22" x14ac:dyDescent="0.25">
      <c r="A641" s="47">
        <v>183</v>
      </c>
      <c r="B641" s="31">
        <f t="shared" si="88"/>
        <v>3</v>
      </c>
      <c r="C641" s="48">
        <f>IF(A641=A640,C640,"")</f>
        <v>45512</v>
      </c>
      <c r="D641" s="47" t="str">
        <f>IF(A641=A640,D640,"")</f>
        <v>Loeiro Daniel</v>
      </c>
      <c r="E641" s="31" t="str">
        <f t="shared" si="87"/>
        <v>183Loeiro Daniel3</v>
      </c>
      <c r="I641" s="31" t="str">
        <f t="shared" si="89"/>
        <v xml:space="preserve">Desarmar distribucion completa. Cambiar kit, bomba de agua, correa poly-v y liquido refrigerante. Purgado del circuito de refrigeracion. Puesta a punto. Armado total.  </v>
      </c>
      <c r="K641" s="26" t="s">
        <v>409</v>
      </c>
      <c r="P641" s="27">
        <v>2</v>
      </c>
      <c r="Q641" s="34">
        <v>14000</v>
      </c>
      <c r="R641" s="36">
        <f t="shared" si="86"/>
        <v>28000</v>
      </c>
      <c r="U641" s="39">
        <f t="shared" si="85"/>
        <v>0</v>
      </c>
      <c r="V641" s="41">
        <f t="shared" si="90"/>
        <v>200000</v>
      </c>
    </row>
    <row r="642" spans="1:22" x14ac:dyDescent="0.25">
      <c r="A642" s="47">
        <v>183</v>
      </c>
      <c r="B642" s="31">
        <f t="shared" si="88"/>
        <v>4</v>
      </c>
      <c r="C642" s="48">
        <f>IF(A642=A641,C641,"")</f>
        <v>45512</v>
      </c>
      <c r="D642" s="47" t="str">
        <f>IF(A642=A641,D641,"")</f>
        <v>Loeiro Daniel</v>
      </c>
      <c r="E642" s="31" t="str">
        <f t="shared" si="87"/>
        <v>183Loeiro Daniel4</v>
      </c>
      <c r="I642" s="31" t="str">
        <f t="shared" si="89"/>
        <v xml:space="preserve">Desarmar distribucion completa. Cambiar kit, bomba de agua, correa poly-v y liquido refrigerante. Purgado del circuito de refrigeracion. Puesta a punto. Armado total.   </v>
      </c>
      <c r="K642" s="26" t="s">
        <v>410</v>
      </c>
      <c r="P642" s="27">
        <v>1</v>
      </c>
      <c r="Q642" s="34">
        <v>5000</v>
      </c>
      <c r="R642" s="36">
        <f t="shared" si="86"/>
        <v>5000</v>
      </c>
      <c r="U642" s="39">
        <f t="shared" si="85"/>
        <v>0</v>
      </c>
      <c r="V642" s="41">
        <f t="shared" si="90"/>
        <v>200000</v>
      </c>
    </row>
    <row r="643" spans="1:22" x14ac:dyDescent="0.25">
      <c r="A643" s="47">
        <v>184</v>
      </c>
      <c r="B643" s="31">
        <f t="shared" si="88"/>
        <v>1</v>
      </c>
      <c r="C643" s="48">
        <v>45512</v>
      </c>
      <c r="D643" s="47" t="s">
        <v>685</v>
      </c>
      <c r="E643" s="31" t="str">
        <f t="shared" si="87"/>
        <v>184Fernandez Jorge1</v>
      </c>
      <c r="G643" s="47" t="s">
        <v>686</v>
      </c>
      <c r="H643" s="26" t="s">
        <v>687</v>
      </c>
      <c r="I643" s="31" t="str">
        <f t="shared" si="89"/>
        <v>Cambiar radiador de agua. Cambiar termostato completo.</v>
      </c>
      <c r="K643" s="26" t="s">
        <v>93</v>
      </c>
      <c r="P643" s="27">
        <v>1</v>
      </c>
      <c r="Q643" s="34">
        <v>80000</v>
      </c>
      <c r="R643" s="36">
        <f t="shared" si="86"/>
        <v>80000</v>
      </c>
      <c r="S643" s="6">
        <v>1</v>
      </c>
      <c r="T643" s="7">
        <v>180000</v>
      </c>
      <c r="U643" s="39">
        <f t="shared" si="85"/>
        <v>180000</v>
      </c>
      <c r="V643" s="41">
        <f t="shared" si="90"/>
        <v>180000</v>
      </c>
    </row>
    <row r="644" spans="1:22" x14ac:dyDescent="0.25">
      <c r="A644" s="47">
        <v>184</v>
      </c>
      <c r="B644" s="31">
        <f t="shared" si="88"/>
        <v>2</v>
      </c>
      <c r="C644" s="48">
        <f>IF(A644=A643,C643,"")</f>
        <v>45512</v>
      </c>
      <c r="D644" s="47" t="str">
        <f>IF(A644=A643,D643,"")</f>
        <v>Fernandez Jorge</v>
      </c>
      <c r="E644" s="31" t="str">
        <f t="shared" si="87"/>
        <v>184Fernandez Jorge2</v>
      </c>
      <c r="I644" s="31" t="str">
        <f t="shared" si="89"/>
        <v xml:space="preserve">Cambiar radiador de agua. Cambiar termostato completo. </v>
      </c>
      <c r="K644" s="26" t="s">
        <v>120</v>
      </c>
      <c r="P644" s="27">
        <v>1</v>
      </c>
      <c r="Q644" s="34">
        <v>20000</v>
      </c>
      <c r="R644" s="36">
        <f t="shared" si="86"/>
        <v>20000</v>
      </c>
      <c r="U644" s="39">
        <f t="shared" ref="U644:U707" si="91">+T644*S644</f>
        <v>0</v>
      </c>
      <c r="V644" s="41">
        <f t="shared" si="90"/>
        <v>180000</v>
      </c>
    </row>
    <row r="645" spans="1:22" x14ac:dyDescent="0.25">
      <c r="A645" s="47">
        <v>185</v>
      </c>
      <c r="B645" s="31">
        <f t="shared" si="88"/>
        <v>1</v>
      </c>
      <c r="C645" s="48">
        <v>45516</v>
      </c>
      <c r="D645" s="47" t="s">
        <v>688</v>
      </c>
      <c r="E645" s="31" t="str">
        <f t="shared" si="87"/>
        <v>185Blanco Maria Elena1</v>
      </c>
      <c r="G645" s="47" t="s">
        <v>689</v>
      </c>
      <c r="H645" s="26" t="s">
        <v>690</v>
      </c>
      <c r="I645" s="31" t="str">
        <f t="shared" si="89"/>
        <v>Service completo. Cambio de aceite y filtros. Control general del vehiculo. Desarmar distribucion completa. Cambio kit, bomba de agua, correa poly-v y liquido refrigerante. Purgado del circuito de refrigeracion. Puesta a punto. Armado total</v>
      </c>
      <c r="K645" s="26" t="s">
        <v>91</v>
      </c>
      <c r="P645" s="27">
        <v>1</v>
      </c>
      <c r="Q645" s="34">
        <v>28000</v>
      </c>
      <c r="R645" s="36">
        <f t="shared" si="86"/>
        <v>28000</v>
      </c>
      <c r="S645" s="6">
        <v>1</v>
      </c>
      <c r="T645" s="7">
        <v>210000</v>
      </c>
      <c r="U645" s="39">
        <f t="shared" si="91"/>
        <v>210000</v>
      </c>
      <c r="V645" s="41">
        <f t="shared" si="90"/>
        <v>210000</v>
      </c>
    </row>
    <row r="646" spans="1:22" x14ac:dyDescent="0.25">
      <c r="A646" s="47">
        <v>185</v>
      </c>
      <c r="B646" s="31">
        <f t="shared" si="88"/>
        <v>2</v>
      </c>
      <c r="C646" s="48">
        <f>IF(A646=A645,C645,"")</f>
        <v>45516</v>
      </c>
      <c r="D646" s="47" t="str">
        <f>IF(A646=A645,D645,"")</f>
        <v>Blanco Maria Elena</v>
      </c>
      <c r="E646" s="31" t="str">
        <f t="shared" si="87"/>
        <v>185Blanco Maria Elena2</v>
      </c>
      <c r="I646" s="31" t="str">
        <f t="shared" si="89"/>
        <v xml:space="preserve">Service completo. Cambio de aceite y filtros. Control general del vehiculo. Desarmar distribucion completa. Cambio kit, bomba de agua, correa poly-v y liquido refrigerante. Purgado del circuito de refrigeracion. Puesta a punto. Armado total </v>
      </c>
      <c r="K646" s="26" t="s">
        <v>108</v>
      </c>
      <c r="P646" s="27">
        <v>4</v>
      </c>
      <c r="Q646" s="34">
        <v>12500</v>
      </c>
      <c r="R646" s="36">
        <f t="shared" si="86"/>
        <v>50000</v>
      </c>
      <c r="U646" s="39">
        <f t="shared" si="91"/>
        <v>0</v>
      </c>
      <c r="V646" s="41">
        <f t="shared" si="90"/>
        <v>210000</v>
      </c>
    </row>
    <row r="647" spans="1:22" x14ac:dyDescent="0.25">
      <c r="A647" s="47">
        <v>185</v>
      </c>
      <c r="B647" s="31">
        <f t="shared" si="88"/>
        <v>3</v>
      </c>
      <c r="C647" s="48">
        <f>IF(A647=A646,C646,"")</f>
        <v>45516</v>
      </c>
      <c r="D647" s="47" t="str">
        <f>IF(A647=A646,D646,"")</f>
        <v>Blanco Maria Elena</v>
      </c>
      <c r="E647" s="31" t="str">
        <f t="shared" si="87"/>
        <v>185Blanco Maria Elena3</v>
      </c>
      <c r="I647" s="31" t="str">
        <f t="shared" si="89"/>
        <v xml:space="preserve">Service completo. Cambio de aceite y filtros. Control general del vehiculo. Desarmar distribucion completa. Cambio kit, bomba de agua, correa poly-v y liquido refrigerante. Purgado del circuito de refrigeracion. Puesta a punto. Armado total  </v>
      </c>
      <c r="K647" s="26" t="s">
        <v>691</v>
      </c>
      <c r="P647" s="27">
        <v>1</v>
      </c>
      <c r="Q647" s="34">
        <v>154000</v>
      </c>
      <c r="R647" s="36">
        <f t="shared" si="86"/>
        <v>154000</v>
      </c>
      <c r="U647" s="39">
        <f t="shared" si="91"/>
        <v>0</v>
      </c>
      <c r="V647" s="41">
        <f t="shared" si="90"/>
        <v>210000</v>
      </c>
    </row>
    <row r="648" spans="1:22" x14ac:dyDescent="0.25">
      <c r="A648" s="47">
        <v>185</v>
      </c>
      <c r="B648" s="31">
        <f t="shared" si="88"/>
        <v>4</v>
      </c>
      <c r="C648" s="48">
        <f>IF(A648=A647,C647,"")</f>
        <v>45516</v>
      </c>
      <c r="D648" s="47" t="str">
        <f>IF(A648=A647,D647,"")</f>
        <v>Blanco Maria Elena</v>
      </c>
      <c r="E648" s="31" t="str">
        <f t="shared" si="87"/>
        <v>185Blanco Maria Elena4</v>
      </c>
      <c r="I648" s="31" t="str">
        <f t="shared" si="89"/>
        <v xml:space="preserve">Service completo. Cambio de aceite y filtros. Control general del vehiculo. Desarmar distribucion completa. Cambio kit, bomba de agua, correa poly-v y liquido refrigerante. Purgado del circuito de refrigeracion. Puesta a punto. Armado total   </v>
      </c>
      <c r="K648" s="26" t="s">
        <v>409</v>
      </c>
      <c r="P648" s="27">
        <v>2</v>
      </c>
      <c r="Q648" s="34">
        <v>14000</v>
      </c>
      <c r="R648" s="36">
        <f t="shared" si="86"/>
        <v>28000</v>
      </c>
      <c r="U648" s="39">
        <f t="shared" si="91"/>
        <v>0</v>
      </c>
      <c r="V648" s="41">
        <f t="shared" si="90"/>
        <v>210000</v>
      </c>
    </row>
    <row r="649" spans="1:22" x14ac:dyDescent="0.25">
      <c r="A649" s="47">
        <v>185</v>
      </c>
      <c r="B649" s="31">
        <f t="shared" si="88"/>
        <v>5</v>
      </c>
      <c r="C649" s="48">
        <f>IF(A649=A648,C648,"")</f>
        <v>45516</v>
      </c>
      <c r="D649" s="47" t="str">
        <f>IF(A649=A648,D648,"")</f>
        <v>Blanco Maria Elena</v>
      </c>
      <c r="E649" s="31" t="str">
        <f t="shared" si="87"/>
        <v>185Blanco Maria Elena5</v>
      </c>
      <c r="I649" s="31" t="str">
        <f t="shared" si="89"/>
        <v xml:space="preserve">Service completo. Cambio de aceite y filtros. Control general del vehiculo. Desarmar distribucion completa. Cambio kit, bomba de agua, correa poly-v y liquido refrigerante. Purgado del circuito de refrigeracion. Puesta a punto. Armado total    </v>
      </c>
      <c r="K649" s="26" t="s">
        <v>410</v>
      </c>
      <c r="P649" s="27">
        <v>1</v>
      </c>
      <c r="Q649" s="34">
        <v>5000</v>
      </c>
      <c r="R649" s="36">
        <f t="shared" si="86"/>
        <v>5000</v>
      </c>
      <c r="U649" s="39">
        <f t="shared" si="91"/>
        <v>0</v>
      </c>
      <c r="V649" s="41">
        <f t="shared" si="90"/>
        <v>210000</v>
      </c>
    </row>
    <row r="650" spans="1:22" x14ac:dyDescent="0.25">
      <c r="A650" s="47">
        <v>186</v>
      </c>
      <c r="B650" s="31">
        <f t="shared" si="88"/>
        <v>1</v>
      </c>
      <c r="C650" s="48">
        <v>45517</v>
      </c>
      <c r="D650" s="47" t="s">
        <v>692</v>
      </c>
      <c r="E650" s="31" t="str">
        <f t="shared" si="87"/>
        <v>186Reyes Mirta1</v>
      </c>
      <c r="G650" s="47" t="s">
        <v>693</v>
      </c>
      <c r="H650" s="26" t="s">
        <v>440</v>
      </c>
      <c r="I650" s="31" t="str">
        <f t="shared" si="89"/>
        <v>Service completo. Cambio de aceite y filtros. Control general de mas de 50 puntos del vehiculo.</v>
      </c>
      <c r="K650" s="26" t="s">
        <v>91</v>
      </c>
      <c r="P650" s="27">
        <v>1</v>
      </c>
      <c r="Q650" s="34">
        <v>44000</v>
      </c>
      <c r="R650" s="36">
        <f t="shared" si="86"/>
        <v>44000</v>
      </c>
      <c r="S650" s="6">
        <v>1</v>
      </c>
      <c r="T650" s="7">
        <v>70000</v>
      </c>
      <c r="U650" s="39">
        <f t="shared" si="91"/>
        <v>70000</v>
      </c>
      <c r="V650" s="41">
        <f t="shared" si="90"/>
        <v>70000</v>
      </c>
    </row>
    <row r="651" spans="1:22" x14ac:dyDescent="0.25">
      <c r="A651" s="47">
        <v>186</v>
      </c>
      <c r="B651" s="31">
        <f t="shared" si="88"/>
        <v>2</v>
      </c>
      <c r="C651" s="48">
        <f>IF(A651=A650,C650,"")</f>
        <v>45517</v>
      </c>
      <c r="D651" s="47" t="str">
        <f>IF(A651=A650,D650,"")</f>
        <v>Reyes Mirta</v>
      </c>
      <c r="E651" s="31" t="str">
        <f t="shared" si="87"/>
        <v>186Reyes Mirta2</v>
      </c>
      <c r="I651" s="31" t="str">
        <f t="shared" si="89"/>
        <v xml:space="preserve">Service completo. Cambio de aceite y filtros. Control general de mas de 50 puntos del vehiculo. </v>
      </c>
      <c r="K651" s="26" t="s">
        <v>108</v>
      </c>
      <c r="P651" s="27">
        <v>4</v>
      </c>
      <c r="Q651" s="34">
        <v>12500</v>
      </c>
      <c r="R651" s="36">
        <f t="shared" si="86"/>
        <v>50000</v>
      </c>
      <c r="U651" s="39">
        <f t="shared" si="91"/>
        <v>0</v>
      </c>
      <c r="V651" s="41">
        <f t="shared" si="90"/>
        <v>70000</v>
      </c>
    </row>
    <row r="652" spans="1:22" x14ac:dyDescent="0.25">
      <c r="A652" s="47">
        <v>187</v>
      </c>
      <c r="B652" s="31">
        <f t="shared" si="88"/>
        <v>1</v>
      </c>
      <c r="C652" s="48">
        <v>45519</v>
      </c>
      <c r="D652" s="47" t="s">
        <v>694</v>
      </c>
      <c r="E652" s="31" t="str">
        <f t="shared" si="87"/>
        <v>187Vergara Marcelo1</v>
      </c>
      <c r="G652" s="47" t="s">
        <v>555</v>
      </c>
      <c r="H652" s="26" t="s">
        <v>695</v>
      </c>
      <c r="I652" s="31" t="str">
        <f t="shared" si="89"/>
        <v>Sacar caja de velocidad, placa disco y volante motor. Cambiar reten de bancada. Armado total.</v>
      </c>
      <c r="K652" s="26" t="s">
        <v>696</v>
      </c>
      <c r="P652" s="27">
        <v>1</v>
      </c>
      <c r="Q652" s="34">
        <v>30000</v>
      </c>
      <c r="R652" s="36">
        <f t="shared" si="86"/>
        <v>30000</v>
      </c>
      <c r="S652" s="6">
        <v>1</v>
      </c>
      <c r="T652" s="7">
        <v>350000</v>
      </c>
      <c r="U652" s="39">
        <f t="shared" si="91"/>
        <v>350000</v>
      </c>
      <c r="V652" s="41">
        <f t="shared" si="90"/>
        <v>350000</v>
      </c>
    </row>
    <row r="653" spans="1:22" x14ac:dyDescent="0.25">
      <c r="A653" s="47">
        <v>187</v>
      </c>
      <c r="B653" s="31">
        <f t="shared" si="88"/>
        <v>2</v>
      </c>
      <c r="C653" s="48">
        <f>IF(A653=A652,C652,"")</f>
        <v>45519</v>
      </c>
      <c r="D653" s="47" t="str">
        <f>IF(A653=A652,D652,"")</f>
        <v>Vergara Marcelo</v>
      </c>
      <c r="E653" s="31" t="str">
        <f t="shared" si="87"/>
        <v>187Vergara Marcelo2</v>
      </c>
      <c r="I653" s="31" t="str">
        <f t="shared" si="89"/>
        <v xml:space="preserve">Sacar caja de velocidad, placa disco y volante motor. Cambiar reten de bancada. Armado total. </v>
      </c>
      <c r="P653" s="27"/>
      <c r="Q653" s="34"/>
      <c r="R653" s="36">
        <f t="shared" si="86"/>
        <v>0</v>
      </c>
      <c r="U653" s="39">
        <f t="shared" si="91"/>
        <v>0</v>
      </c>
      <c r="V653" s="41">
        <f t="shared" si="90"/>
        <v>350000</v>
      </c>
    </row>
    <row r="654" spans="1:22" x14ac:dyDescent="0.25">
      <c r="A654" s="47">
        <v>188</v>
      </c>
      <c r="B654" s="31">
        <f t="shared" si="88"/>
        <v>1</v>
      </c>
      <c r="C654" s="48">
        <v>45519</v>
      </c>
      <c r="D654" s="47" t="s">
        <v>697</v>
      </c>
      <c r="E654" s="31" t="str">
        <f t="shared" si="87"/>
        <v>188Carrara Sandra1</v>
      </c>
      <c r="G654" s="47" t="s">
        <v>674</v>
      </c>
      <c r="I654" s="31">
        <f t="shared" si="89"/>
        <v>0</v>
      </c>
      <c r="K654" s="26" t="s">
        <v>341</v>
      </c>
      <c r="P654" s="27">
        <v>1</v>
      </c>
      <c r="Q654" s="34">
        <v>655000</v>
      </c>
      <c r="R654" s="36">
        <f t="shared" si="86"/>
        <v>655000</v>
      </c>
      <c r="U654" s="39">
        <f t="shared" si="91"/>
        <v>0</v>
      </c>
      <c r="V654" s="41">
        <f t="shared" si="90"/>
        <v>0</v>
      </c>
    </row>
    <row r="655" spans="1:22" x14ac:dyDescent="0.25">
      <c r="A655" s="47">
        <v>188</v>
      </c>
      <c r="B655" s="31">
        <f t="shared" si="88"/>
        <v>2</v>
      </c>
      <c r="C655" s="48">
        <f>IF(A655=A654,C654,"")</f>
        <v>45519</v>
      </c>
      <c r="D655" s="47" t="str">
        <f>IF(A655=A654,D654,"")</f>
        <v>Carrara Sandra</v>
      </c>
      <c r="E655" s="31" t="str">
        <f t="shared" si="87"/>
        <v>188Carrara Sandra2</v>
      </c>
      <c r="I655" s="31" t="str">
        <f t="shared" si="89"/>
        <v xml:space="preserve">0 </v>
      </c>
      <c r="K655" s="26" t="s">
        <v>698</v>
      </c>
      <c r="P655" s="27">
        <v>1</v>
      </c>
      <c r="Q655" s="34">
        <v>135000</v>
      </c>
      <c r="R655" s="36">
        <f t="shared" ref="R655:R718" si="92">Q655*P655</f>
        <v>135000</v>
      </c>
      <c r="U655" s="39">
        <f t="shared" si="91"/>
        <v>0</v>
      </c>
      <c r="V655" s="41">
        <f t="shared" si="90"/>
        <v>0</v>
      </c>
    </row>
    <row r="656" spans="1:22" x14ac:dyDescent="0.25">
      <c r="A656" s="47">
        <v>188</v>
      </c>
      <c r="B656" s="31">
        <f t="shared" si="88"/>
        <v>3</v>
      </c>
      <c r="C656" s="48">
        <f>IF(A656=A655,C655,"")</f>
        <v>45519</v>
      </c>
      <c r="D656" s="47" t="str">
        <f>IF(A656=A655,D655,"")</f>
        <v>Carrara Sandra</v>
      </c>
      <c r="E656" s="31" t="str">
        <f t="shared" si="87"/>
        <v>188Carrara Sandra3</v>
      </c>
      <c r="I656" s="31" t="str">
        <f t="shared" si="89"/>
        <v xml:space="preserve">0  </v>
      </c>
      <c r="K656" s="26" t="s">
        <v>699</v>
      </c>
      <c r="P656" s="27">
        <v>1</v>
      </c>
      <c r="Q656" s="34">
        <v>18000</v>
      </c>
      <c r="R656" s="36">
        <f t="shared" si="92"/>
        <v>18000</v>
      </c>
      <c r="U656" s="39">
        <f t="shared" si="91"/>
        <v>0</v>
      </c>
      <c r="V656" s="41">
        <f t="shared" si="90"/>
        <v>0</v>
      </c>
    </row>
    <row r="657" spans="1:22" x14ac:dyDescent="0.25">
      <c r="A657" s="47">
        <v>188</v>
      </c>
      <c r="B657" s="31">
        <f t="shared" si="88"/>
        <v>4</v>
      </c>
      <c r="C657" s="48">
        <f>IF(A657=A656,C656,"")</f>
        <v>45519</v>
      </c>
      <c r="D657" s="47" t="str">
        <f>IF(A657=A656,D656,"")</f>
        <v>Carrara Sandra</v>
      </c>
      <c r="E657" s="31" t="str">
        <f t="shared" ref="E657:E720" si="93">CONCATENATE(A657,D657,B657)</f>
        <v>188Carrara Sandra4</v>
      </c>
      <c r="I657" s="31" t="str">
        <f t="shared" si="89"/>
        <v xml:space="preserve">0   </v>
      </c>
      <c r="K657" s="26" t="s">
        <v>565</v>
      </c>
      <c r="P657" s="27">
        <v>1</v>
      </c>
      <c r="Q657" s="34">
        <v>176000</v>
      </c>
      <c r="R657" s="36">
        <f t="shared" si="92"/>
        <v>176000</v>
      </c>
      <c r="U657" s="39">
        <f t="shared" si="91"/>
        <v>0</v>
      </c>
      <c r="V657" s="41">
        <f t="shared" si="90"/>
        <v>0</v>
      </c>
    </row>
    <row r="658" spans="1:22" x14ac:dyDescent="0.25">
      <c r="A658" s="47">
        <v>188</v>
      </c>
      <c r="B658" s="31">
        <f t="shared" si="88"/>
        <v>5</v>
      </c>
      <c r="C658" s="48">
        <f>IF(A658=A657,C657,"")</f>
        <v>45519</v>
      </c>
      <c r="D658" s="47" t="str">
        <f>IF(A658=A657,D657,"")</f>
        <v>Carrara Sandra</v>
      </c>
      <c r="E658" s="31" t="str">
        <f t="shared" si="93"/>
        <v>188Carrara Sandra5</v>
      </c>
      <c r="I658" s="31" t="str">
        <f t="shared" si="89"/>
        <v xml:space="preserve">0    </v>
      </c>
      <c r="K658" s="26" t="s">
        <v>700</v>
      </c>
      <c r="P658" s="27">
        <v>1</v>
      </c>
      <c r="Q658" s="34">
        <v>28000</v>
      </c>
      <c r="R658" s="36">
        <f t="shared" si="92"/>
        <v>28000</v>
      </c>
      <c r="U658" s="39">
        <f t="shared" si="91"/>
        <v>0</v>
      </c>
      <c r="V658" s="41">
        <f t="shared" si="90"/>
        <v>0</v>
      </c>
    </row>
    <row r="659" spans="1:22" x14ac:dyDescent="0.25">
      <c r="A659" s="47">
        <v>189</v>
      </c>
      <c r="B659" s="31">
        <f t="shared" si="88"/>
        <v>1</v>
      </c>
      <c r="C659" s="48">
        <v>45520</v>
      </c>
      <c r="D659" s="47" t="s">
        <v>703</v>
      </c>
      <c r="E659" s="31" t="str">
        <f t="shared" si="93"/>
        <v>189Principi Carlos1</v>
      </c>
      <c r="G659" s="47" t="s">
        <v>704</v>
      </c>
      <c r="H659" s="26" t="s">
        <v>701</v>
      </c>
      <c r="I659" s="31" t="str">
        <f t="shared" si="89"/>
        <v>Sacar ambos amortiguadores delanteros. Cambiar topes fuelles.  Sacar ambos amortiguadores traseros. Colocar espirales en correcta posicion. Lavado de motor resaltando en parte inferior de motor para control de perdidas de aceite.</v>
      </c>
      <c r="K659" s="26" t="s">
        <v>702</v>
      </c>
      <c r="P659" s="27">
        <v>2</v>
      </c>
      <c r="Q659" s="34">
        <v>18000</v>
      </c>
      <c r="R659" s="36">
        <f t="shared" si="92"/>
        <v>36000</v>
      </c>
      <c r="S659" s="6">
        <v>1</v>
      </c>
      <c r="T659" s="7">
        <v>230000</v>
      </c>
      <c r="U659" s="39">
        <f t="shared" si="91"/>
        <v>230000</v>
      </c>
      <c r="V659" s="41">
        <f t="shared" si="90"/>
        <v>230000</v>
      </c>
    </row>
    <row r="660" spans="1:22" x14ac:dyDescent="0.25">
      <c r="A660" s="47">
        <v>189</v>
      </c>
      <c r="B660" s="31">
        <f t="shared" si="88"/>
        <v>2</v>
      </c>
      <c r="C660" s="48">
        <f>IF(A660=A659,C659,"")</f>
        <v>45520</v>
      </c>
      <c r="D660" s="47" t="str">
        <f>IF(A660=A659,D659,"")</f>
        <v>Principi Carlos</v>
      </c>
      <c r="E660" s="31" t="str">
        <f t="shared" si="93"/>
        <v>189Principi Carlos2</v>
      </c>
      <c r="I660" s="31" t="str">
        <f t="shared" si="89"/>
        <v xml:space="preserve">Sacar ambos amortiguadores delanteros. Cambiar topes fuelles.  Sacar ambos amortiguadores traseros. Colocar espirales en correcta posicion. Lavado de motor resaltando en parte inferior de motor para control de perdidas de aceite. </v>
      </c>
      <c r="P660" s="27"/>
      <c r="Q660" s="34"/>
      <c r="R660" s="36">
        <f t="shared" si="92"/>
        <v>0</v>
      </c>
      <c r="U660" s="39">
        <f t="shared" si="91"/>
        <v>0</v>
      </c>
      <c r="V660" s="41">
        <f t="shared" si="90"/>
        <v>230000</v>
      </c>
    </row>
    <row r="661" spans="1:22" x14ac:dyDescent="0.25">
      <c r="A661" s="47">
        <v>190</v>
      </c>
      <c r="B661" s="31">
        <f t="shared" si="88"/>
        <v>1</v>
      </c>
      <c r="C661" s="48">
        <v>45523</v>
      </c>
      <c r="D661" s="47" t="s">
        <v>705</v>
      </c>
      <c r="E661" s="31" t="str">
        <f t="shared" si="93"/>
        <v>190Mendizabal Alicia1</v>
      </c>
      <c r="G661" s="47" t="s">
        <v>686</v>
      </c>
      <c r="H661" s="26" t="s">
        <v>407</v>
      </c>
      <c r="I661" s="31" t="str">
        <f t="shared" si="89"/>
        <v>Desarmar distribucion completa. Cambiar kit, bomba de agua, correa poly-v y liquido refrigerante. Purgado del circuito de refrigeracion. Puesta a punto. Armado total.</v>
      </c>
      <c r="K661" s="26" t="s">
        <v>408</v>
      </c>
      <c r="P661" s="27">
        <v>1</v>
      </c>
      <c r="Q661" s="34">
        <v>103000</v>
      </c>
      <c r="R661" s="36">
        <f t="shared" si="92"/>
        <v>103000</v>
      </c>
      <c r="S661" s="6">
        <v>1</v>
      </c>
      <c r="T661" s="7">
        <v>150000</v>
      </c>
      <c r="U661" s="39">
        <f t="shared" si="91"/>
        <v>150000</v>
      </c>
      <c r="V661" s="41">
        <f t="shared" si="90"/>
        <v>150000</v>
      </c>
    </row>
    <row r="662" spans="1:22" x14ac:dyDescent="0.25">
      <c r="A662" s="47">
        <v>190</v>
      </c>
      <c r="B662" s="31">
        <f t="shared" si="88"/>
        <v>2</v>
      </c>
      <c r="C662" s="48">
        <f>IF(A662=A661,C661,"")</f>
        <v>45523</v>
      </c>
      <c r="D662" s="47" t="str">
        <f>IF(A662=A661,D661,"")</f>
        <v>Mendizabal Alicia</v>
      </c>
      <c r="E662" s="31" t="str">
        <f t="shared" si="93"/>
        <v>190Mendizabal Alicia2</v>
      </c>
      <c r="I662" s="31" t="str">
        <f t="shared" si="89"/>
        <v xml:space="preserve">Desarmar distribucion completa. Cambiar kit, bomba de agua, correa poly-v y liquido refrigerante. Purgado del circuito de refrigeracion. Puesta a punto. Armado total. </v>
      </c>
      <c r="K662" s="26" t="s">
        <v>322</v>
      </c>
      <c r="P662" s="27">
        <v>1</v>
      </c>
      <c r="Q662" s="34">
        <v>32000</v>
      </c>
      <c r="R662" s="36">
        <f t="shared" si="92"/>
        <v>32000</v>
      </c>
      <c r="U662" s="39">
        <f t="shared" si="91"/>
        <v>0</v>
      </c>
      <c r="V662" s="41">
        <f t="shared" si="90"/>
        <v>150000</v>
      </c>
    </row>
    <row r="663" spans="1:22" x14ac:dyDescent="0.25">
      <c r="A663" s="47">
        <v>190</v>
      </c>
      <c r="B663" s="31">
        <f t="shared" si="88"/>
        <v>3</v>
      </c>
      <c r="C663" s="48">
        <f>IF(A663=A662,C662,"")</f>
        <v>45523</v>
      </c>
      <c r="D663" s="47" t="str">
        <f>IF(A663=A662,D662,"")</f>
        <v>Mendizabal Alicia</v>
      </c>
      <c r="E663" s="31" t="str">
        <f t="shared" si="93"/>
        <v>190Mendizabal Alicia3</v>
      </c>
      <c r="I663" s="31" t="str">
        <f t="shared" si="89"/>
        <v xml:space="preserve">Desarmar distribucion completa. Cambiar kit, bomba de agua, correa poly-v y liquido refrigerante. Purgado del circuito de refrigeracion. Puesta a punto. Armado total.  </v>
      </c>
      <c r="K663" s="26" t="s">
        <v>409</v>
      </c>
      <c r="P663" s="27">
        <v>2</v>
      </c>
      <c r="Q663" s="34">
        <v>14000</v>
      </c>
      <c r="R663" s="36">
        <f t="shared" si="92"/>
        <v>28000</v>
      </c>
      <c r="U663" s="39">
        <f t="shared" si="91"/>
        <v>0</v>
      </c>
      <c r="V663" s="41">
        <f t="shared" si="90"/>
        <v>150000</v>
      </c>
    </row>
    <row r="664" spans="1:22" x14ac:dyDescent="0.25">
      <c r="A664" s="47">
        <v>190</v>
      </c>
      <c r="B664" s="31">
        <f t="shared" si="88"/>
        <v>4</v>
      </c>
      <c r="C664" s="48">
        <f>IF(A664=A663,C663,"")</f>
        <v>45523</v>
      </c>
      <c r="D664" s="47" t="str">
        <f>IF(A664=A663,D663,"")</f>
        <v>Mendizabal Alicia</v>
      </c>
      <c r="E664" s="31" t="str">
        <f t="shared" si="93"/>
        <v>190Mendizabal Alicia4</v>
      </c>
      <c r="I664" s="31" t="str">
        <f t="shared" si="89"/>
        <v xml:space="preserve">Desarmar distribucion completa. Cambiar kit, bomba de agua, correa poly-v y liquido refrigerante. Purgado del circuito de refrigeracion. Puesta a punto. Armado total.   </v>
      </c>
      <c r="K664" s="26" t="s">
        <v>410</v>
      </c>
      <c r="P664" s="27">
        <v>1</v>
      </c>
      <c r="Q664" s="34">
        <v>5000</v>
      </c>
      <c r="R664" s="36">
        <f t="shared" si="92"/>
        <v>5000</v>
      </c>
      <c r="U664" s="39">
        <f t="shared" si="91"/>
        <v>0</v>
      </c>
      <c r="V664" s="41">
        <f t="shared" si="90"/>
        <v>150000</v>
      </c>
    </row>
    <row r="665" spans="1:22" x14ac:dyDescent="0.25">
      <c r="A665" s="47">
        <v>191</v>
      </c>
      <c r="B665" s="31">
        <f t="shared" si="88"/>
        <v>1</v>
      </c>
      <c r="C665" s="48">
        <v>45525</v>
      </c>
      <c r="D665" s="47" t="s">
        <v>706</v>
      </c>
      <c r="E665" s="31" t="str">
        <f t="shared" si="93"/>
        <v>191Avila Patricia1</v>
      </c>
      <c r="G665" s="47" t="s">
        <v>633</v>
      </c>
      <c r="H665" s="26" t="s">
        <v>690</v>
      </c>
      <c r="I665" s="31" t="str">
        <f t="shared" si="89"/>
        <v>Service completo. Cambio de aceite y filtros. Control general del vehiculo. Desarmar distribucion completa. Cambio kit, bomba de agua, correa poly-v y liquido refrigerante. Purgado del circuito de refrigeracion. Puesta a punto. Armado total</v>
      </c>
      <c r="K665" s="26" t="s">
        <v>91</v>
      </c>
      <c r="P665" s="27">
        <v>1</v>
      </c>
      <c r="Q665" s="34">
        <v>44000</v>
      </c>
      <c r="R665" s="36">
        <f t="shared" si="92"/>
        <v>44000</v>
      </c>
      <c r="S665" s="6">
        <v>1</v>
      </c>
      <c r="T665" s="7">
        <v>210000</v>
      </c>
      <c r="U665" s="39">
        <f t="shared" si="91"/>
        <v>210000</v>
      </c>
      <c r="V665" s="41">
        <f t="shared" si="90"/>
        <v>210000</v>
      </c>
    </row>
    <row r="666" spans="1:22" x14ac:dyDescent="0.25">
      <c r="A666" s="47">
        <v>191</v>
      </c>
      <c r="B666" s="31">
        <f t="shared" si="88"/>
        <v>2</v>
      </c>
      <c r="C666" s="48">
        <f>IF(A666=A665,C665,"")</f>
        <v>45525</v>
      </c>
      <c r="D666" s="47" t="str">
        <f>IF(A666=A665,D665,"")</f>
        <v>Avila Patricia</v>
      </c>
      <c r="E666" s="31" t="str">
        <f t="shared" si="93"/>
        <v>191Avila Patricia2</v>
      </c>
      <c r="I666" s="31" t="str">
        <f t="shared" si="89"/>
        <v xml:space="preserve">Service completo. Cambio de aceite y filtros. Control general del vehiculo. Desarmar distribucion completa. Cambio kit, bomba de agua, correa poly-v y liquido refrigerante. Purgado del circuito de refrigeracion. Puesta a punto. Armado total </v>
      </c>
      <c r="K666" s="26" t="s">
        <v>108</v>
      </c>
      <c r="P666" s="27">
        <v>4</v>
      </c>
      <c r="Q666" s="34">
        <v>12500</v>
      </c>
      <c r="R666" s="36">
        <f t="shared" si="92"/>
        <v>50000</v>
      </c>
      <c r="U666" s="39">
        <f t="shared" si="91"/>
        <v>0</v>
      </c>
      <c r="V666" s="41">
        <f t="shared" si="90"/>
        <v>210000</v>
      </c>
    </row>
    <row r="667" spans="1:22" x14ac:dyDescent="0.25">
      <c r="A667" s="47">
        <v>191</v>
      </c>
      <c r="B667" s="31">
        <f t="shared" si="88"/>
        <v>3</v>
      </c>
      <c r="C667" s="48">
        <f>IF(A667=A666,C666,"")</f>
        <v>45525</v>
      </c>
      <c r="D667" s="47" t="str">
        <f>IF(A667=A666,D666,"")</f>
        <v>Avila Patricia</v>
      </c>
      <c r="E667" s="31" t="str">
        <f t="shared" si="93"/>
        <v>191Avila Patricia3</v>
      </c>
      <c r="I667" s="31" t="str">
        <f t="shared" si="89"/>
        <v xml:space="preserve">Service completo. Cambio de aceite y filtros. Control general del vehiculo. Desarmar distribucion completa. Cambio kit, bomba de agua, correa poly-v y liquido refrigerante. Purgado del circuito de refrigeracion. Puesta a punto. Armado total  </v>
      </c>
      <c r="K667" s="26" t="s">
        <v>552</v>
      </c>
      <c r="P667" s="27">
        <v>1</v>
      </c>
      <c r="Q667" s="34">
        <v>148000</v>
      </c>
      <c r="R667" s="36">
        <f t="shared" si="92"/>
        <v>148000</v>
      </c>
      <c r="U667" s="39">
        <f t="shared" si="91"/>
        <v>0</v>
      </c>
      <c r="V667" s="41">
        <f t="shared" si="90"/>
        <v>210000</v>
      </c>
    </row>
    <row r="668" spans="1:22" x14ac:dyDescent="0.25">
      <c r="A668" s="47">
        <v>192</v>
      </c>
      <c r="B668" s="31">
        <f t="shared" si="88"/>
        <v>1</v>
      </c>
      <c r="C668" s="48">
        <v>45525</v>
      </c>
      <c r="D668" s="47" t="s">
        <v>708</v>
      </c>
      <c r="E668" s="31" t="str">
        <f t="shared" si="93"/>
        <v>192Flores Carlos1</v>
      </c>
      <c r="G668" s="47" t="s">
        <v>707</v>
      </c>
      <c r="H668" s="26" t="s">
        <v>440</v>
      </c>
      <c r="I668" s="31" t="str">
        <f t="shared" si="89"/>
        <v>Service completo. Cambio de aceite y filtros. Control general de mas de 50 puntos del vehiculo.</v>
      </c>
      <c r="K668" s="26" t="s">
        <v>91</v>
      </c>
      <c r="P668" s="27">
        <v>1</v>
      </c>
      <c r="Q668" s="34">
        <v>48000</v>
      </c>
      <c r="R668" s="36">
        <f t="shared" si="92"/>
        <v>48000</v>
      </c>
      <c r="S668" s="6">
        <v>1</v>
      </c>
      <c r="T668" s="7">
        <v>70000</v>
      </c>
      <c r="U668" s="39">
        <f t="shared" si="91"/>
        <v>70000</v>
      </c>
      <c r="V668" s="41">
        <f t="shared" si="90"/>
        <v>70000</v>
      </c>
    </row>
    <row r="669" spans="1:22" x14ac:dyDescent="0.25">
      <c r="A669" s="47">
        <v>192</v>
      </c>
      <c r="B669" s="31">
        <f t="shared" si="88"/>
        <v>2</v>
      </c>
      <c r="C669" s="48">
        <f>IF(A669=A668,C668,"")</f>
        <v>45525</v>
      </c>
      <c r="D669" s="47" t="str">
        <f>IF(A669=A668,D668,"")</f>
        <v>Flores Carlos</v>
      </c>
      <c r="E669" s="31" t="str">
        <f t="shared" si="93"/>
        <v>192Flores Carlos2</v>
      </c>
      <c r="I669" s="31" t="str">
        <f t="shared" si="89"/>
        <v xml:space="preserve">Service completo. Cambio de aceite y filtros. Control general de mas de 50 puntos del vehiculo. </v>
      </c>
      <c r="K669" s="26" t="s">
        <v>108</v>
      </c>
      <c r="P669" s="27">
        <v>4</v>
      </c>
      <c r="Q669" s="34">
        <v>12500</v>
      </c>
      <c r="R669" s="36">
        <f t="shared" si="92"/>
        <v>50000</v>
      </c>
      <c r="U669" s="39">
        <f t="shared" si="91"/>
        <v>0</v>
      </c>
      <c r="V669" s="41">
        <f t="shared" si="90"/>
        <v>70000</v>
      </c>
    </row>
    <row r="670" spans="1:22" x14ac:dyDescent="0.25">
      <c r="A670" s="47">
        <v>193</v>
      </c>
      <c r="B670" s="31">
        <f t="shared" si="88"/>
        <v>1</v>
      </c>
      <c r="C670" s="48">
        <v>45532</v>
      </c>
      <c r="D670" s="47" t="s">
        <v>710</v>
      </c>
      <c r="E670" s="31" t="str">
        <f t="shared" si="93"/>
        <v>193Zallocco Belen1</v>
      </c>
      <c r="F670" s="47" t="s">
        <v>716</v>
      </c>
      <c r="G670" s="47" t="s">
        <v>709</v>
      </c>
      <c r="H670" s="26" t="s">
        <v>717</v>
      </c>
      <c r="I670" s="31" t="str">
        <f t="shared" si="89"/>
        <v>Service completo. Cambio de aceite y filtros. Control general de mas de 50 puntos del vehiculo. Cambiar pastillas de frenos delanteras y traseras.</v>
      </c>
      <c r="K670" s="26" t="s">
        <v>91</v>
      </c>
      <c r="P670" s="27"/>
      <c r="Q670" s="34"/>
      <c r="R670" s="36">
        <f t="shared" si="92"/>
        <v>0</v>
      </c>
      <c r="S670" s="6">
        <v>1</v>
      </c>
      <c r="T670" s="7">
        <v>385000</v>
      </c>
      <c r="U670" s="39">
        <f t="shared" si="91"/>
        <v>385000</v>
      </c>
      <c r="V670" s="41">
        <f t="shared" si="90"/>
        <v>385000</v>
      </c>
    </row>
    <row r="671" spans="1:22" x14ac:dyDescent="0.25">
      <c r="A671" s="47">
        <v>193</v>
      </c>
      <c r="B671" s="31">
        <f t="shared" ref="B671:B734" si="94">IF(A671=A670,B670+1,1)</f>
        <v>2</v>
      </c>
      <c r="C671" s="48">
        <f>IF(A671=A670,C670,"")</f>
        <v>45532</v>
      </c>
      <c r="D671" s="47" t="str">
        <f>IF(A671=A670,D670,"")</f>
        <v>Zallocco Belen</v>
      </c>
      <c r="E671" s="31" t="str">
        <f t="shared" si="93"/>
        <v>193Zallocco Belen2</v>
      </c>
      <c r="I671" s="31" t="str">
        <f t="shared" ref="I671:I734" si="95">IF(A671=A670,CONCATENATE(I670," ",H671),H671)</f>
        <v xml:space="preserve">Service completo. Cambio de aceite y filtros. Control general de mas de 50 puntos del vehiculo. Cambiar pastillas de frenos delanteras y traseras. </v>
      </c>
      <c r="K671" s="26" t="s">
        <v>90</v>
      </c>
      <c r="P671" s="27"/>
      <c r="Q671" s="34"/>
      <c r="R671" s="36">
        <f t="shared" si="92"/>
        <v>0</v>
      </c>
      <c r="U671" s="39">
        <f t="shared" si="91"/>
        <v>0</v>
      </c>
      <c r="V671" s="41">
        <f t="shared" ref="V671:V734" si="96">IF(A671=A670,V670+U671,U671)</f>
        <v>385000</v>
      </c>
    </row>
    <row r="672" spans="1:22" x14ac:dyDescent="0.25">
      <c r="A672" s="47">
        <v>193</v>
      </c>
      <c r="B672" s="31">
        <f t="shared" si="94"/>
        <v>3</v>
      </c>
      <c r="C672" s="48">
        <f>IF(A672=A671,C671,"")</f>
        <v>45532</v>
      </c>
      <c r="D672" s="47" t="str">
        <f>IF(A672=A671,D671,"")</f>
        <v>Zallocco Belen</v>
      </c>
      <c r="E672" s="31" t="str">
        <f t="shared" si="93"/>
        <v>193Zallocco Belen3</v>
      </c>
      <c r="I672" s="31" t="str">
        <f t="shared" si="95"/>
        <v xml:space="preserve">Service completo. Cambio de aceite y filtros. Control general de mas de 50 puntos del vehiculo. Cambiar pastillas de frenos delanteras y traseras.  </v>
      </c>
      <c r="K672" s="26" t="s">
        <v>715</v>
      </c>
      <c r="P672" s="27"/>
      <c r="Q672" s="34"/>
      <c r="R672" s="36">
        <f t="shared" si="92"/>
        <v>0</v>
      </c>
      <c r="U672" s="39">
        <f t="shared" si="91"/>
        <v>0</v>
      </c>
      <c r="V672" s="41">
        <f t="shared" si="96"/>
        <v>385000</v>
      </c>
    </row>
    <row r="673" spans="1:22" x14ac:dyDescent="0.25">
      <c r="A673" s="47">
        <v>193</v>
      </c>
      <c r="B673" s="31">
        <f t="shared" si="94"/>
        <v>4</v>
      </c>
      <c r="C673" s="48">
        <v>45532</v>
      </c>
      <c r="D673" s="47" t="s">
        <v>710</v>
      </c>
      <c r="E673" s="31" t="str">
        <f t="shared" si="93"/>
        <v>193Zallocco Belen4</v>
      </c>
      <c r="I673" s="31" t="str">
        <f t="shared" si="95"/>
        <v xml:space="preserve">Service completo. Cambio de aceite y filtros. Control general de mas de 50 puntos del vehiculo. Cambiar pastillas de frenos delanteras y traseras.   </v>
      </c>
      <c r="K673" s="26" t="s">
        <v>714</v>
      </c>
      <c r="P673" s="27"/>
      <c r="Q673" s="34"/>
      <c r="R673" s="36">
        <f t="shared" si="92"/>
        <v>0</v>
      </c>
      <c r="U673" s="39">
        <f t="shared" si="91"/>
        <v>0</v>
      </c>
      <c r="V673" s="41">
        <f t="shared" si="96"/>
        <v>385000</v>
      </c>
    </row>
    <row r="674" spans="1:22" x14ac:dyDescent="0.25">
      <c r="A674" s="47">
        <v>194</v>
      </c>
      <c r="B674" s="31">
        <f t="shared" si="94"/>
        <v>1</v>
      </c>
      <c r="C674" s="48">
        <v>45532</v>
      </c>
      <c r="D674" s="47" t="s">
        <v>711</v>
      </c>
      <c r="E674" s="31" t="str">
        <f t="shared" si="93"/>
        <v>194Bengolea Even1</v>
      </c>
      <c r="G674" s="47" t="s">
        <v>712</v>
      </c>
      <c r="H674" s="26" t="s">
        <v>713</v>
      </c>
      <c r="I674" s="31" t="str">
        <f t="shared" si="95"/>
        <v>Desarmar distribucion completa. Cambiar kit, bomba de agua, correa poly-v y liquido refrigerante. Purgado del circuito de refrigeracion. Puesta a punto. Armado total. Cambiar juego de bujias.</v>
      </c>
      <c r="K674" s="26" t="s">
        <v>408</v>
      </c>
      <c r="P674" s="27">
        <v>1</v>
      </c>
      <c r="Q674" s="34">
        <v>216000</v>
      </c>
      <c r="R674" s="36">
        <f t="shared" si="92"/>
        <v>216000</v>
      </c>
      <c r="S674" s="6">
        <v>1</v>
      </c>
      <c r="T674" s="7">
        <v>180000</v>
      </c>
      <c r="U674" s="39">
        <f t="shared" si="91"/>
        <v>180000</v>
      </c>
      <c r="V674" s="41">
        <f t="shared" si="96"/>
        <v>180000</v>
      </c>
    </row>
    <row r="675" spans="1:22" x14ac:dyDescent="0.25">
      <c r="A675" s="47">
        <v>194</v>
      </c>
      <c r="B675" s="31">
        <f t="shared" si="94"/>
        <v>2</v>
      </c>
      <c r="C675" s="48">
        <f t="shared" ref="C675:C738" si="97">IF(A675=A674,C674,"")</f>
        <v>45532</v>
      </c>
      <c r="D675" s="47" t="str">
        <f t="shared" ref="D675:D738" si="98">IF(A675=A674,D674,"")</f>
        <v>Bengolea Even</v>
      </c>
      <c r="E675" s="31" t="str">
        <f t="shared" si="93"/>
        <v>194Bengolea Even2</v>
      </c>
      <c r="I675" s="31" t="str">
        <f t="shared" si="95"/>
        <v xml:space="preserve">Desarmar distribucion completa. Cambiar kit, bomba de agua, correa poly-v y liquido refrigerante. Purgado del circuito de refrigeracion. Puesta a punto. Armado total. Cambiar juego de bujias. </v>
      </c>
      <c r="K675" s="26" t="s">
        <v>322</v>
      </c>
      <c r="P675" s="27">
        <v>1</v>
      </c>
      <c r="Q675" s="34">
        <v>45000</v>
      </c>
      <c r="R675" s="36">
        <f t="shared" si="92"/>
        <v>45000</v>
      </c>
      <c r="U675" s="39">
        <f t="shared" si="91"/>
        <v>0</v>
      </c>
      <c r="V675" s="41">
        <f t="shared" si="96"/>
        <v>180000</v>
      </c>
    </row>
    <row r="676" spans="1:22" x14ac:dyDescent="0.25">
      <c r="A676" s="47">
        <v>194</v>
      </c>
      <c r="B676" s="31">
        <f t="shared" si="94"/>
        <v>3</v>
      </c>
      <c r="C676" s="48">
        <f t="shared" si="97"/>
        <v>45532</v>
      </c>
      <c r="D676" s="47" t="str">
        <f t="shared" si="98"/>
        <v>Bengolea Even</v>
      </c>
      <c r="E676" s="31" t="str">
        <f t="shared" si="93"/>
        <v>194Bengolea Even3</v>
      </c>
      <c r="I676" s="31" t="str">
        <f t="shared" si="95"/>
        <v xml:space="preserve">Desarmar distribucion completa. Cambiar kit, bomba de agua, correa poly-v y liquido refrigerante. Purgado del circuito de refrigeracion. Puesta a punto. Armado total. Cambiar juego de bujias.  </v>
      </c>
      <c r="K676" s="26" t="s">
        <v>409</v>
      </c>
      <c r="P676" s="27">
        <v>2</v>
      </c>
      <c r="Q676" s="34">
        <v>14500</v>
      </c>
      <c r="R676" s="36">
        <f t="shared" si="92"/>
        <v>29000</v>
      </c>
      <c r="U676" s="39">
        <f t="shared" si="91"/>
        <v>0</v>
      </c>
      <c r="V676" s="41">
        <f t="shared" si="96"/>
        <v>180000</v>
      </c>
    </row>
    <row r="677" spans="1:22" x14ac:dyDescent="0.25">
      <c r="A677" s="47">
        <v>194</v>
      </c>
      <c r="B677" s="31">
        <f t="shared" si="94"/>
        <v>4</v>
      </c>
      <c r="C677" s="48">
        <f t="shared" si="97"/>
        <v>45532</v>
      </c>
      <c r="D677" s="47" t="str">
        <f t="shared" si="98"/>
        <v>Bengolea Even</v>
      </c>
      <c r="E677" s="31" t="str">
        <f t="shared" si="93"/>
        <v>194Bengolea Even4</v>
      </c>
      <c r="I677" s="31" t="str">
        <f t="shared" si="95"/>
        <v xml:space="preserve">Desarmar distribucion completa. Cambiar kit, bomba de agua, correa poly-v y liquido refrigerante. Purgado del circuito de refrigeracion. Puesta a punto. Armado total. Cambiar juego de bujias.   </v>
      </c>
      <c r="K677" s="26" t="s">
        <v>410</v>
      </c>
      <c r="P677" s="27">
        <v>1</v>
      </c>
      <c r="Q677" s="34">
        <v>5500</v>
      </c>
      <c r="R677" s="36">
        <f t="shared" si="92"/>
        <v>5500</v>
      </c>
      <c r="U677" s="39">
        <f t="shared" si="91"/>
        <v>0</v>
      </c>
      <c r="V677" s="41">
        <f t="shared" si="96"/>
        <v>180000</v>
      </c>
    </row>
    <row r="678" spans="1:22" x14ac:dyDescent="0.25">
      <c r="A678" s="47">
        <v>194</v>
      </c>
      <c r="B678" s="31">
        <f t="shared" si="94"/>
        <v>5</v>
      </c>
      <c r="C678" s="48">
        <f t="shared" si="97"/>
        <v>45532</v>
      </c>
      <c r="D678" s="47" t="str">
        <f t="shared" si="98"/>
        <v>Bengolea Even</v>
      </c>
      <c r="E678" s="31" t="str">
        <f t="shared" si="93"/>
        <v>194Bengolea Even5</v>
      </c>
      <c r="I678" s="31" t="str">
        <f t="shared" si="95"/>
        <v xml:space="preserve">Desarmar distribucion completa. Cambiar kit, bomba de agua, correa poly-v y liquido refrigerante. Purgado del circuito de refrigeracion. Puesta a punto. Armado total. Cambiar juego de bujias.    </v>
      </c>
      <c r="K678" s="26" t="s">
        <v>565</v>
      </c>
      <c r="P678" s="27">
        <v>4</v>
      </c>
      <c r="Q678" s="34">
        <v>8800</v>
      </c>
      <c r="R678" s="36">
        <f t="shared" si="92"/>
        <v>35200</v>
      </c>
      <c r="U678" s="39">
        <f t="shared" si="91"/>
        <v>0</v>
      </c>
      <c r="V678" s="41">
        <f t="shared" si="96"/>
        <v>180000</v>
      </c>
    </row>
    <row r="679" spans="1:22" x14ac:dyDescent="0.25">
      <c r="A679" s="47">
        <v>195</v>
      </c>
      <c r="B679" s="31">
        <f t="shared" si="94"/>
        <v>1</v>
      </c>
      <c r="C679" s="48">
        <v>45537</v>
      </c>
      <c r="D679" s="47" t="s">
        <v>718</v>
      </c>
      <c r="E679" s="31" t="str">
        <f t="shared" si="93"/>
        <v>195Borello Matias1</v>
      </c>
      <c r="G679" s="47" t="s">
        <v>719</v>
      </c>
      <c r="H679" s="26" t="s">
        <v>720</v>
      </c>
      <c r="I679" s="31" t="str">
        <f t="shared" si="95"/>
        <v xml:space="preserve">Desarmar distribucion completa. Cambiar kit, bomba de agua, correa poly-v y liquido refrigerante. Purgado del circuito de refrigeracion. Puesta a punto. Armado total. </v>
      </c>
      <c r="K679" s="26" t="s">
        <v>408</v>
      </c>
      <c r="P679" s="27">
        <v>1</v>
      </c>
      <c r="Q679" s="34">
        <v>140000</v>
      </c>
      <c r="R679" s="36">
        <f t="shared" si="92"/>
        <v>140000</v>
      </c>
      <c r="S679" s="6">
        <v>1</v>
      </c>
      <c r="T679" s="7">
        <v>110000</v>
      </c>
      <c r="U679" s="39">
        <f t="shared" si="91"/>
        <v>110000</v>
      </c>
      <c r="V679" s="41">
        <f t="shared" si="96"/>
        <v>110000</v>
      </c>
    </row>
    <row r="680" spans="1:22" x14ac:dyDescent="0.25">
      <c r="A680" s="47">
        <v>195</v>
      </c>
      <c r="B680" s="31">
        <f t="shared" si="94"/>
        <v>2</v>
      </c>
      <c r="C680" s="48">
        <f t="shared" si="97"/>
        <v>45537</v>
      </c>
      <c r="D680" s="47" t="str">
        <f t="shared" si="98"/>
        <v>Borello Matias</v>
      </c>
      <c r="E680" s="31" t="str">
        <f t="shared" si="93"/>
        <v>195Borello Matias2</v>
      </c>
      <c r="I680" s="31" t="str">
        <f t="shared" si="95"/>
        <v xml:space="preserve">Desarmar distribucion completa. Cambiar kit, bomba de agua, correa poly-v y liquido refrigerante. Purgado del circuito de refrigeracion. Puesta a punto. Armado total.  </v>
      </c>
      <c r="K680" s="26" t="s">
        <v>721</v>
      </c>
      <c r="P680" s="27">
        <v>2</v>
      </c>
      <c r="Q680" s="34">
        <v>17500</v>
      </c>
      <c r="R680" s="36">
        <f t="shared" si="92"/>
        <v>35000</v>
      </c>
      <c r="U680" s="39">
        <f t="shared" si="91"/>
        <v>0</v>
      </c>
      <c r="V680" s="41">
        <f t="shared" si="96"/>
        <v>110000</v>
      </c>
    </row>
    <row r="681" spans="1:22" x14ac:dyDescent="0.25">
      <c r="A681" s="47">
        <v>195</v>
      </c>
      <c r="B681" s="31">
        <f t="shared" si="94"/>
        <v>3</v>
      </c>
      <c r="C681" s="48">
        <f t="shared" si="97"/>
        <v>45537</v>
      </c>
      <c r="D681" s="47" t="str">
        <f t="shared" si="98"/>
        <v>Borello Matias</v>
      </c>
      <c r="E681" s="31" t="str">
        <f t="shared" si="93"/>
        <v>195Borello Matias3</v>
      </c>
      <c r="I681" s="31" t="str">
        <f t="shared" si="95"/>
        <v xml:space="preserve">Desarmar distribucion completa. Cambiar kit, bomba de agua, correa poly-v y liquido refrigerante. Purgado del circuito de refrigeracion. Puesta a punto. Armado total.   </v>
      </c>
      <c r="K681" s="26" t="s">
        <v>111</v>
      </c>
      <c r="P681" s="27">
        <v>1</v>
      </c>
      <c r="Q681" s="34">
        <v>12500</v>
      </c>
      <c r="R681" s="36">
        <f t="shared" si="92"/>
        <v>12500</v>
      </c>
      <c r="U681" s="39">
        <f t="shared" si="91"/>
        <v>0</v>
      </c>
      <c r="V681" s="41">
        <f t="shared" si="96"/>
        <v>110000</v>
      </c>
    </row>
    <row r="682" spans="1:22" x14ac:dyDescent="0.25">
      <c r="A682" s="47">
        <v>195</v>
      </c>
      <c r="B682" s="31">
        <f t="shared" si="94"/>
        <v>4</v>
      </c>
      <c r="C682" s="48">
        <f t="shared" si="97"/>
        <v>45537</v>
      </c>
      <c r="D682" s="47" t="str">
        <f t="shared" si="98"/>
        <v>Borello Matias</v>
      </c>
      <c r="E682" s="31" t="str">
        <f t="shared" si="93"/>
        <v>195Borello Matias4</v>
      </c>
      <c r="I682" s="31" t="str">
        <f t="shared" si="95"/>
        <v xml:space="preserve">Desarmar distribucion completa. Cambiar kit, bomba de agua, correa poly-v y liquido refrigerante. Purgado del circuito de refrigeracion. Puesta a punto. Armado total.    </v>
      </c>
      <c r="K682" s="26" t="s">
        <v>409</v>
      </c>
      <c r="P682" s="27">
        <v>2</v>
      </c>
      <c r="Q682" s="34">
        <v>15000</v>
      </c>
      <c r="R682" s="36">
        <f t="shared" si="92"/>
        <v>30000</v>
      </c>
      <c r="U682" s="39">
        <f t="shared" si="91"/>
        <v>0</v>
      </c>
      <c r="V682" s="41">
        <f t="shared" si="96"/>
        <v>110000</v>
      </c>
    </row>
    <row r="683" spans="1:22" x14ac:dyDescent="0.25">
      <c r="A683" s="47">
        <v>195</v>
      </c>
      <c r="B683" s="31">
        <f t="shared" si="94"/>
        <v>5</v>
      </c>
      <c r="C683" s="48">
        <f t="shared" si="97"/>
        <v>45537</v>
      </c>
      <c r="D683" s="47" t="str">
        <f t="shared" si="98"/>
        <v>Borello Matias</v>
      </c>
      <c r="E683" s="31" t="str">
        <f t="shared" si="93"/>
        <v>195Borello Matias5</v>
      </c>
      <c r="I683" s="31" t="str">
        <f t="shared" si="95"/>
        <v xml:space="preserve">Desarmar distribucion completa. Cambiar kit, bomba de agua, correa poly-v y liquido refrigerante. Purgado del circuito de refrigeracion. Puesta a punto. Armado total.     </v>
      </c>
      <c r="K683" s="26" t="s">
        <v>410</v>
      </c>
      <c r="P683" s="27">
        <v>1</v>
      </c>
      <c r="Q683" s="34">
        <v>5500</v>
      </c>
      <c r="R683" s="36">
        <f t="shared" si="92"/>
        <v>5500</v>
      </c>
      <c r="U683" s="39">
        <f t="shared" si="91"/>
        <v>0</v>
      </c>
      <c r="V683" s="41">
        <f t="shared" si="96"/>
        <v>110000</v>
      </c>
    </row>
    <row r="684" spans="1:22" x14ac:dyDescent="0.25">
      <c r="A684" s="47">
        <v>196</v>
      </c>
      <c r="B684" s="31">
        <f t="shared" si="94"/>
        <v>1</v>
      </c>
      <c r="C684" s="48">
        <v>45547</v>
      </c>
      <c r="D684" s="47" t="s">
        <v>722</v>
      </c>
      <c r="E684" s="31" t="str">
        <f t="shared" si="93"/>
        <v>196Perafan Andrea1</v>
      </c>
      <c r="G684" s="47" t="s">
        <v>633</v>
      </c>
      <c r="H684" s="26" t="s">
        <v>724</v>
      </c>
      <c r="I684" s="31" t="str">
        <f t="shared" si="95"/>
        <v>Service completo. Cambio de aceite y filtros. Control general del vehiculo. Cambiar termostato completo. Desarmar distribucion completa. Cambio kit, bomba de agua, correa poly-v y liquido refrigerante. Purgado del circuito de refrigeracion. Puesta a punto. Armado total</v>
      </c>
      <c r="K684" s="26" t="s">
        <v>91</v>
      </c>
      <c r="P684" s="27">
        <v>1</v>
      </c>
      <c r="Q684" s="34">
        <v>45000</v>
      </c>
      <c r="R684" s="36">
        <f t="shared" si="92"/>
        <v>45000</v>
      </c>
      <c r="S684" s="6">
        <v>1</v>
      </c>
      <c r="T684" s="7">
        <v>250000</v>
      </c>
      <c r="U684" s="39">
        <f t="shared" si="91"/>
        <v>250000</v>
      </c>
      <c r="V684" s="41">
        <f t="shared" si="96"/>
        <v>250000</v>
      </c>
    </row>
    <row r="685" spans="1:22" x14ac:dyDescent="0.25">
      <c r="A685" s="47">
        <v>196</v>
      </c>
      <c r="B685" s="31">
        <f t="shared" si="94"/>
        <v>2</v>
      </c>
      <c r="C685" s="48">
        <f t="shared" si="97"/>
        <v>45547</v>
      </c>
      <c r="D685" s="47" t="str">
        <f t="shared" si="98"/>
        <v>Perafan Andrea</v>
      </c>
      <c r="E685" s="31" t="str">
        <f t="shared" si="93"/>
        <v>196Perafan Andrea2</v>
      </c>
      <c r="I685" s="31" t="str">
        <f t="shared" si="95"/>
        <v xml:space="preserve">Service completo. Cambio de aceite y filtros. Control general del vehiculo. Cambiar termostato completo. Desarmar distribucion completa. Cambio kit, bomba de agua, correa poly-v y liquido refrigerante. Purgado del circuito de refrigeracion. Puesta a punto. Armado total </v>
      </c>
      <c r="K685" s="26" t="s">
        <v>108</v>
      </c>
      <c r="P685" s="27">
        <v>4</v>
      </c>
      <c r="Q685" s="34">
        <v>12500</v>
      </c>
      <c r="R685" s="36">
        <f t="shared" si="92"/>
        <v>50000</v>
      </c>
      <c r="U685" s="39">
        <f t="shared" si="91"/>
        <v>0</v>
      </c>
      <c r="V685" s="41">
        <f t="shared" si="96"/>
        <v>250000</v>
      </c>
    </row>
    <row r="686" spans="1:22" x14ac:dyDescent="0.25">
      <c r="A686" s="47">
        <v>196</v>
      </c>
      <c r="B686" s="31">
        <f t="shared" si="94"/>
        <v>3</v>
      </c>
      <c r="C686" s="48">
        <f t="shared" si="97"/>
        <v>45547</v>
      </c>
      <c r="D686" s="47" t="str">
        <f t="shared" si="98"/>
        <v>Perafan Andrea</v>
      </c>
      <c r="E686" s="31" t="str">
        <f t="shared" si="93"/>
        <v>196Perafan Andrea3</v>
      </c>
      <c r="I686" s="31" t="str">
        <f t="shared" si="95"/>
        <v xml:space="preserve">Service completo. Cambio de aceite y filtros. Control general del vehiculo. Cambiar termostato completo. Desarmar distribucion completa. Cambio kit, bomba de agua, correa poly-v y liquido refrigerante. Purgado del circuito de refrigeracion. Puesta a punto. Armado total  </v>
      </c>
      <c r="K686" s="26" t="s">
        <v>552</v>
      </c>
      <c r="P686" s="27">
        <v>1</v>
      </c>
      <c r="Q686" s="34">
        <v>158000</v>
      </c>
      <c r="R686" s="36">
        <f t="shared" si="92"/>
        <v>158000</v>
      </c>
      <c r="U686" s="39">
        <f t="shared" si="91"/>
        <v>0</v>
      </c>
      <c r="V686" s="41">
        <f t="shared" si="96"/>
        <v>250000</v>
      </c>
    </row>
    <row r="687" spans="1:22" x14ac:dyDescent="0.25">
      <c r="A687" s="47">
        <v>196</v>
      </c>
      <c r="B687" s="31">
        <f t="shared" si="94"/>
        <v>4</v>
      </c>
      <c r="C687" s="48">
        <f t="shared" si="97"/>
        <v>45547</v>
      </c>
      <c r="D687" s="47" t="str">
        <f t="shared" si="98"/>
        <v>Perafan Andrea</v>
      </c>
      <c r="E687" s="31" t="str">
        <f t="shared" si="93"/>
        <v>196Perafan Andrea4</v>
      </c>
      <c r="I687" s="31" t="str">
        <f t="shared" si="95"/>
        <v xml:space="preserve">Service completo. Cambio de aceite y filtros. Control general del vehiculo. Cambiar termostato completo. Desarmar distribucion completa. Cambio kit, bomba de agua, correa poly-v y liquido refrigerante. Purgado del circuito de refrigeracion. Puesta a punto. Armado total   </v>
      </c>
      <c r="K687" s="26" t="s">
        <v>409</v>
      </c>
      <c r="P687" s="27">
        <v>2</v>
      </c>
      <c r="Q687" s="34">
        <v>15000</v>
      </c>
      <c r="R687" s="36">
        <f t="shared" si="92"/>
        <v>30000</v>
      </c>
      <c r="U687" s="39">
        <f t="shared" si="91"/>
        <v>0</v>
      </c>
      <c r="V687" s="41">
        <f t="shared" si="96"/>
        <v>250000</v>
      </c>
    </row>
    <row r="688" spans="1:22" x14ac:dyDescent="0.25">
      <c r="A688" s="47">
        <v>196</v>
      </c>
      <c r="B688" s="31">
        <f t="shared" si="94"/>
        <v>5</v>
      </c>
      <c r="C688" s="48">
        <f t="shared" si="97"/>
        <v>45547</v>
      </c>
      <c r="D688" s="47" t="str">
        <f t="shared" si="98"/>
        <v>Perafan Andrea</v>
      </c>
      <c r="E688" s="31" t="str">
        <f t="shared" si="93"/>
        <v>196Perafan Andrea5</v>
      </c>
      <c r="I688" s="31" t="str">
        <f t="shared" si="95"/>
        <v xml:space="preserve">Service completo. Cambio de aceite y filtros. Control general del vehiculo. Cambiar termostato completo. Desarmar distribucion completa. Cambio kit, bomba de agua, correa poly-v y liquido refrigerante. Purgado del circuito de refrigeracion. Puesta a punto. Armado total    </v>
      </c>
      <c r="K688" s="26" t="s">
        <v>410</v>
      </c>
      <c r="P688" s="27">
        <v>1</v>
      </c>
      <c r="Q688" s="34">
        <v>5500</v>
      </c>
      <c r="R688" s="36">
        <f t="shared" si="92"/>
        <v>5500</v>
      </c>
      <c r="U688" s="39">
        <f t="shared" si="91"/>
        <v>0</v>
      </c>
      <c r="V688" s="41">
        <f t="shared" si="96"/>
        <v>250000</v>
      </c>
    </row>
    <row r="689" spans="1:22" x14ac:dyDescent="0.25">
      <c r="A689" s="47">
        <v>196</v>
      </c>
      <c r="B689" s="31">
        <f t="shared" si="94"/>
        <v>6</v>
      </c>
      <c r="C689" s="48">
        <f t="shared" si="97"/>
        <v>45547</v>
      </c>
      <c r="D689" s="47" t="str">
        <f t="shared" si="98"/>
        <v>Perafan Andrea</v>
      </c>
      <c r="E689" s="31" t="str">
        <f t="shared" si="93"/>
        <v>196Perafan Andrea6</v>
      </c>
      <c r="I689" s="31" t="str">
        <f t="shared" si="95"/>
        <v xml:space="preserve">Service completo. Cambio de aceite y filtros. Control general del vehiculo. Cambiar termostato completo. Desarmar distribucion completa. Cambio kit, bomba de agua, correa poly-v y liquido refrigerante. Purgado del circuito de refrigeracion. Puesta a punto. Armado total     </v>
      </c>
      <c r="K689" s="26" t="s">
        <v>723</v>
      </c>
      <c r="P689" s="27">
        <v>1</v>
      </c>
      <c r="Q689" s="34">
        <v>75000</v>
      </c>
      <c r="R689" s="36">
        <f t="shared" si="92"/>
        <v>75000</v>
      </c>
      <c r="U689" s="39">
        <f t="shared" si="91"/>
        <v>0</v>
      </c>
      <c r="V689" s="41">
        <f t="shared" si="96"/>
        <v>250000</v>
      </c>
    </row>
    <row r="690" spans="1:22" x14ac:dyDescent="0.25">
      <c r="A690" s="47">
        <v>197</v>
      </c>
      <c r="B690" s="31">
        <f t="shared" si="94"/>
        <v>1</v>
      </c>
      <c r="C690" s="48">
        <v>45551</v>
      </c>
      <c r="D690" s="47" t="s">
        <v>725</v>
      </c>
      <c r="E690" s="31" t="str">
        <f t="shared" si="93"/>
        <v>197Acotto Santiago1</v>
      </c>
      <c r="G690" s="47" t="s">
        <v>726</v>
      </c>
      <c r="H690" s="26" t="s">
        <v>407</v>
      </c>
      <c r="I690" s="31" t="str">
        <f t="shared" si="95"/>
        <v>Desarmar distribucion completa. Cambiar kit, bomba de agua, correa poly-v y liquido refrigerante. Purgado del circuito de refrigeracion. Puesta a punto. Armado total.</v>
      </c>
      <c r="K690" s="26" t="s">
        <v>322</v>
      </c>
      <c r="P690" s="27">
        <v>1</v>
      </c>
      <c r="Q690" s="34">
        <v>25000</v>
      </c>
      <c r="R690" s="36">
        <f t="shared" si="92"/>
        <v>25000</v>
      </c>
      <c r="S690" s="6">
        <v>1</v>
      </c>
      <c r="T690" s="7">
        <v>220000</v>
      </c>
      <c r="U690" s="39">
        <f t="shared" si="91"/>
        <v>220000</v>
      </c>
      <c r="V690" s="41">
        <f t="shared" si="96"/>
        <v>220000</v>
      </c>
    </row>
    <row r="691" spans="1:22" x14ac:dyDescent="0.25">
      <c r="A691" s="47">
        <v>197</v>
      </c>
      <c r="B691" s="31">
        <f t="shared" si="94"/>
        <v>2</v>
      </c>
      <c r="C691" s="48">
        <f t="shared" si="97"/>
        <v>45551</v>
      </c>
      <c r="D691" s="47" t="str">
        <f t="shared" si="98"/>
        <v>Acotto Santiago</v>
      </c>
      <c r="E691" s="31" t="str">
        <f t="shared" si="93"/>
        <v>197Acotto Santiago2</v>
      </c>
      <c r="I691" s="31" t="str">
        <f t="shared" si="95"/>
        <v xml:space="preserve">Desarmar distribucion completa. Cambiar kit, bomba de agua, correa poly-v y liquido refrigerante. Purgado del circuito de refrigeracion. Puesta a punto. Armado total. </v>
      </c>
      <c r="P691" s="27"/>
      <c r="Q691" s="34"/>
      <c r="R691" s="36">
        <f t="shared" si="92"/>
        <v>0</v>
      </c>
      <c r="U691" s="39">
        <f t="shared" si="91"/>
        <v>0</v>
      </c>
      <c r="V691" s="41">
        <f t="shared" si="96"/>
        <v>220000</v>
      </c>
    </row>
    <row r="692" spans="1:22" x14ac:dyDescent="0.25">
      <c r="A692" s="47">
        <v>198</v>
      </c>
      <c r="B692" s="31">
        <f t="shared" si="94"/>
        <v>1</v>
      </c>
      <c r="C692" s="48">
        <v>45560</v>
      </c>
      <c r="D692" s="47" t="s">
        <v>730</v>
      </c>
      <c r="E692" s="31" t="str">
        <f t="shared" si="93"/>
        <v>198Chavez Fabian1</v>
      </c>
      <c r="G692" s="47" t="s">
        <v>156</v>
      </c>
      <c r="H692" s="26" t="s">
        <v>727</v>
      </c>
      <c r="I692" s="31" t="str">
        <f t="shared" si="95"/>
        <v>Cambiar kit de embrague completo. Cambiar retenes salida de caja.</v>
      </c>
      <c r="K692" s="26" t="s">
        <v>191</v>
      </c>
      <c r="P692" s="27">
        <v>1</v>
      </c>
      <c r="Q692" s="34">
        <v>22000</v>
      </c>
      <c r="R692" s="36">
        <f t="shared" si="92"/>
        <v>22000</v>
      </c>
      <c r="S692" s="6">
        <v>1</v>
      </c>
      <c r="T692" s="7">
        <v>280000</v>
      </c>
      <c r="U692" s="39">
        <f t="shared" si="91"/>
        <v>280000</v>
      </c>
      <c r="V692" s="41">
        <f t="shared" si="96"/>
        <v>280000</v>
      </c>
    </row>
    <row r="693" spans="1:22" x14ac:dyDescent="0.25">
      <c r="A693" s="47">
        <v>198</v>
      </c>
      <c r="B693" s="31">
        <f t="shared" si="94"/>
        <v>2</v>
      </c>
      <c r="C693" s="48">
        <f t="shared" si="97"/>
        <v>45560</v>
      </c>
      <c r="D693" s="47" t="str">
        <f t="shared" si="98"/>
        <v>Chavez Fabian</v>
      </c>
      <c r="E693" s="31" t="str">
        <f t="shared" si="93"/>
        <v>198Chavez Fabian2</v>
      </c>
      <c r="I693" s="31" t="str">
        <f t="shared" si="95"/>
        <v xml:space="preserve">Cambiar kit de embrague completo. Cambiar retenes salida de caja. </v>
      </c>
      <c r="K693" s="26" t="s">
        <v>353</v>
      </c>
      <c r="P693" s="27">
        <v>2</v>
      </c>
      <c r="Q693" s="34">
        <v>4200</v>
      </c>
      <c r="R693" s="36">
        <f t="shared" si="92"/>
        <v>8400</v>
      </c>
      <c r="U693" s="39">
        <f t="shared" si="91"/>
        <v>0</v>
      </c>
      <c r="V693" s="41">
        <f t="shared" si="96"/>
        <v>280000</v>
      </c>
    </row>
    <row r="694" spans="1:22" x14ac:dyDescent="0.25">
      <c r="A694" s="47">
        <v>199</v>
      </c>
      <c r="B694" s="31">
        <f t="shared" si="94"/>
        <v>1</v>
      </c>
      <c r="C694" s="48">
        <v>45560</v>
      </c>
      <c r="D694" s="47" t="s">
        <v>728</v>
      </c>
      <c r="E694" s="31" t="str">
        <f t="shared" si="93"/>
        <v>199Rosales Alexis1</v>
      </c>
      <c r="G694" s="47" t="s">
        <v>729</v>
      </c>
      <c r="H694" s="26" t="s">
        <v>440</v>
      </c>
      <c r="I694" s="31" t="str">
        <f t="shared" si="95"/>
        <v>Service completo. Cambio de aceite y filtros. Control general de mas de 50 puntos del vehiculo.</v>
      </c>
      <c r="K694" s="26" t="s">
        <v>91</v>
      </c>
      <c r="P694" s="27">
        <v>1</v>
      </c>
      <c r="Q694" s="34">
        <v>31000</v>
      </c>
      <c r="R694" s="36">
        <f t="shared" si="92"/>
        <v>31000</v>
      </c>
      <c r="S694" s="6">
        <v>1</v>
      </c>
      <c r="T694" s="7">
        <v>75000</v>
      </c>
      <c r="U694" s="39">
        <f t="shared" si="91"/>
        <v>75000</v>
      </c>
      <c r="V694" s="41">
        <f t="shared" si="96"/>
        <v>75000</v>
      </c>
    </row>
    <row r="695" spans="1:22" x14ac:dyDescent="0.25">
      <c r="A695" s="47">
        <v>199</v>
      </c>
      <c r="B695" s="31">
        <f t="shared" si="94"/>
        <v>2</v>
      </c>
      <c r="C695" s="48">
        <f t="shared" si="97"/>
        <v>45560</v>
      </c>
      <c r="D695" s="47" t="str">
        <f t="shared" si="98"/>
        <v>Rosales Alexis</v>
      </c>
      <c r="E695" s="31" t="str">
        <f t="shared" si="93"/>
        <v>199Rosales Alexis2</v>
      </c>
      <c r="I695" s="31" t="str">
        <f t="shared" si="95"/>
        <v xml:space="preserve">Service completo. Cambio de aceite y filtros. Control general de mas de 50 puntos del vehiculo. </v>
      </c>
      <c r="K695" s="26" t="s">
        <v>90</v>
      </c>
      <c r="P695" s="27">
        <v>4</v>
      </c>
      <c r="Q695" s="34">
        <v>19200</v>
      </c>
      <c r="R695" s="36">
        <f t="shared" si="92"/>
        <v>76800</v>
      </c>
      <c r="U695" s="39">
        <f t="shared" si="91"/>
        <v>0</v>
      </c>
      <c r="V695" s="41">
        <f t="shared" si="96"/>
        <v>75000</v>
      </c>
    </row>
    <row r="696" spans="1:22" x14ac:dyDescent="0.25">
      <c r="A696" s="47">
        <v>200</v>
      </c>
      <c r="B696" s="31">
        <f t="shared" si="94"/>
        <v>1</v>
      </c>
      <c r="C696" s="48">
        <v>45565</v>
      </c>
      <c r="D696" s="47" t="s">
        <v>731</v>
      </c>
      <c r="E696" s="31" t="str">
        <f t="shared" si="93"/>
        <v>200Fantini Antonio1</v>
      </c>
      <c r="G696" s="47" t="s">
        <v>693</v>
      </c>
      <c r="H696" s="26" t="s">
        <v>756</v>
      </c>
      <c r="I696" s="31" t="str">
        <f t="shared" si="95"/>
        <v xml:space="preserve">Cambiar ambos amortiguadores traseros. Colocar topes nuevos y fuelles. Armado total. Regular convergencia. </v>
      </c>
      <c r="K696" s="26" t="s">
        <v>732</v>
      </c>
      <c r="P696" s="27">
        <v>2</v>
      </c>
      <c r="Q696" s="34">
        <v>70000</v>
      </c>
      <c r="R696" s="36">
        <f t="shared" si="92"/>
        <v>140000</v>
      </c>
      <c r="S696" s="6">
        <v>1</v>
      </c>
      <c r="T696" s="7">
        <v>150000</v>
      </c>
      <c r="U696" s="39">
        <f t="shared" si="91"/>
        <v>150000</v>
      </c>
      <c r="V696" s="41">
        <f t="shared" si="96"/>
        <v>150000</v>
      </c>
    </row>
    <row r="697" spans="1:22" x14ac:dyDescent="0.25">
      <c r="A697" s="47">
        <v>200</v>
      </c>
      <c r="B697" s="31">
        <f t="shared" si="94"/>
        <v>2</v>
      </c>
      <c r="C697" s="48">
        <f t="shared" si="97"/>
        <v>45565</v>
      </c>
      <c r="D697" s="47" t="str">
        <f t="shared" si="98"/>
        <v>Fantini Antonio</v>
      </c>
      <c r="E697" s="31" t="str">
        <f t="shared" si="93"/>
        <v>200Fantini Antonio2</v>
      </c>
      <c r="I697" s="31" t="str">
        <f t="shared" si="95"/>
        <v xml:space="preserve">Cambiar ambos amortiguadores traseros. Colocar topes nuevos y fuelles. Armado total. Regular convergencia.  </v>
      </c>
      <c r="K697" s="26" t="s">
        <v>536</v>
      </c>
      <c r="P697" s="27">
        <v>2</v>
      </c>
      <c r="Q697" s="34">
        <v>6000</v>
      </c>
      <c r="R697" s="36">
        <f t="shared" si="92"/>
        <v>12000</v>
      </c>
      <c r="U697" s="39">
        <f t="shared" si="91"/>
        <v>0</v>
      </c>
      <c r="V697" s="41">
        <f t="shared" si="96"/>
        <v>150000</v>
      </c>
    </row>
    <row r="698" spans="1:22" x14ac:dyDescent="0.25">
      <c r="A698" s="47">
        <v>201</v>
      </c>
      <c r="B698" s="31">
        <f t="shared" si="94"/>
        <v>1</v>
      </c>
      <c r="C698" s="48">
        <v>45565</v>
      </c>
      <c r="D698" s="47" t="s">
        <v>733</v>
      </c>
      <c r="E698" s="31" t="str">
        <f t="shared" si="93"/>
        <v>201Monasterio Paola1</v>
      </c>
      <c r="G698" s="47" t="s">
        <v>357</v>
      </c>
      <c r="H698" s="26" t="s">
        <v>440</v>
      </c>
      <c r="I698" s="31" t="str">
        <f t="shared" si="95"/>
        <v>Service completo. Cambio de aceite y filtros. Control general de mas de 50 puntos del vehiculo.</v>
      </c>
      <c r="K698" s="26" t="s">
        <v>91</v>
      </c>
      <c r="P698" s="27">
        <v>1</v>
      </c>
      <c r="Q698" s="34">
        <v>38000</v>
      </c>
      <c r="R698" s="36">
        <f t="shared" si="92"/>
        <v>38000</v>
      </c>
      <c r="S698" s="6">
        <v>1</v>
      </c>
      <c r="T698" s="7">
        <v>75000</v>
      </c>
      <c r="U698" s="39">
        <f t="shared" si="91"/>
        <v>75000</v>
      </c>
      <c r="V698" s="41">
        <f t="shared" si="96"/>
        <v>75000</v>
      </c>
    </row>
    <row r="699" spans="1:22" x14ac:dyDescent="0.25">
      <c r="A699" s="47">
        <v>201</v>
      </c>
      <c r="B699" s="31">
        <f t="shared" si="94"/>
        <v>2</v>
      </c>
      <c r="C699" s="48">
        <f t="shared" si="97"/>
        <v>45565</v>
      </c>
      <c r="D699" s="47" t="str">
        <f t="shared" si="98"/>
        <v>Monasterio Paola</v>
      </c>
      <c r="E699" s="31" t="str">
        <f t="shared" si="93"/>
        <v>201Monasterio Paola2</v>
      </c>
      <c r="I699" s="31" t="str">
        <f t="shared" si="95"/>
        <v xml:space="preserve">Service completo. Cambio de aceite y filtros. Control general de mas de 50 puntos del vehiculo. </v>
      </c>
      <c r="K699" s="26" t="s">
        <v>90</v>
      </c>
      <c r="P699" s="27">
        <v>4</v>
      </c>
      <c r="Q699" s="34">
        <v>18500</v>
      </c>
      <c r="R699" s="36">
        <f t="shared" si="92"/>
        <v>74000</v>
      </c>
      <c r="U699" s="39">
        <f t="shared" si="91"/>
        <v>0</v>
      </c>
      <c r="V699" s="41">
        <f t="shared" si="96"/>
        <v>75000</v>
      </c>
    </row>
    <row r="700" spans="1:22" x14ac:dyDescent="0.25">
      <c r="A700" s="47">
        <v>202</v>
      </c>
      <c r="B700" s="31">
        <f t="shared" si="94"/>
        <v>1</v>
      </c>
      <c r="C700" s="48">
        <v>45568</v>
      </c>
      <c r="D700" s="47" t="s">
        <v>663</v>
      </c>
      <c r="E700" s="31" t="str">
        <f t="shared" si="93"/>
        <v>202Polanco Andres1</v>
      </c>
      <c r="G700" s="47" t="s">
        <v>156</v>
      </c>
      <c r="H700" s="26" t="s">
        <v>734</v>
      </c>
      <c r="I700" s="31" t="str">
        <f t="shared" si="95"/>
        <v>Control del tren delantero. Cambiar ambos precap de direccion. Cambiar bujes de parrilla. Cambiar correa poly-v. Cambiar tensor completo de correa poly-v.</v>
      </c>
      <c r="K700" s="26" t="s">
        <v>225</v>
      </c>
      <c r="P700" s="27">
        <v>2</v>
      </c>
      <c r="Q700" s="34">
        <v>26000</v>
      </c>
      <c r="R700" s="36">
        <f t="shared" si="92"/>
        <v>52000</v>
      </c>
      <c r="S700" s="6">
        <v>1</v>
      </c>
      <c r="T700" s="7">
        <v>170000</v>
      </c>
      <c r="U700" s="39">
        <f t="shared" si="91"/>
        <v>170000</v>
      </c>
      <c r="V700" s="41">
        <f t="shared" si="96"/>
        <v>170000</v>
      </c>
    </row>
    <row r="701" spans="1:22" x14ac:dyDescent="0.25">
      <c r="A701" s="47">
        <v>202</v>
      </c>
      <c r="B701" s="31">
        <f t="shared" si="94"/>
        <v>2</v>
      </c>
      <c r="C701" s="48">
        <f t="shared" si="97"/>
        <v>45568</v>
      </c>
      <c r="D701" s="47" t="str">
        <f t="shared" si="98"/>
        <v>Polanco Andres</v>
      </c>
      <c r="E701" s="31" t="str">
        <f t="shared" si="93"/>
        <v>202Polanco Andres2</v>
      </c>
      <c r="I701" s="31" t="str">
        <f t="shared" si="95"/>
        <v xml:space="preserve">Control del tren delantero. Cambiar ambos precap de direccion. Cambiar bujes de parrilla. Cambiar correa poly-v. Cambiar tensor completo de correa poly-v. </v>
      </c>
      <c r="K701" s="26" t="s">
        <v>735</v>
      </c>
      <c r="P701" s="27">
        <v>2</v>
      </c>
      <c r="Q701" s="34">
        <v>30000</v>
      </c>
      <c r="R701" s="36">
        <f t="shared" si="92"/>
        <v>60000</v>
      </c>
      <c r="U701" s="39">
        <f t="shared" si="91"/>
        <v>0</v>
      </c>
      <c r="V701" s="41">
        <f t="shared" si="96"/>
        <v>170000</v>
      </c>
    </row>
    <row r="702" spans="1:22" x14ac:dyDescent="0.25">
      <c r="A702" s="47">
        <v>202</v>
      </c>
      <c r="B702" s="31">
        <f t="shared" si="94"/>
        <v>3</v>
      </c>
      <c r="C702" s="48">
        <f t="shared" si="97"/>
        <v>45568</v>
      </c>
      <c r="D702" s="47" t="str">
        <f t="shared" si="98"/>
        <v>Polanco Andres</v>
      </c>
      <c r="E702" s="31" t="str">
        <f t="shared" si="93"/>
        <v>202Polanco Andres3</v>
      </c>
      <c r="I702" s="31" t="str">
        <f t="shared" si="95"/>
        <v xml:space="preserve">Control del tren delantero. Cambiar ambos precap de direccion. Cambiar bujes de parrilla. Cambiar correa poly-v. Cambiar tensor completo de correa poly-v.  </v>
      </c>
      <c r="K702" s="26" t="s">
        <v>322</v>
      </c>
      <c r="P702" s="27">
        <v>1</v>
      </c>
      <c r="Q702" s="34">
        <v>28800</v>
      </c>
      <c r="R702" s="36">
        <f t="shared" si="92"/>
        <v>28800</v>
      </c>
      <c r="U702" s="39">
        <f t="shared" si="91"/>
        <v>0</v>
      </c>
      <c r="V702" s="41">
        <f t="shared" si="96"/>
        <v>170000</v>
      </c>
    </row>
    <row r="703" spans="1:22" x14ac:dyDescent="0.25">
      <c r="A703" s="47">
        <v>202</v>
      </c>
      <c r="B703" s="31">
        <f t="shared" si="94"/>
        <v>4</v>
      </c>
      <c r="C703" s="48">
        <f t="shared" si="97"/>
        <v>45568</v>
      </c>
      <c r="D703" s="47" t="str">
        <f t="shared" si="98"/>
        <v>Polanco Andres</v>
      </c>
      <c r="E703" s="31" t="str">
        <f t="shared" si="93"/>
        <v>202Polanco Andres4</v>
      </c>
      <c r="I703" s="31" t="str">
        <f t="shared" si="95"/>
        <v xml:space="preserve">Control del tren delantero. Cambiar ambos precap de direccion. Cambiar bujes de parrilla. Cambiar correa poly-v. Cambiar tensor completo de correa poly-v.   </v>
      </c>
      <c r="K703" s="26" t="s">
        <v>736</v>
      </c>
      <c r="P703" s="27">
        <v>1</v>
      </c>
      <c r="Q703" s="34">
        <v>145000</v>
      </c>
      <c r="R703" s="36">
        <f t="shared" si="92"/>
        <v>145000</v>
      </c>
      <c r="U703" s="39">
        <f t="shared" si="91"/>
        <v>0</v>
      </c>
      <c r="V703" s="41">
        <f t="shared" si="96"/>
        <v>170000</v>
      </c>
    </row>
    <row r="704" spans="1:22" x14ac:dyDescent="0.25">
      <c r="A704" s="47">
        <v>203</v>
      </c>
      <c r="B704" s="31">
        <f t="shared" si="94"/>
        <v>1</v>
      </c>
      <c r="C704" s="48">
        <v>45574</v>
      </c>
      <c r="D704" s="47" t="s">
        <v>737</v>
      </c>
      <c r="E704" s="31" t="str">
        <f t="shared" si="93"/>
        <v>203Barzola Julio1</v>
      </c>
      <c r="G704" s="47" t="s">
        <v>738</v>
      </c>
      <c r="H704" s="26" t="s">
        <v>551</v>
      </c>
      <c r="I704" s="31" t="str">
        <f t="shared" si="95"/>
        <v>Desarmar distribucion completa. Cambiar kit, bomba de agua, correas poly-v y liquido refrigerante. Purgado del circuito de refrigeracion. Puesta a punto. Armado total.</v>
      </c>
      <c r="K704" s="26" t="s">
        <v>552</v>
      </c>
      <c r="P704" s="27">
        <v>1</v>
      </c>
      <c r="Q704" s="34">
        <v>150000</v>
      </c>
      <c r="R704" s="36">
        <f t="shared" si="92"/>
        <v>150000</v>
      </c>
      <c r="S704" s="6">
        <v>1</v>
      </c>
      <c r="T704" s="7">
        <v>150000</v>
      </c>
      <c r="U704" s="39">
        <f t="shared" si="91"/>
        <v>150000</v>
      </c>
      <c r="V704" s="41">
        <f t="shared" si="96"/>
        <v>150000</v>
      </c>
    </row>
    <row r="705" spans="1:22" x14ac:dyDescent="0.25">
      <c r="A705" s="47">
        <v>203</v>
      </c>
      <c r="B705" s="31">
        <f t="shared" si="94"/>
        <v>2</v>
      </c>
      <c r="C705" s="48">
        <f t="shared" si="97"/>
        <v>45574</v>
      </c>
      <c r="D705" s="47" t="str">
        <f t="shared" si="98"/>
        <v>Barzola Julio</v>
      </c>
      <c r="E705" s="31" t="str">
        <f t="shared" si="93"/>
        <v>203Barzola Julio2</v>
      </c>
      <c r="I705" s="31" t="str">
        <f t="shared" si="95"/>
        <v xml:space="preserve">Desarmar distribucion completa. Cambiar kit, bomba de agua, correas poly-v y liquido refrigerante. Purgado del circuito de refrigeracion. Puesta a punto. Armado total. </v>
      </c>
      <c r="K705" s="26" t="s">
        <v>409</v>
      </c>
      <c r="P705" s="27">
        <v>2</v>
      </c>
      <c r="Q705" s="34">
        <v>17000</v>
      </c>
      <c r="R705" s="36">
        <f t="shared" si="92"/>
        <v>34000</v>
      </c>
      <c r="U705" s="39">
        <f t="shared" si="91"/>
        <v>0</v>
      </c>
      <c r="V705" s="41">
        <f t="shared" si="96"/>
        <v>150000</v>
      </c>
    </row>
    <row r="706" spans="1:22" x14ac:dyDescent="0.25">
      <c r="A706" s="47">
        <v>203</v>
      </c>
      <c r="B706" s="31">
        <f t="shared" si="94"/>
        <v>3</v>
      </c>
      <c r="C706" s="48">
        <f t="shared" si="97"/>
        <v>45574</v>
      </c>
      <c r="D706" s="47" t="str">
        <f t="shared" si="98"/>
        <v>Barzola Julio</v>
      </c>
      <c r="E706" s="31" t="str">
        <f t="shared" si="93"/>
        <v>203Barzola Julio3</v>
      </c>
      <c r="I706" s="31" t="str">
        <f t="shared" si="95"/>
        <v xml:space="preserve">Desarmar distribucion completa. Cambiar kit, bomba de agua, correas poly-v y liquido refrigerante. Purgado del circuito de refrigeracion. Puesta a punto. Armado total.  </v>
      </c>
      <c r="K706" s="26" t="s">
        <v>410</v>
      </c>
      <c r="P706" s="27">
        <v>1</v>
      </c>
      <c r="Q706" s="34">
        <v>6000</v>
      </c>
      <c r="R706" s="36">
        <f t="shared" si="92"/>
        <v>6000</v>
      </c>
      <c r="U706" s="39">
        <f t="shared" si="91"/>
        <v>0</v>
      </c>
      <c r="V706" s="41">
        <f t="shared" si="96"/>
        <v>150000</v>
      </c>
    </row>
    <row r="707" spans="1:22" x14ac:dyDescent="0.25">
      <c r="A707" s="47">
        <v>204</v>
      </c>
      <c r="B707" s="31">
        <f t="shared" si="94"/>
        <v>1</v>
      </c>
      <c r="C707" s="48">
        <v>45574</v>
      </c>
      <c r="D707" s="47" t="s">
        <v>737</v>
      </c>
      <c r="E707" s="31" t="str">
        <f t="shared" si="93"/>
        <v>204Barzola Julio1</v>
      </c>
      <c r="G707" s="47" t="s">
        <v>739</v>
      </c>
      <c r="H707" s="26" t="s">
        <v>551</v>
      </c>
      <c r="I707" s="31" t="str">
        <f t="shared" si="95"/>
        <v>Desarmar distribucion completa. Cambiar kit, bomba de agua, correas poly-v y liquido refrigerante. Purgado del circuito de refrigeracion. Puesta a punto. Armado total.</v>
      </c>
      <c r="K707" s="26" t="s">
        <v>740</v>
      </c>
      <c r="P707" s="27">
        <v>1</v>
      </c>
      <c r="Q707" s="34">
        <v>215000</v>
      </c>
      <c r="R707" s="36">
        <f t="shared" si="92"/>
        <v>215000</v>
      </c>
      <c r="S707" s="6">
        <v>1</v>
      </c>
      <c r="T707" s="7">
        <v>200000</v>
      </c>
      <c r="U707" s="39">
        <f t="shared" si="91"/>
        <v>200000</v>
      </c>
      <c r="V707" s="41">
        <f t="shared" si="96"/>
        <v>200000</v>
      </c>
    </row>
    <row r="708" spans="1:22" x14ac:dyDescent="0.25">
      <c r="A708" s="47">
        <v>204</v>
      </c>
      <c r="B708" s="31">
        <f t="shared" si="94"/>
        <v>2</v>
      </c>
      <c r="C708" s="48">
        <f t="shared" si="97"/>
        <v>45574</v>
      </c>
      <c r="D708" s="47" t="str">
        <f t="shared" si="98"/>
        <v>Barzola Julio</v>
      </c>
      <c r="E708" s="31" t="str">
        <f t="shared" si="93"/>
        <v>204Barzola Julio2</v>
      </c>
      <c r="I708" s="31" t="str">
        <f t="shared" si="95"/>
        <v xml:space="preserve">Desarmar distribucion completa. Cambiar kit, bomba de agua, correas poly-v y liquido refrigerante. Purgado del circuito de refrigeracion. Puesta a punto. Armado total. </v>
      </c>
      <c r="K708" s="26" t="s">
        <v>322</v>
      </c>
      <c r="P708" s="27">
        <v>1</v>
      </c>
      <c r="Q708" s="34">
        <v>27000</v>
      </c>
      <c r="R708" s="36">
        <f t="shared" si="92"/>
        <v>27000</v>
      </c>
      <c r="U708" s="39">
        <f t="shared" ref="U708:U771" si="99">+T708*S708</f>
        <v>0</v>
      </c>
      <c r="V708" s="41">
        <f t="shared" si="96"/>
        <v>200000</v>
      </c>
    </row>
    <row r="709" spans="1:22" x14ac:dyDescent="0.25">
      <c r="A709" s="47">
        <v>204</v>
      </c>
      <c r="B709" s="31">
        <f t="shared" si="94"/>
        <v>3</v>
      </c>
      <c r="C709" s="48">
        <f t="shared" si="97"/>
        <v>45574</v>
      </c>
      <c r="D709" s="47" t="str">
        <f t="shared" si="98"/>
        <v>Barzola Julio</v>
      </c>
      <c r="E709" s="31" t="str">
        <f t="shared" si="93"/>
        <v>204Barzola Julio3</v>
      </c>
      <c r="I709" s="31" t="str">
        <f t="shared" si="95"/>
        <v xml:space="preserve">Desarmar distribucion completa. Cambiar kit, bomba de agua, correas poly-v y liquido refrigerante. Purgado del circuito de refrigeracion. Puesta a punto. Armado total.  </v>
      </c>
      <c r="K709" s="26" t="s">
        <v>409</v>
      </c>
      <c r="P709" s="27">
        <v>2</v>
      </c>
      <c r="Q709" s="34">
        <v>17000</v>
      </c>
      <c r="R709" s="36">
        <f t="shared" si="92"/>
        <v>34000</v>
      </c>
      <c r="U709" s="39">
        <f t="shared" si="99"/>
        <v>0</v>
      </c>
      <c r="V709" s="41">
        <f t="shared" si="96"/>
        <v>200000</v>
      </c>
    </row>
    <row r="710" spans="1:22" x14ac:dyDescent="0.25">
      <c r="A710" s="47">
        <v>204</v>
      </c>
      <c r="B710" s="31">
        <f t="shared" si="94"/>
        <v>4</v>
      </c>
      <c r="C710" s="48">
        <f t="shared" si="97"/>
        <v>45574</v>
      </c>
      <c r="D710" s="47" t="str">
        <f t="shared" si="98"/>
        <v>Barzola Julio</v>
      </c>
      <c r="E710" s="31" t="str">
        <f t="shared" si="93"/>
        <v>204Barzola Julio4</v>
      </c>
      <c r="I710" s="31" t="str">
        <f t="shared" si="95"/>
        <v xml:space="preserve">Desarmar distribucion completa. Cambiar kit, bomba de agua, correas poly-v y liquido refrigerante. Purgado del circuito de refrigeracion. Puesta a punto. Armado total.   </v>
      </c>
      <c r="K710" s="26" t="s">
        <v>410</v>
      </c>
      <c r="P710" s="27">
        <v>1</v>
      </c>
      <c r="Q710" s="34">
        <v>6000</v>
      </c>
      <c r="R710" s="36">
        <f t="shared" si="92"/>
        <v>6000</v>
      </c>
      <c r="U710" s="39">
        <f t="shared" si="99"/>
        <v>0</v>
      </c>
      <c r="V710" s="41">
        <f t="shared" si="96"/>
        <v>200000</v>
      </c>
    </row>
    <row r="711" spans="1:22" x14ac:dyDescent="0.25">
      <c r="A711" s="47">
        <v>205</v>
      </c>
      <c r="B711" s="31">
        <f t="shared" si="94"/>
        <v>1</v>
      </c>
      <c r="C711" s="48">
        <v>45579</v>
      </c>
      <c r="D711" s="47" t="s">
        <v>741</v>
      </c>
      <c r="E711" s="31" t="str">
        <f t="shared" si="93"/>
        <v>205Gullino Andrea1</v>
      </c>
      <c r="G711" s="47" t="s">
        <v>742</v>
      </c>
      <c r="H711" s="26" t="s">
        <v>743</v>
      </c>
      <c r="I711" s="31" t="str">
        <f t="shared" si="95"/>
        <v>Control del tren delantero. Cambiar dos bujes de parrilla inferiores. Cambiar bieleta de barra estabilizadora lado derecho. Cambiar amortiguador delantero derecho. Colocar tope y fuelle nuevo. Regulacion de convergencia.</v>
      </c>
      <c r="K711" s="26" t="s">
        <v>744</v>
      </c>
      <c r="P711" s="27">
        <v>1</v>
      </c>
      <c r="Q711" s="34">
        <v>125000</v>
      </c>
      <c r="R711" s="36">
        <f t="shared" si="92"/>
        <v>125000</v>
      </c>
      <c r="S711" s="6">
        <v>1</v>
      </c>
      <c r="T711" s="7">
        <v>150000</v>
      </c>
      <c r="U711" s="39">
        <f t="shared" si="99"/>
        <v>150000</v>
      </c>
      <c r="V711" s="41">
        <f t="shared" si="96"/>
        <v>150000</v>
      </c>
    </row>
    <row r="712" spans="1:22" x14ac:dyDescent="0.25">
      <c r="A712" s="47">
        <v>205</v>
      </c>
      <c r="B712" s="31">
        <f t="shared" si="94"/>
        <v>2</v>
      </c>
      <c r="C712" s="48">
        <f t="shared" si="97"/>
        <v>45579</v>
      </c>
      <c r="D712" s="47" t="str">
        <f t="shared" si="98"/>
        <v>Gullino Andrea</v>
      </c>
      <c r="E712" s="31" t="str">
        <f t="shared" si="93"/>
        <v>205Gullino Andrea2</v>
      </c>
      <c r="I712" s="31" t="str">
        <f t="shared" si="95"/>
        <v xml:space="preserve">Control del tren delantero. Cambiar dos bujes de parrilla inferiores. Cambiar bieleta de barra estabilizadora lado derecho. Cambiar amortiguador delantero derecho. Colocar tope y fuelle nuevo. Regulacion de convergencia. </v>
      </c>
      <c r="K712" s="26" t="s">
        <v>745</v>
      </c>
      <c r="P712" s="27">
        <v>1</v>
      </c>
      <c r="Q712" s="34">
        <v>24000</v>
      </c>
      <c r="R712" s="36">
        <f t="shared" si="92"/>
        <v>24000</v>
      </c>
      <c r="U712" s="39">
        <f t="shared" si="99"/>
        <v>0</v>
      </c>
      <c r="V712" s="41">
        <f t="shared" si="96"/>
        <v>150000</v>
      </c>
    </row>
    <row r="713" spans="1:22" x14ac:dyDescent="0.25">
      <c r="A713" s="47">
        <v>205</v>
      </c>
      <c r="B713" s="31">
        <f t="shared" si="94"/>
        <v>3</v>
      </c>
      <c r="C713" s="48">
        <f t="shared" si="97"/>
        <v>45579</v>
      </c>
      <c r="D713" s="47" t="str">
        <f t="shared" si="98"/>
        <v>Gullino Andrea</v>
      </c>
      <c r="E713" s="31" t="str">
        <f t="shared" si="93"/>
        <v>205Gullino Andrea3</v>
      </c>
      <c r="I713" s="31" t="str">
        <f t="shared" si="95"/>
        <v xml:space="preserve">Control del tren delantero. Cambiar dos bujes de parrilla inferiores. Cambiar bieleta de barra estabilizadora lado derecho. Cambiar amortiguador delantero derecho. Colocar tope y fuelle nuevo. Regulacion de convergencia.  </v>
      </c>
      <c r="K713" s="26" t="s">
        <v>735</v>
      </c>
      <c r="P713" s="27">
        <v>2</v>
      </c>
      <c r="Q713" s="34">
        <v>20000</v>
      </c>
      <c r="R713" s="36">
        <f t="shared" si="92"/>
        <v>40000</v>
      </c>
      <c r="U713" s="39">
        <f t="shared" si="99"/>
        <v>0</v>
      </c>
      <c r="V713" s="41">
        <f t="shared" si="96"/>
        <v>150000</v>
      </c>
    </row>
    <row r="714" spans="1:22" x14ac:dyDescent="0.25">
      <c r="A714" s="47">
        <v>205</v>
      </c>
      <c r="B714" s="31">
        <f t="shared" si="94"/>
        <v>4</v>
      </c>
      <c r="C714" s="48">
        <f t="shared" si="97"/>
        <v>45579</v>
      </c>
      <c r="D714" s="47" t="str">
        <f t="shared" si="98"/>
        <v>Gullino Andrea</v>
      </c>
      <c r="E714" s="31" t="str">
        <f t="shared" si="93"/>
        <v>205Gullino Andrea4</v>
      </c>
      <c r="I714" s="31" t="str">
        <f t="shared" si="95"/>
        <v xml:space="preserve">Control del tren delantero. Cambiar dos bujes de parrilla inferiores. Cambiar bieleta de barra estabilizadora lado derecho. Cambiar amortiguador delantero derecho. Colocar tope y fuelle nuevo. Regulacion de convergencia.   </v>
      </c>
      <c r="K714" s="26" t="s">
        <v>746</v>
      </c>
      <c r="P714" s="27">
        <v>1</v>
      </c>
      <c r="Q714" s="34">
        <v>14000</v>
      </c>
      <c r="R714" s="36">
        <f t="shared" si="92"/>
        <v>14000</v>
      </c>
      <c r="U714" s="39">
        <f t="shared" si="99"/>
        <v>0</v>
      </c>
      <c r="V714" s="41">
        <f t="shared" si="96"/>
        <v>150000</v>
      </c>
    </row>
    <row r="715" spans="1:22" x14ac:dyDescent="0.25">
      <c r="A715" s="47">
        <v>206</v>
      </c>
      <c r="B715" s="31">
        <f t="shared" si="94"/>
        <v>1</v>
      </c>
      <c r="C715" s="48">
        <v>45582</v>
      </c>
      <c r="D715" s="47" t="s">
        <v>747</v>
      </c>
      <c r="E715" s="31" t="str">
        <f t="shared" si="93"/>
        <v>206Moretti Renato1</v>
      </c>
      <c r="G715" s="47" t="s">
        <v>387</v>
      </c>
      <c r="I715" s="31">
        <f t="shared" si="95"/>
        <v>0</v>
      </c>
      <c r="K715" s="26" t="s">
        <v>748</v>
      </c>
      <c r="P715" s="27">
        <v>1</v>
      </c>
      <c r="Q715" s="34">
        <v>350000</v>
      </c>
      <c r="R715" s="36">
        <f t="shared" si="92"/>
        <v>350000</v>
      </c>
      <c r="S715" s="6">
        <v>1</v>
      </c>
      <c r="U715" s="39">
        <f t="shared" si="99"/>
        <v>0</v>
      </c>
      <c r="V715" s="41">
        <f t="shared" si="96"/>
        <v>0</v>
      </c>
    </row>
    <row r="716" spans="1:22" x14ac:dyDescent="0.25">
      <c r="A716" s="47">
        <v>206</v>
      </c>
      <c r="B716" s="31">
        <f t="shared" si="94"/>
        <v>2</v>
      </c>
      <c r="C716" s="48">
        <f t="shared" si="97"/>
        <v>45582</v>
      </c>
      <c r="D716" s="47" t="str">
        <f t="shared" si="98"/>
        <v>Moretti Renato</v>
      </c>
      <c r="E716" s="31" t="str">
        <f t="shared" si="93"/>
        <v>206Moretti Renato2</v>
      </c>
      <c r="I716" s="31" t="str">
        <f t="shared" si="95"/>
        <v xml:space="preserve">0 </v>
      </c>
      <c r="K716" s="26" t="s">
        <v>749</v>
      </c>
      <c r="P716" s="27">
        <v>1</v>
      </c>
      <c r="Q716" s="34"/>
      <c r="R716" s="36">
        <f t="shared" si="92"/>
        <v>0</v>
      </c>
      <c r="U716" s="39">
        <f t="shared" si="99"/>
        <v>0</v>
      </c>
      <c r="V716" s="41">
        <f t="shared" si="96"/>
        <v>0</v>
      </c>
    </row>
    <row r="717" spans="1:22" x14ac:dyDescent="0.25">
      <c r="A717" s="47">
        <v>207</v>
      </c>
      <c r="B717" s="31">
        <f t="shared" si="94"/>
        <v>1</v>
      </c>
      <c r="C717" s="48">
        <v>45586</v>
      </c>
      <c r="D717" s="47" t="s">
        <v>750</v>
      </c>
      <c r="E717" s="31" t="str">
        <f t="shared" si="93"/>
        <v>207Lopez Ines1</v>
      </c>
      <c r="G717" s="47" t="s">
        <v>751</v>
      </c>
      <c r="H717" s="26" t="s">
        <v>752</v>
      </c>
      <c r="I717" s="31" t="str">
        <f t="shared" si="95"/>
        <v>Service completo. Cambio de aceite y filtros. Control general de mas de 50 puntos al vehiculo. Desarmar distribucion completa. Cambiar kit, bomba de agua, correa poly-v y liquido refrigerante. Purgado del circuito de refrigeracion. Puesta a punto. Armado total.</v>
      </c>
      <c r="K717" s="26" t="s">
        <v>408</v>
      </c>
      <c r="P717" s="27">
        <v>1</v>
      </c>
      <c r="Q717" s="34">
        <v>240000</v>
      </c>
      <c r="R717" s="36">
        <f t="shared" si="92"/>
        <v>240000</v>
      </c>
      <c r="S717" s="6">
        <v>1</v>
      </c>
      <c r="T717" s="7">
        <v>230000</v>
      </c>
      <c r="U717" s="39">
        <f t="shared" si="99"/>
        <v>230000</v>
      </c>
      <c r="V717" s="41">
        <f t="shared" si="96"/>
        <v>230000</v>
      </c>
    </row>
    <row r="718" spans="1:22" x14ac:dyDescent="0.25">
      <c r="A718" s="47">
        <v>207</v>
      </c>
      <c r="B718" s="31">
        <f t="shared" si="94"/>
        <v>2</v>
      </c>
      <c r="C718" s="48">
        <f t="shared" si="97"/>
        <v>45586</v>
      </c>
      <c r="D718" s="47" t="str">
        <f t="shared" si="98"/>
        <v>Lopez Ines</v>
      </c>
      <c r="E718" s="31" t="str">
        <f t="shared" si="93"/>
        <v>207Lopez Ines2</v>
      </c>
      <c r="I718" s="31" t="str">
        <f t="shared" si="95"/>
        <v xml:space="preserve">Service completo. Cambio de aceite y filtros. Control general de mas de 50 puntos al vehiculo. Desarmar distribucion completa. Cambiar kit, bomba de agua, correa poly-v y liquido refrigerante. Purgado del circuito de refrigeracion. Puesta a punto. Armado total. </v>
      </c>
      <c r="K718" s="26" t="s">
        <v>322</v>
      </c>
      <c r="P718" s="27">
        <v>1</v>
      </c>
      <c r="Q718" s="34">
        <v>29000</v>
      </c>
      <c r="R718" s="36">
        <f t="shared" si="92"/>
        <v>29000</v>
      </c>
      <c r="U718" s="39">
        <f t="shared" si="99"/>
        <v>0</v>
      </c>
      <c r="V718" s="41">
        <f t="shared" si="96"/>
        <v>230000</v>
      </c>
    </row>
    <row r="719" spans="1:22" x14ac:dyDescent="0.25">
      <c r="A719" s="47">
        <v>207</v>
      </c>
      <c r="B719" s="31">
        <f t="shared" si="94"/>
        <v>3</v>
      </c>
      <c r="C719" s="48">
        <f t="shared" si="97"/>
        <v>45586</v>
      </c>
      <c r="D719" s="47" t="str">
        <f t="shared" si="98"/>
        <v>Lopez Ines</v>
      </c>
      <c r="E719" s="31" t="str">
        <f t="shared" si="93"/>
        <v>207Lopez Ines3</v>
      </c>
      <c r="I719" s="31" t="str">
        <f t="shared" si="95"/>
        <v xml:space="preserve">Service completo. Cambio de aceite y filtros. Control general de mas de 50 puntos al vehiculo. Desarmar distribucion completa. Cambiar kit, bomba de agua, correa poly-v y liquido refrigerante. Purgado del circuito de refrigeracion. Puesta a punto. Armado total.  </v>
      </c>
      <c r="K719" s="26" t="s">
        <v>91</v>
      </c>
      <c r="P719" s="27">
        <v>1</v>
      </c>
      <c r="Q719" s="34">
        <v>56000</v>
      </c>
      <c r="R719" s="36">
        <f t="shared" ref="R719:R782" si="100">Q719*P719</f>
        <v>56000</v>
      </c>
      <c r="U719" s="39">
        <f t="shared" si="99"/>
        <v>0</v>
      </c>
      <c r="V719" s="41">
        <f t="shared" si="96"/>
        <v>230000</v>
      </c>
    </row>
    <row r="720" spans="1:22" x14ac:dyDescent="0.25">
      <c r="A720" s="47">
        <v>207</v>
      </c>
      <c r="B720" s="31">
        <f t="shared" si="94"/>
        <v>4</v>
      </c>
      <c r="C720" s="48">
        <f t="shared" si="97"/>
        <v>45586</v>
      </c>
      <c r="D720" s="47" t="str">
        <f t="shared" si="98"/>
        <v>Lopez Ines</v>
      </c>
      <c r="E720" s="31" t="str">
        <f t="shared" si="93"/>
        <v>207Lopez Ines4</v>
      </c>
      <c r="I720" s="31" t="str">
        <f t="shared" si="95"/>
        <v xml:space="preserve">Service completo. Cambio de aceite y filtros. Control general de mas de 50 puntos al vehiculo. Desarmar distribucion completa. Cambiar kit, bomba de agua, correa poly-v y liquido refrigerante. Purgado del circuito de refrigeracion. Puesta a punto. Armado total.   </v>
      </c>
      <c r="K720" s="26" t="s">
        <v>409</v>
      </c>
      <c r="P720" s="27">
        <v>2</v>
      </c>
      <c r="Q720" s="34">
        <v>17500</v>
      </c>
      <c r="R720" s="36">
        <f t="shared" si="100"/>
        <v>35000</v>
      </c>
      <c r="U720" s="39">
        <f t="shared" si="99"/>
        <v>0</v>
      </c>
      <c r="V720" s="41">
        <f t="shared" si="96"/>
        <v>230000</v>
      </c>
    </row>
    <row r="721" spans="1:22" x14ac:dyDescent="0.25">
      <c r="A721" s="47">
        <v>207</v>
      </c>
      <c r="B721" s="31">
        <f t="shared" si="94"/>
        <v>5</v>
      </c>
      <c r="C721" s="48">
        <f t="shared" si="97"/>
        <v>45586</v>
      </c>
      <c r="D721" s="47" t="str">
        <f t="shared" si="98"/>
        <v>Lopez Ines</v>
      </c>
      <c r="E721" s="31" t="str">
        <f t="shared" ref="E721:E784" si="101">CONCATENATE(A721,D721,B721)</f>
        <v>207Lopez Ines5</v>
      </c>
      <c r="I721" s="31" t="str">
        <f t="shared" si="95"/>
        <v xml:space="preserve">Service completo. Cambio de aceite y filtros. Control general de mas de 50 puntos al vehiculo. Desarmar distribucion completa. Cambiar kit, bomba de agua, correa poly-v y liquido refrigerante. Purgado del circuito de refrigeracion. Puesta a punto. Armado total.    </v>
      </c>
      <c r="K721" s="26" t="s">
        <v>410</v>
      </c>
      <c r="P721" s="27">
        <v>1</v>
      </c>
      <c r="Q721" s="34">
        <v>6000</v>
      </c>
      <c r="R721" s="36">
        <f t="shared" si="100"/>
        <v>6000</v>
      </c>
      <c r="U721" s="39">
        <f t="shared" si="99"/>
        <v>0</v>
      </c>
      <c r="V721" s="41">
        <f t="shared" si="96"/>
        <v>230000</v>
      </c>
    </row>
    <row r="722" spans="1:22" x14ac:dyDescent="0.25">
      <c r="A722" s="47">
        <v>207</v>
      </c>
      <c r="B722" s="31">
        <f t="shared" si="94"/>
        <v>6</v>
      </c>
      <c r="C722" s="48">
        <f t="shared" si="97"/>
        <v>45586</v>
      </c>
      <c r="D722" s="47" t="str">
        <f t="shared" si="98"/>
        <v>Lopez Ines</v>
      </c>
      <c r="E722" s="31" t="str">
        <f t="shared" si="101"/>
        <v>207Lopez Ines6</v>
      </c>
      <c r="I722" s="31" t="str">
        <f t="shared" si="95"/>
        <v xml:space="preserve">Service completo. Cambio de aceite y filtros. Control general de mas de 50 puntos al vehiculo. Desarmar distribucion completa. Cambiar kit, bomba de agua, correa poly-v y liquido refrigerante. Purgado del circuito de refrigeracion. Puesta a punto. Armado total.     </v>
      </c>
      <c r="K722" s="26" t="s">
        <v>108</v>
      </c>
      <c r="P722" s="27">
        <v>4</v>
      </c>
      <c r="Q722" s="34">
        <v>13500</v>
      </c>
      <c r="R722" s="36">
        <f t="shared" si="100"/>
        <v>54000</v>
      </c>
      <c r="U722" s="39">
        <f t="shared" si="99"/>
        <v>0</v>
      </c>
      <c r="V722" s="41">
        <f t="shared" si="96"/>
        <v>230000</v>
      </c>
    </row>
    <row r="723" spans="1:22" x14ac:dyDescent="0.25">
      <c r="A723" s="47">
        <v>208</v>
      </c>
      <c r="B723" s="31">
        <f t="shared" si="94"/>
        <v>1</v>
      </c>
      <c r="C723" s="48">
        <v>45590</v>
      </c>
      <c r="D723" s="47" t="s">
        <v>753</v>
      </c>
      <c r="E723" s="31" t="str">
        <f t="shared" si="101"/>
        <v>208Moro Sebastian1</v>
      </c>
      <c r="G723" s="47" t="s">
        <v>754</v>
      </c>
      <c r="H723" s="26" t="s">
        <v>752</v>
      </c>
      <c r="I723" s="31" t="str">
        <f t="shared" si="95"/>
        <v>Service completo. Cambio de aceite y filtros. Control general de mas de 50 puntos al vehiculo. Desarmar distribucion completa. Cambiar kit, bomba de agua, correa poly-v y liquido refrigerante. Purgado del circuito de refrigeracion. Puesta a punto. Armado total.</v>
      </c>
      <c r="K723" s="26" t="s">
        <v>408</v>
      </c>
      <c r="P723" s="27">
        <v>1</v>
      </c>
      <c r="Q723" s="34">
        <v>370000</v>
      </c>
      <c r="R723" s="36">
        <f t="shared" si="100"/>
        <v>370000</v>
      </c>
      <c r="S723" s="6">
        <v>1</v>
      </c>
      <c r="T723" s="7">
        <v>320000</v>
      </c>
      <c r="U723" s="39">
        <f t="shared" si="99"/>
        <v>320000</v>
      </c>
      <c r="V723" s="41">
        <f t="shared" si="96"/>
        <v>320000</v>
      </c>
    </row>
    <row r="724" spans="1:22" x14ac:dyDescent="0.25">
      <c r="A724" s="47">
        <v>208</v>
      </c>
      <c r="B724" s="31">
        <f t="shared" si="94"/>
        <v>2</v>
      </c>
      <c r="C724" s="48">
        <f t="shared" si="97"/>
        <v>45590</v>
      </c>
      <c r="D724" s="47" t="str">
        <f t="shared" si="98"/>
        <v>Moro Sebastian</v>
      </c>
      <c r="E724" s="31" t="str">
        <f t="shared" si="101"/>
        <v>208Moro Sebastian2</v>
      </c>
      <c r="I724" s="31" t="str">
        <f t="shared" si="95"/>
        <v xml:space="preserve">Service completo. Cambio de aceite y filtros. Control general de mas de 50 puntos al vehiculo. Desarmar distribucion completa. Cambiar kit, bomba de agua, correa poly-v y liquido refrigerante. Purgado del circuito de refrigeracion. Puesta a punto. Armado total. </v>
      </c>
      <c r="K724" s="26" t="s">
        <v>322</v>
      </c>
      <c r="P724" s="27">
        <v>1</v>
      </c>
      <c r="Q724" s="34">
        <v>58000</v>
      </c>
      <c r="R724" s="36">
        <f t="shared" si="100"/>
        <v>58000</v>
      </c>
      <c r="U724" s="39">
        <f t="shared" si="99"/>
        <v>0</v>
      </c>
      <c r="V724" s="41">
        <f t="shared" si="96"/>
        <v>320000</v>
      </c>
    </row>
    <row r="725" spans="1:22" x14ac:dyDescent="0.25">
      <c r="A725" s="47">
        <v>208</v>
      </c>
      <c r="B725" s="31">
        <f t="shared" si="94"/>
        <v>3</v>
      </c>
      <c r="C725" s="48">
        <f t="shared" si="97"/>
        <v>45590</v>
      </c>
      <c r="D725" s="47" t="str">
        <f t="shared" si="98"/>
        <v>Moro Sebastian</v>
      </c>
      <c r="E725" s="31" t="str">
        <f t="shared" si="101"/>
        <v>208Moro Sebastian3</v>
      </c>
      <c r="I725" s="31" t="str">
        <f t="shared" si="95"/>
        <v xml:space="preserve">Service completo. Cambio de aceite y filtros. Control general de mas de 50 puntos al vehiculo. Desarmar distribucion completa. Cambiar kit, bomba de agua, correa poly-v y liquido refrigerante. Purgado del circuito de refrigeracion. Puesta a punto. Armado total.  </v>
      </c>
      <c r="K725" s="26" t="s">
        <v>409</v>
      </c>
      <c r="P725" s="27">
        <v>1</v>
      </c>
      <c r="Q725" s="34">
        <v>17000</v>
      </c>
      <c r="R725" s="36">
        <f t="shared" si="100"/>
        <v>17000</v>
      </c>
      <c r="U725" s="39">
        <f t="shared" si="99"/>
        <v>0</v>
      </c>
      <c r="V725" s="41">
        <f t="shared" si="96"/>
        <v>320000</v>
      </c>
    </row>
    <row r="726" spans="1:22" x14ac:dyDescent="0.25">
      <c r="A726" s="47">
        <v>208</v>
      </c>
      <c r="B726" s="31">
        <f t="shared" si="94"/>
        <v>4</v>
      </c>
      <c r="C726" s="48">
        <f t="shared" si="97"/>
        <v>45590</v>
      </c>
      <c r="D726" s="47" t="str">
        <f t="shared" si="98"/>
        <v>Moro Sebastian</v>
      </c>
      <c r="E726" s="31" t="str">
        <f t="shared" si="101"/>
        <v>208Moro Sebastian4</v>
      </c>
      <c r="I726" s="31" t="str">
        <f t="shared" si="95"/>
        <v xml:space="preserve">Service completo. Cambio de aceite y filtros. Control general de mas de 50 puntos al vehiculo. Desarmar distribucion completa. Cambiar kit, bomba de agua, correa poly-v y liquido refrigerante. Purgado del circuito de refrigeracion. Puesta a punto. Armado total.   </v>
      </c>
      <c r="K726" s="26" t="s">
        <v>410</v>
      </c>
      <c r="P726" s="27">
        <v>1</v>
      </c>
      <c r="Q726" s="34">
        <v>6000</v>
      </c>
      <c r="R726" s="36">
        <f t="shared" si="100"/>
        <v>6000</v>
      </c>
      <c r="U726" s="39">
        <f t="shared" si="99"/>
        <v>0</v>
      </c>
      <c r="V726" s="41">
        <f t="shared" si="96"/>
        <v>320000</v>
      </c>
    </row>
    <row r="727" spans="1:22" x14ac:dyDescent="0.25">
      <c r="A727" s="47">
        <v>208</v>
      </c>
      <c r="B727" s="31">
        <f t="shared" si="94"/>
        <v>5</v>
      </c>
      <c r="C727" s="48">
        <f t="shared" si="97"/>
        <v>45590</v>
      </c>
      <c r="D727" s="47" t="str">
        <f t="shared" si="98"/>
        <v>Moro Sebastian</v>
      </c>
      <c r="E727" s="31" t="str">
        <f t="shared" si="101"/>
        <v>208Moro Sebastian5</v>
      </c>
      <c r="I727" s="31" t="str">
        <f t="shared" si="95"/>
        <v xml:space="preserve">Service completo. Cambio de aceite y filtros. Control general de mas de 50 puntos al vehiculo. Desarmar distribucion completa. Cambiar kit, bomba de agua, correa poly-v y liquido refrigerante. Purgado del circuito de refrigeracion. Puesta a punto. Armado total.    </v>
      </c>
      <c r="K727" s="26" t="s">
        <v>91</v>
      </c>
      <c r="P727" s="27">
        <v>1</v>
      </c>
      <c r="Q727" s="34">
        <v>106000</v>
      </c>
      <c r="R727" s="36">
        <f t="shared" si="100"/>
        <v>106000</v>
      </c>
      <c r="U727" s="39">
        <f t="shared" si="99"/>
        <v>0</v>
      </c>
      <c r="V727" s="41">
        <f t="shared" si="96"/>
        <v>320000</v>
      </c>
    </row>
    <row r="728" spans="1:22" x14ac:dyDescent="0.25">
      <c r="A728" s="47">
        <v>208</v>
      </c>
      <c r="B728" s="31">
        <f t="shared" si="94"/>
        <v>6</v>
      </c>
      <c r="C728" s="48">
        <f t="shared" si="97"/>
        <v>45590</v>
      </c>
      <c r="D728" s="47" t="str">
        <f t="shared" si="98"/>
        <v>Moro Sebastian</v>
      </c>
      <c r="E728" s="31" t="str">
        <f t="shared" si="101"/>
        <v>208Moro Sebastian6</v>
      </c>
      <c r="I728" s="31" t="str">
        <f t="shared" si="95"/>
        <v xml:space="preserve">Service completo. Cambio de aceite y filtros. Control general de mas de 50 puntos al vehiculo. Desarmar distribucion completa. Cambiar kit, bomba de agua, correa poly-v y liquido refrigerante. Purgado del circuito de refrigeracion. Puesta a punto. Armado total.     </v>
      </c>
      <c r="K728" s="26" t="s">
        <v>755</v>
      </c>
      <c r="P728" s="27">
        <v>7.5</v>
      </c>
      <c r="Q728" s="34">
        <v>22500</v>
      </c>
      <c r="R728" s="36">
        <f t="shared" si="100"/>
        <v>168750</v>
      </c>
      <c r="U728" s="39">
        <f t="shared" si="99"/>
        <v>0</v>
      </c>
      <c r="V728" s="41">
        <f t="shared" si="96"/>
        <v>320000</v>
      </c>
    </row>
    <row r="729" spans="1:22" x14ac:dyDescent="0.25">
      <c r="A729" s="47">
        <v>209</v>
      </c>
      <c r="B729" s="31">
        <f t="shared" si="94"/>
        <v>1</v>
      </c>
      <c r="C729" s="48">
        <v>45596</v>
      </c>
      <c r="D729" s="47" t="s">
        <v>692</v>
      </c>
      <c r="E729" s="31" t="str">
        <f t="shared" si="101"/>
        <v>209Reyes Mirta1</v>
      </c>
      <c r="G729" s="47" t="s">
        <v>693</v>
      </c>
      <c r="H729" s="26" t="s">
        <v>759</v>
      </c>
      <c r="I729" s="31" t="str">
        <f t="shared" si="95"/>
        <v>Sacar tapa de cilindros completa. Desarmar integra. Cambiar valvulas de admision y de escape. Rectificar asientos de las mismas en tapa (esmerilado). Controlar guias de valvulas. Cambiar junta tapa de cilindros, retenes de valvulas y de arboles de levas. Cambiar kit de distribucion con bomba de agua, correa poly-v. Puesta a punto. Armado total. Limpieza.</v>
      </c>
      <c r="K729" s="26" t="s">
        <v>372</v>
      </c>
      <c r="P729" s="27">
        <v>1</v>
      </c>
      <c r="Q729" s="34">
        <v>76000</v>
      </c>
      <c r="R729" s="36">
        <f t="shared" si="100"/>
        <v>76000</v>
      </c>
      <c r="S729" s="6">
        <v>1</v>
      </c>
      <c r="T729" s="7">
        <v>850000</v>
      </c>
      <c r="U729" s="39">
        <f t="shared" si="99"/>
        <v>850000</v>
      </c>
      <c r="V729" s="41">
        <f t="shared" si="96"/>
        <v>850000</v>
      </c>
    </row>
    <row r="730" spans="1:22" x14ac:dyDescent="0.25">
      <c r="A730" s="47">
        <v>209</v>
      </c>
      <c r="B730" s="31">
        <f t="shared" si="94"/>
        <v>2</v>
      </c>
      <c r="C730" s="48">
        <f t="shared" si="97"/>
        <v>45596</v>
      </c>
      <c r="D730" s="47" t="str">
        <f t="shared" si="98"/>
        <v>Reyes Mirta</v>
      </c>
      <c r="E730" s="31" t="str">
        <f t="shared" si="101"/>
        <v>209Reyes Mirta2</v>
      </c>
      <c r="I730" s="31" t="str">
        <f t="shared" si="95"/>
        <v xml:space="preserve">Sacar tapa de cilindros completa. Desarmar integra. Cambiar valvulas de admision y de escape. Rectificar asientos de las mismas en tapa (esmerilado). Controlar guias de valvulas. Cambiar junta tapa de cilindros, retenes de valvulas y de arboles de levas. Cambiar kit de distribucion con bomba de agua, correa poly-v. Puesta a punto. Armado total. Limpieza. </v>
      </c>
      <c r="K730" s="26" t="s">
        <v>757</v>
      </c>
      <c r="P730" s="27">
        <v>1</v>
      </c>
      <c r="Q730" s="34">
        <v>38000</v>
      </c>
      <c r="R730" s="36">
        <f t="shared" si="100"/>
        <v>38000</v>
      </c>
      <c r="U730" s="39">
        <f t="shared" si="99"/>
        <v>0</v>
      </c>
      <c r="V730" s="41">
        <f t="shared" si="96"/>
        <v>850000</v>
      </c>
    </row>
    <row r="731" spans="1:22" x14ac:dyDescent="0.25">
      <c r="A731" s="47">
        <v>209</v>
      </c>
      <c r="B731" s="31">
        <f t="shared" si="94"/>
        <v>3</v>
      </c>
      <c r="C731" s="48">
        <f t="shared" si="97"/>
        <v>45596</v>
      </c>
      <c r="D731" s="47" t="str">
        <f t="shared" si="98"/>
        <v>Reyes Mirta</v>
      </c>
      <c r="E731" s="31" t="str">
        <f t="shared" si="101"/>
        <v>209Reyes Mirta3</v>
      </c>
      <c r="I731" s="31" t="str">
        <f t="shared" si="95"/>
        <v xml:space="preserve">Sacar tapa de cilindros completa. Desarmar integra. Cambiar valvulas de admision y de escape. Rectificar asientos de las mismas en tapa (esmerilado). Controlar guias de valvulas. Cambiar junta tapa de cilindros, retenes de valvulas y de arboles de levas. Cambiar kit de distribucion con bomba de agua, correa poly-v. Puesta a punto. Armado total. Limpieza.  </v>
      </c>
      <c r="K731" s="26" t="s">
        <v>371</v>
      </c>
      <c r="P731" s="27">
        <v>2</v>
      </c>
      <c r="Q731" s="34">
        <v>11000</v>
      </c>
      <c r="R731" s="36">
        <f t="shared" si="100"/>
        <v>22000</v>
      </c>
      <c r="U731" s="39">
        <f t="shared" si="99"/>
        <v>0</v>
      </c>
      <c r="V731" s="41">
        <f t="shared" si="96"/>
        <v>850000</v>
      </c>
    </row>
    <row r="732" spans="1:22" x14ac:dyDescent="0.25">
      <c r="A732" s="47">
        <v>209</v>
      </c>
      <c r="B732" s="31">
        <f t="shared" si="94"/>
        <v>4</v>
      </c>
      <c r="C732" s="48">
        <f t="shared" si="97"/>
        <v>45596</v>
      </c>
      <c r="D732" s="47" t="str">
        <f t="shared" si="98"/>
        <v>Reyes Mirta</v>
      </c>
      <c r="E732" s="31" t="str">
        <f t="shared" si="101"/>
        <v>209Reyes Mirta4</v>
      </c>
      <c r="I732" s="31" t="str">
        <f t="shared" si="95"/>
        <v xml:space="preserve">Sacar tapa de cilindros completa. Desarmar integra. Cambiar valvulas de admision y de escape. Rectificar asientos de las mismas en tapa (esmerilado). Controlar guias de valvulas. Cambiar junta tapa de cilindros, retenes de valvulas y de arboles de levas. Cambiar kit de distribucion con bomba de agua, correa poly-v. Puesta a punto. Armado total. Limpieza.   </v>
      </c>
      <c r="K732" s="26" t="s">
        <v>408</v>
      </c>
      <c r="P732" s="27">
        <v>1</v>
      </c>
      <c r="Q732" s="34">
        <v>280000</v>
      </c>
      <c r="R732" s="36">
        <f t="shared" si="100"/>
        <v>280000</v>
      </c>
      <c r="U732" s="39">
        <f t="shared" si="99"/>
        <v>0</v>
      </c>
      <c r="V732" s="41">
        <f t="shared" si="96"/>
        <v>850000</v>
      </c>
    </row>
    <row r="733" spans="1:22" x14ac:dyDescent="0.25">
      <c r="A733" s="47">
        <v>209</v>
      </c>
      <c r="B733" s="31">
        <f t="shared" si="94"/>
        <v>5</v>
      </c>
      <c r="C733" s="48">
        <f t="shared" si="97"/>
        <v>45596</v>
      </c>
      <c r="D733" s="47" t="str">
        <f t="shared" si="98"/>
        <v>Reyes Mirta</v>
      </c>
      <c r="E733" s="31" t="str">
        <f t="shared" si="101"/>
        <v>209Reyes Mirta5</v>
      </c>
      <c r="I733" s="31" t="str">
        <f t="shared" si="95"/>
        <v xml:space="preserve">Sacar tapa de cilindros completa. Desarmar integra. Cambiar valvulas de admision y de escape. Rectificar asientos de las mismas en tapa (esmerilado). Controlar guias de valvulas. Cambiar junta tapa de cilindros, retenes de valvulas y de arboles de levas. Cambiar kit de distribucion con bomba de agua, correa poly-v. Puesta a punto. Armado total. Limpieza.    </v>
      </c>
      <c r="K733" s="26" t="s">
        <v>322</v>
      </c>
      <c r="P733" s="27">
        <v>1</v>
      </c>
      <c r="Q733" s="34">
        <v>28800</v>
      </c>
      <c r="R733" s="36">
        <f t="shared" si="100"/>
        <v>28800</v>
      </c>
      <c r="U733" s="39">
        <f t="shared" si="99"/>
        <v>0</v>
      </c>
      <c r="V733" s="41">
        <f t="shared" si="96"/>
        <v>850000</v>
      </c>
    </row>
    <row r="734" spans="1:22" x14ac:dyDescent="0.25">
      <c r="A734" s="47">
        <v>209</v>
      </c>
      <c r="B734" s="31">
        <f t="shared" si="94"/>
        <v>6</v>
      </c>
      <c r="C734" s="48">
        <f t="shared" si="97"/>
        <v>45596</v>
      </c>
      <c r="D734" s="47" t="str">
        <f t="shared" si="98"/>
        <v>Reyes Mirta</v>
      </c>
      <c r="E734" s="31" t="str">
        <f t="shared" si="101"/>
        <v>209Reyes Mirta6</v>
      </c>
      <c r="I734" s="31" t="str">
        <f t="shared" si="95"/>
        <v xml:space="preserve">Sacar tapa de cilindros completa. Desarmar integra. Cambiar valvulas de admision y de escape. Rectificar asientos de las mismas en tapa (esmerilado). Controlar guias de valvulas. Cambiar junta tapa de cilindros, retenes de valvulas y de arboles de levas. Cambiar kit de distribucion con bomba de agua, correa poly-v. Puesta a punto. Armado total. Limpieza.     </v>
      </c>
      <c r="K734" s="26" t="s">
        <v>758</v>
      </c>
      <c r="P734" s="27">
        <v>1</v>
      </c>
      <c r="Q734" s="34">
        <v>110000</v>
      </c>
      <c r="R734" s="36">
        <f t="shared" si="100"/>
        <v>110000</v>
      </c>
      <c r="U734" s="39">
        <f t="shared" si="99"/>
        <v>0</v>
      </c>
      <c r="V734" s="41">
        <f t="shared" si="96"/>
        <v>850000</v>
      </c>
    </row>
    <row r="735" spans="1:22" x14ac:dyDescent="0.25">
      <c r="A735" s="47">
        <v>210</v>
      </c>
      <c r="B735" s="31">
        <f t="shared" ref="B735:B798" si="102">IF(A735=A734,B734+1,1)</f>
        <v>1</v>
      </c>
      <c r="C735" s="48">
        <v>45597</v>
      </c>
      <c r="D735" s="47" t="s">
        <v>760</v>
      </c>
      <c r="E735" s="31" t="str">
        <f t="shared" si="101"/>
        <v>210Paez Ruben1</v>
      </c>
      <c r="G735" s="47" t="s">
        <v>242</v>
      </c>
      <c r="H735" s="26" t="s">
        <v>551</v>
      </c>
      <c r="I735" s="31" t="str">
        <f t="shared" ref="I735:I798" si="103">IF(A735=A734,CONCATENATE(I734," ",H735),H735)</f>
        <v>Desarmar distribucion completa. Cambiar kit, bomba de agua, correas poly-v y liquido refrigerante. Purgado del circuito de refrigeracion. Puesta a punto. Armado total.</v>
      </c>
      <c r="K735" s="26" t="s">
        <v>408</v>
      </c>
      <c r="P735" s="27">
        <v>1</v>
      </c>
      <c r="Q735" s="34">
        <v>250000</v>
      </c>
      <c r="R735" s="36">
        <f t="shared" si="100"/>
        <v>250000</v>
      </c>
      <c r="S735" s="6">
        <v>1</v>
      </c>
      <c r="T735" s="7">
        <v>180000</v>
      </c>
      <c r="U735" s="39">
        <f t="shared" si="99"/>
        <v>180000</v>
      </c>
      <c r="V735" s="41">
        <f t="shared" ref="V735:V798" si="104">IF(A735=A734,V734+U735,U735)</f>
        <v>180000</v>
      </c>
    </row>
    <row r="736" spans="1:22" x14ac:dyDescent="0.25">
      <c r="A736" s="47">
        <v>210</v>
      </c>
      <c r="B736" s="31">
        <f t="shared" si="102"/>
        <v>2</v>
      </c>
      <c r="C736" s="48">
        <f t="shared" si="97"/>
        <v>45597</v>
      </c>
      <c r="D736" s="47" t="str">
        <f t="shared" si="98"/>
        <v>Paez Ruben</v>
      </c>
      <c r="E736" s="31" t="str">
        <f t="shared" si="101"/>
        <v>210Paez Ruben2</v>
      </c>
      <c r="I736" s="31" t="str">
        <f t="shared" si="103"/>
        <v xml:space="preserve">Desarmar distribucion completa. Cambiar kit, bomba de agua, correas poly-v y liquido refrigerante. Purgado del circuito de refrigeracion. Puesta a punto. Armado total. </v>
      </c>
      <c r="K736" s="26" t="s">
        <v>322</v>
      </c>
      <c r="P736" s="27">
        <v>1</v>
      </c>
      <c r="Q736" s="34">
        <v>30000</v>
      </c>
      <c r="R736" s="36">
        <f t="shared" si="100"/>
        <v>30000</v>
      </c>
      <c r="U736" s="39">
        <f t="shared" si="99"/>
        <v>0</v>
      </c>
      <c r="V736" s="41">
        <f t="shared" si="104"/>
        <v>180000</v>
      </c>
    </row>
    <row r="737" spans="1:22" x14ac:dyDescent="0.25">
      <c r="A737" s="47">
        <v>210</v>
      </c>
      <c r="B737" s="31">
        <f t="shared" si="102"/>
        <v>3</v>
      </c>
      <c r="C737" s="48">
        <f t="shared" si="97"/>
        <v>45597</v>
      </c>
      <c r="D737" s="47" t="str">
        <f t="shared" si="98"/>
        <v>Paez Ruben</v>
      </c>
      <c r="E737" s="31" t="str">
        <f t="shared" si="101"/>
        <v>210Paez Ruben3</v>
      </c>
      <c r="I737" s="31" t="str">
        <f t="shared" si="103"/>
        <v xml:space="preserve">Desarmar distribucion completa. Cambiar kit, bomba de agua, correas poly-v y liquido refrigerante. Purgado del circuito de refrigeracion. Puesta a punto. Armado total.  </v>
      </c>
      <c r="K737" s="26" t="s">
        <v>409</v>
      </c>
      <c r="P737" s="27">
        <v>2</v>
      </c>
      <c r="Q737" s="34">
        <v>19000</v>
      </c>
      <c r="R737" s="36">
        <f t="shared" si="100"/>
        <v>38000</v>
      </c>
      <c r="U737" s="39">
        <f t="shared" si="99"/>
        <v>0</v>
      </c>
      <c r="V737" s="41">
        <f t="shared" si="104"/>
        <v>180000</v>
      </c>
    </row>
    <row r="738" spans="1:22" x14ac:dyDescent="0.25">
      <c r="A738" s="47">
        <v>210</v>
      </c>
      <c r="B738" s="31">
        <f t="shared" si="102"/>
        <v>4</v>
      </c>
      <c r="C738" s="48">
        <f t="shared" si="97"/>
        <v>45597</v>
      </c>
      <c r="D738" s="47" t="str">
        <f t="shared" si="98"/>
        <v>Paez Ruben</v>
      </c>
      <c r="E738" s="31" t="str">
        <f t="shared" si="101"/>
        <v>210Paez Ruben4</v>
      </c>
      <c r="I738" s="31" t="str">
        <f t="shared" si="103"/>
        <v xml:space="preserve">Desarmar distribucion completa. Cambiar kit, bomba de agua, correas poly-v y liquido refrigerante. Purgado del circuito de refrigeracion. Puesta a punto. Armado total.   </v>
      </c>
      <c r="K738" s="26" t="s">
        <v>410</v>
      </c>
      <c r="P738" s="27">
        <v>1</v>
      </c>
      <c r="Q738" s="34">
        <v>7000</v>
      </c>
      <c r="R738" s="36">
        <f t="shared" si="100"/>
        <v>7000</v>
      </c>
      <c r="U738" s="39">
        <f t="shared" si="99"/>
        <v>0</v>
      </c>
      <c r="V738" s="41">
        <f t="shared" si="104"/>
        <v>180000</v>
      </c>
    </row>
    <row r="739" spans="1:22" x14ac:dyDescent="0.25">
      <c r="A739" s="47">
        <v>211</v>
      </c>
      <c r="B739" s="31">
        <f t="shared" si="102"/>
        <v>1</v>
      </c>
      <c r="C739" s="48">
        <v>45600</v>
      </c>
      <c r="D739" s="47" t="s">
        <v>761</v>
      </c>
      <c r="E739" s="31" t="str">
        <f t="shared" si="101"/>
        <v>211Barovero Diego1</v>
      </c>
      <c r="G739" s="47" t="s">
        <v>156</v>
      </c>
      <c r="H739" s="26" t="s">
        <v>440</v>
      </c>
      <c r="I739" s="31" t="str">
        <f t="shared" si="103"/>
        <v>Service completo. Cambio de aceite y filtros. Control general de mas de 50 puntos del vehiculo.</v>
      </c>
      <c r="K739" s="26" t="s">
        <v>91</v>
      </c>
      <c r="P739" s="27">
        <v>1</v>
      </c>
      <c r="Q739" s="34">
        <v>42000</v>
      </c>
      <c r="R739" s="36">
        <f t="shared" si="100"/>
        <v>42000</v>
      </c>
      <c r="S739" s="6">
        <v>1</v>
      </c>
      <c r="T739" s="7">
        <v>75000</v>
      </c>
      <c r="U739" s="39">
        <f t="shared" si="99"/>
        <v>75000</v>
      </c>
      <c r="V739" s="41">
        <f t="shared" si="104"/>
        <v>75000</v>
      </c>
    </row>
    <row r="740" spans="1:22" x14ac:dyDescent="0.25">
      <c r="A740" s="47">
        <v>211</v>
      </c>
      <c r="B740" s="31">
        <f t="shared" si="102"/>
        <v>2</v>
      </c>
      <c r="C740" s="48">
        <f t="shared" ref="C740:C802" si="105">IF(A740=A739,C739,"")</f>
        <v>45600</v>
      </c>
      <c r="D740" s="47" t="str">
        <f t="shared" ref="D740:D802" si="106">IF(A740=A739,D739,"")</f>
        <v>Barovero Diego</v>
      </c>
      <c r="E740" s="31" t="str">
        <f t="shared" si="101"/>
        <v>211Barovero Diego2</v>
      </c>
      <c r="I740" s="31" t="str">
        <f t="shared" si="103"/>
        <v xml:space="preserve">Service completo. Cambio de aceite y filtros. Control general de mas de 50 puntos del vehiculo. </v>
      </c>
      <c r="K740" s="26" t="s">
        <v>108</v>
      </c>
      <c r="P740" s="27">
        <v>4</v>
      </c>
      <c r="Q740" s="34">
        <v>14000</v>
      </c>
      <c r="R740" s="36">
        <f t="shared" si="100"/>
        <v>56000</v>
      </c>
      <c r="U740" s="39">
        <f t="shared" si="99"/>
        <v>0</v>
      </c>
      <c r="V740" s="41">
        <f t="shared" si="104"/>
        <v>75000</v>
      </c>
    </row>
    <row r="741" spans="1:22" x14ac:dyDescent="0.25">
      <c r="A741" s="47">
        <v>212</v>
      </c>
      <c r="B741" s="31">
        <f t="shared" si="102"/>
        <v>1</v>
      </c>
      <c r="C741" s="48">
        <v>45601</v>
      </c>
      <c r="D741" s="47" t="s">
        <v>762</v>
      </c>
      <c r="E741" s="31" t="str">
        <f t="shared" si="101"/>
        <v>212Salas Jesus1</v>
      </c>
      <c r="G741" s="47" t="s">
        <v>555</v>
      </c>
      <c r="H741" s="26" t="s">
        <v>752</v>
      </c>
      <c r="I741" s="31" t="str">
        <f t="shared" si="103"/>
        <v>Service completo. Cambio de aceite y filtros. Control general de mas de 50 puntos al vehiculo. Desarmar distribucion completa. Cambiar kit, bomba de agua, correa poly-v y liquido refrigerante. Purgado del circuito de refrigeracion. Puesta a punto. Armado total.</v>
      </c>
      <c r="K741" s="26" t="s">
        <v>408</v>
      </c>
      <c r="P741" s="27">
        <v>1</v>
      </c>
      <c r="Q741" s="34">
        <v>280000</v>
      </c>
      <c r="R741" s="36">
        <f t="shared" si="100"/>
        <v>280000</v>
      </c>
      <c r="S741" s="6">
        <v>1</v>
      </c>
      <c r="T741" s="7">
        <v>275000</v>
      </c>
      <c r="U741" s="39">
        <f t="shared" si="99"/>
        <v>275000</v>
      </c>
      <c r="V741" s="41">
        <f t="shared" si="104"/>
        <v>275000</v>
      </c>
    </row>
    <row r="742" spans="1:22" x14ac:dyDescent="0.25">
      <c r="A742" s="47">
        <v>212</v>
      </c>
      <c r="B742" s="31">
        <f t="shared" si="102"/>
        <v>2</v>
      </c>
      <c r="C742" s="48">
        <f t="shared" si="105"/>
        <v>45601</v>
      </c>
      <c r="D742" s="47" t="str">
        <f t="shared" si="106"/>
        <v>Salas Jesus</v>
      </c>
      <c r="E742" s="31" t="str">
        <f t="shared" si="101"/>
        <v>212Salas Jesus2</v>
      </c>
      <c r="I742" s="31" t="str">
        <f t="shared" si="103"/>
        <v xml:space="preserve">Service completo. Cambio de aceite y filtros. Control general de mas de 50 puntos al vehiculo. Desarmar distribucion completa. Cambiar kit, bomba de agua, correa poly-v y liquido refrigerante. Purgado del circuito de refrigeracion. Puesta a punto. Armado total. </v>
      </c>
      <c r="K742" s="26" t="s">
        <v>322</v>
      </c>
      <c r="P742" s="27">
        <v>1</v>
      </c>
      <c r="Q742" s="34">
        <v>31000</v>
      </c>
      <c r="R742" s="36">
        <f t="shared" si="100"/>
        <v>31000</v>
      </c>
      <c r="U742" s="39">
        <f t="shared" si="99"/>
        <v>0</v>
      </c>
      <c r="V742" s="41">
        <f t="shared" si="104"/>
        <v>275000</v>
      </c>
    </row>
    <row r="743" spans="1:22" x14ac:dyDescent="0.25">
      <c r="A743" s="47">
        <v>212</v>
      </c>
      <c r="B743" s="31">
        <f t="shared" si="102"/>
        <v>3</v>
      </c>
      <c r="C743" s="48">
        <f t="shared" si="105"/>
        <v>45601</v>
      </c>
      <c r="D743" s="47" t="str">
        <f t="shared" si="106"/>
        <v>Salas Jesus</v>
      </c>
      <c r="E743" s="31" t="str">
        <f t="shared" si="101"/>
        <v>212Salas Jesus3</v>
      </c>
      <c r="I743" s="31" t="str">
        <f t="shared" si="103"/>
        <v xml:space="preserve">Service completo. Cambio de aceite y filtros. Control general de mas de 50 puntos al vehiculo. Desarmar distribucion completa. Cambiar kit, bomba de agua, correa poly-v y liquido refrigerante. Purgado del circuito de refrigeracion. Puesta a punto. Armado total.  </v>
      </c>
      <c r="K743" s="26" t="s">
        <v>409</v>
      </c>
      <c r="P743" s="27">
        <v>2</v>
      </c>
      <c r="Q743" s="34">
        <v>19000</v>
      </c>
      <c r="R743" s="36">
        <f t="shared" si="100"/>
        <v>38000</v>
      </c>
      <c r="U743" s="39">
        <f t="shared" si="99"/>
        <v>0</v>
      </c>
      <c r="V743" s="41">
        <f t="shared" si="104"/>
        <v>275000</v>
      </c>
    </row>
    <row r="744" spans="1:22" x14ac:dyDescent="0.25">
      <c r="A744" s="47">
        <v>212</v>
      </c>
      <c r="B744" s="31">
        <f t="shared" si="102"/>
        <v>4</v>
      </c>
      <c r="C744" s="48">
        <f t="shared" si="105"/>
        <v>45601</v>
      </c>
      <c r="D744" s="47" t="str">
        <f t="shared" si="106"/>
        <v>Salas Jesus</v>
      </c>
      <c r="E744" s="31" t="str">
        <f t="shared" si="101"/>
        <v>212Salas Jesus4</v>
      </c>
      <c r="I744" s="31" t="str">
        <f t="shared" si="103"/>
        <v xml:space="preserve">Service completo. Cambio de aceite y filtros. Control general de mas de 50 puntos al vehiculo. Desarmar distribucion completa. Cambiar kit, bomba de agua, correa poly-v y liquido refrigerante. Purgado del circuito de refrigeracion. Puesta a punto. Armado total.   </v>
      </c>
      <c r="K744" s="26" t="s">
        <v>410</v>
      </c>
      <c r="P744" s="27">
        <v>1</v>
      </c>
      <c r="Q744" s="34">
        <v>7000</v>
      </c>
      <c r="R744" s="36">
        <f t="shared" si="100"/>
        <v>7000</v>
      </c>
      <c r="U744" s="39">
        <f t="shared" si="99"/>
        <v>0</v>
      </c>
      <c r="V744" s="41">
        <f t="shared" si="104"/>
        <v>275000</v>
      </c>
    </row>
    <row r="745" spans="1:22" x14ac:dyDescent="0.25">
      <c r="A745" s="47">
        <v>212</v>
      </c>
      <c r="B745" s="31">
        <f t="shared" si="102"/>
        <v>5</v>
      </c>
      <c r="C745" s="48">
        <f t="shared" si="105"/>
        <v>45601</v>
      </c>
      <c r="D745" s="47" t="str">
        <f t="shared" si="106"/>
        <v>Salas Jesus</v>
      </c>
      <c r="E745" s="31" t="str">
        <f t="shared" si="101"/>
        <v>212Salas Jesus5</v>
      </c>
      <c r="I745" s="31" t="str">
        <f t="shared" si="103"/>
        <v xml:space="preserve">Service completo. Cambio de aceite y filtros. Control general de mas de 50 puntos al vehiculo. Desarmar distribucion completa. Cambiar kit, bomba de agua, correa poly-v y liquido refrigerante. Purgado del circuito de refrigeracion. Puesta a punto. Armado total.    </v>
      </c>
      <c r="K745" s="26" t="s">
        <v>91</v>
      </c>
      <c r="P745" s="27">
        <v>1</v>
      </c>
      <c r="Q745" s="34">
        <v>38000</v>
      </c>
      <c r="R745" s="36">
        <f t="shared" si="100"/>
        <v>38000</v>
      </c>
      <c r="U745" s="39">
        <f t="shared" si="99"/>
        <v>0</v>
      </c>
      <c r="V745" s="41">
        <f t="shared" si="104"/>
        <v>275000</v>
      </c>
    </row>
    <row r="746" spans="1:22" x14ac:dyDescent="0.25">
      <c r="A746" s="47">
        <v>212</v>
      </c>
      <c r="B746" s="31">
        <f t="shared" si="102"/>
        <v>6</v>
      </c>
      <c r="C746" s="48">
        <f t="shared" si="105"/>
        <v>45601</v>
      </c>
      <c r="D746" s="47" t="str">
        <f t="shared" si="106"/>
        <v>Salas Jesus</v>
      </c>
      <c r="E746" s="31" t="str">
        <f t="shared" si="101"/>
        <v>212Salas Jesus6</v>
      </c>
      <c r="I746" s="31" t="str">
        <f t="shared" si="103"/>
        <v xml:space="preserve">Service completo. Cambio de aceite y filtros. Control general de mas de 50 puntos al vehiculo. Desarmar distribucion completa. Cambiar kit, bomba de agua, correa poly-v y liquido refrigerante. Purgado del circuito de refrigeracion. Puesta a punto. Armado total.     </v>
      </c>
      <c r="K746" s="26" t="s">
        <v>108</v>
      </c>
      <c r="P746" s="27">
        <v>4</v>
      </c>
      <c r="Q746" s="34">
        <v>15000</v>
      </c>
      <c r="R746" s="36">
        <f t="shared" si="100"/>
        <v>60000</v>
      </c>
      <c r="U746" s="39">
        <f t="shared" si="99"/>
        <v>0</v>
      </c>
      <c r="V746" s="41">
        <f t="shared" si="104"/>
        <v>275000</v>
      </c>
    </row>
    <row r="747" spans="1:22" x14ac:dyDescent="0.25">
      <c r="A747" s="47">
        <v>213</v>
      </c>
      <c r="B747" s="31">
        <f t="shared" si="102"/>
        <v>1</v>
      </c>
      <c r="C747" s="48">
        <v>45602</v>
      </c>
      <c r="D747" s="47" t="s">
        <v>763</v>
      </c>
      <c r="E747" s="31" t="str">
        <f t="shared" si="101"/>
        <v>213Manzuino Alberto1</v>
      </c>
      <c r="G747" s="47" t="s">
        <v>403</v>
      </c>
      <c r="H747" s="26" t="s">
        <v>764</v>
      </c>
      <c r="I747" s="31" t="str">
        <f t="shared" si="103"/>
        <v xml:space="preserve">Cambiar ambos amortiguadores traseros. Colocar topes y fuelles nuevos. Armado total. Regular convergencia. </v>
      </c>
      <c r="K747" s="26" t="s">
        <v>101</v>
      </c>
      <c r="P747" s="27"/>
      <c r="Q747" s="34"/>
      <c r="R747" s="36">
        <f t="shared" si="100"/>
        <v>0</v>
      </c>
      <c r="S747" s="6">
        <v>1</v>
      </c>
      <c r="T747" s="7">
        <v>140000</v>
      </c>
      <c r="U747" s="39">
        <f t="shared" si="99"/>
        <v>140000</v>
      </c>
      <c r="V747" s="41">
        <f t="shared" si="104"/>
        <v>140000</v>
      </c>
    </row>
    <row r="748" spans="1:22" x14ac:dyDescent="0.25">
      <c r="A748" s="47">
        <v>213</v>
      </c>
      <c r="B748" s="31">
        <f t="shared" si="102"/>
        <v>2</v>
      </c>
      <c r="C748" s="48">
        <f t="shared" si="105"/>
        <v>45602</v>
      </c>
      <c r="D748" s="47" t="str">
        <f t="shared" si="106"/>
        <v>Manzuino Alberto</v>
      </c>
      <c r="E748" s="31" t="str">
        <f t="shared" si="101"/>
        <v>213Manzuino Alberto2</v>
      </c>
      <c r="I748" s="31" t="str">
        <f t="shared" si="103"/>
        <v xml:space="preserve">Cambiar ambos amortiguadores traseros. Colocar topes y fuelles nuevos. Armado total. Regular convergencia.  </v>
      </c>
      <c r="K748" s="26" t="s">
        <v>435</v>
      </c>
      <c r="P748" s="27">
        <v>2</v>
      </c>
      <c r="Q748" s="34">
        <v>60000</v>
      </c>
      <c r="R748" s="36">
        <f t="shared" si="100"/>
        <v>120000</v>
      </c>
      <c r="U748" s="39">
        <f t="shared" si="99"/>
        <v>0</v>
      </c>
      <c r="V748" s="41">
        <f t="shared" si="104"/>
        <v>140000</v>
      </c>
    </row>
    <row r="749" spans="1:22" x14ac:dyDescent="0.25">
      <c r="A749" s="47">
        <v>213</v>
      </c>
      <c r="B749" s="31">
        <f t="shared" si="102"/>
        <v>3</v>
      </c>
      <c r="C749" s="48">
        <f t="shared" si="105"/>
        <v>45602</v>
      </c>
      <c r="D749" s="47" t="str">
        <f t="shared" si="106"/>
        <v>Manzuino Alberto</v>
      </c>
      <c r="E749" s="31" t="str">
        <f t="shared" si="101"/>
        <v>213Manzuino Alberto3</v>
      </c>
      <c r="I749" s="31" t="str">
        <f t="shared" si="103"/>
        <v xml:space="preserve">Cambiar ambos amortiguadores traseros. Colocar topes y fuelles nuevos. Armado total. Regular convergencia.   </v>
      </c>
      <c r="K749" s="26" t="s">
        <v>536</v>
      </c>
      <c r="P749" s="27">
        <v>2</v>
      </c>
      <c r="Q749" s="34">
        <v>18000</v>
      </c>
      <c r="R749" s="36">
        <f t="shared" si="100"/>
        <v>36000</v>
      </c>
      <c r="U749" s="39">
        <f t="shared" si="99"/>
        <v>0</v>
      </c>
      <c r="V749" s="41">
        <f t="shared" si="104"/>
        <v>140000</v>
      </c>
    </row>
    <row r="750" spans="1:22" x14ac:dyDescent="0.25">
      <c r="A750" s="47">
        <v>214</v>
      </c>
      <c r="B750" s="31">
        <f t="shared" si="102"/>
        <v>1</v>
      </c>
      <c r="C750" s="48">
        <v>45607</v>
      </c>
      <c r="D750" s="47" t="s">
        <v>765</v>
      </c>
      <c r="E750" s="31" t="str">
        <f t="shared" si="101"/>
        <v>214Lucero Silvana1</v>
      </c>
      <c r="G750" s="47" t="s">
        <v>242</v>
      </c>
      <c r="H750" s="26" t="s">
        <v>752</v>
      </c>
      <c r="I750" s="31" t="str">
        <f t="shared" si="103"/>
        <v>Service completo. Cambio de aceite y filtros. Control general de mas de 50 puntos al vehiculo. Desarmar distribucion completa. Cambiar kit, bomba de agua, correa poly-v y liquido refrigerante. Purgado del circuito de refrigeracion. Puesta a punto. Armado total.</v>
      </c>
      <c r="K750" s="26" t="s">
        <v>408</v>
      </c>
      <c r="P750" s="27">
        <v>1</v>
      </c>
      <c r="Q750" s="34">
        <v>250000</v>
      </c>
      <c r="R750" s="36">
        <f t="shared" si="100"/>
        <v>250000</v>
      </c>
      <c r="S750" s="6">
        <v>1</v>
      </c>
      <c r="T750" s="7">
        <v>250000</v>
      </c>
      <c r="U750" s="39">
        <f t="shared" si="99"/>
        <v>250000</v>
      </c>
      <c r="V750" s="41">
        <f t="shared" si="104"/>
        <v>250000</v>
      </c>
    </row>
    <row r="751" spans="1:22" x14ac:dyDescent="0.25">
      <c r="A751" s="47">
        <v>214</v>
      </c>
      <c r="B751" s="31">
        <f t="shared" si="102"/>
        <v>2</v>
      </c>
      <c r="C751" s="48">
        <f t="shared" si="105"/>
        <v>45607</v>
      </c>
      <c r="D751" s="47" t="str">
        <f t="shared" si="106"/>
        <v>Lucero Silvana</v>
      </c>
      <c r="E751" s="31" t="str">
        <f t="shared" si="101"/>
        <v>214Lucero Silvana2</v>
      </c>
      <c r="I751" s="31" t="str">
        <f t="shared" si="103"/>
        <v xml:space="preserve">Service completo. Cambio de aceite y filtros. Control general de mas de 50 puntos al vehiculo. Desarmar distribucion completa. Cambiar kit, bomba de agua, correa poly-v y liquido refrigerante. Purgado del circuito de refrigeracion. Puesta a punto. Armado total. </v>
      </c>
      <c r="K751" s="26" t="s">
        <v>322</v>
      </c>
      <c r="P751" s="27">
        <v>1</v>
      </c>
      <c r="Q751" s="34">
        <v>30000</v>
      </c>
      <c r="R751" s="36">
        <f t="shared" si="100"/>
        <v>30000</v>
      </c>
      <c r="U751" s="39">
        <f t="shared" si="99"/>
        <v>0</v>
      </c>
      <c r="V751" s="41">
        <f t="shared" si="104"/>
        <v>250000</v>
      </c>
    </row>
    <row r="752" spans="1:22" x14ac:dyDescent="0.25">
      <c r="A752" s="47">
        <v>214</v>
      </c>
      <c r="B752" s="31">
        <f t="shared" si="102"/>
        <v>3</v>
      </c>
      <c r="C752" s="48">
        <f t="shared" si="105"/>
        <v>45607</v>
      </c>
      <c r="D752" s="47" t="str">
        <f t="shared" si="106"/>
        <v>Lucero Silvana</v>
      </c>
      <c r="E752" s="31" t="str">
        <f t="shared" si="101"/>
        <v>214Lucero Silvana3</v>
      </c>
      <c r="I752" s="31" t="str">
        <f t="shared" si="103"/>
        <v xml:space="preserve">Service completo. Cambio de aceite y filtros. Control general de mas de 50 puntos al vehiculo. Desarmar distribucion completa. Cambiar kit, bomba de agua, correa poly-v y liquido refrigerante. Purgado del circuito de refrigeracion. Puesta a punto. Armado total.  </v>
      </c>
      <c r="K752" s="26" t="s">
        <v>409</v>
      </c>
      <c r="P752" s="27">
        <v>2</v>
      </c>
      <c r="Q752" s="34">
        <v>19000</v>
      </c>
      <c r="R752" s="36">
        <f t="shared" si="100"/>
        <v>38000</v>
      </c>
      <c r="U752" s="39">
        <f t="shared" si="99"/>
        <v>0</v>
      </c>
      <c r="V752" s="41">
        <f t="shared" si="104"/>
        <v>250000</v>
      </c>
    </row>
    <row r="753" spans="1:22" x14ac:dyDescent="0.25">
      <c r="A753" s="47">
        <v>214</v>
      </c>
      <c r="B753" s="31">
        <f t="shared" si="102"/>
        <v>4</v>
      </c>
      <c r="C753" s="48">
        <f t="shared" si="105"/>
        <v>45607</v>
      </c>
      <c r="D753" s="47" t="str">
        <f t="shared" si="106"/>
        <v>Lucero Silvana</v>
      </c>
      <c r="E753" s="31" t="str">
        <f t="shared" si="101"/>
        <v>214Lucero Silvana4</v>
      </c>
      <c r="I753" s="31" t="str">
        <f t="shared" si="103"/>
        <v xml:space="preserve">Service completo. Cambio de aceite y filtros. Control general de mas de 50 puntos al vehiculo. Desarmar distribucion completa. Cambiar kit, bomba de agua, correa poly-v y liquido refrigerante. Purgado del circuito de refrigeracion. Puesta a punto. Armado total.   </v>
      </c>
      <c r="K753" s="26" t="s">
        <v>410</v>
      </c>
      <c r="P753" s="27">
        <v>1</v>
      </c>
      <c r="Q753" s="34">
        <v>7000</v>
      </c>
      <c r="R753" s="36">
        <f t="shared" si="100"/>
        <v>7000</v>
      </c>
      <c r="U753" s="39">
        <f t="shared" si="99"/>
        <v>0</v>
      </c>
      <c r="V753" s="41">
        <f t="shared" si="104"/>
        <v>250000</v>
      </c>
    </row>
    <row r="754" spans="1:22" x14ac:dyDescent="0.25">
      <c r="A754" s="47">
        <v>214</v>
      </c>
      <c r="B754" s="31">
        <f t="shared" si="102"/>
        <v>5</v>
      </c>
      <c r="C754" s="48">
        <f t="shared" si="105"/>
        <v>45607</v>
      </c>
      <c r="D754" s="47" t="str">
        <f t="shared" si="106"/>
        <v>Lucero Silvana</v>
      </c>
      <c r="E754" s="31" t="str">
        <f t="shared" si="101"/>
        <v>214Lucero Silvana5</v>
      </c>
      <c r="I754" s="31" t="str">
        <f t="shared" si="103"/>
        <v xml:space="preserve">Service completo. Cambio de aceite y filtros. Control general de mas de 50 puntos al vehiculo. Desarmar distribucion completa. Cambiar kit, bomba de agua, correa poly-v y liquido refrigerante. Purgado del circuito de refrigeracion. Puesta a punto. Armado total.    </v>
      </c>
      <c r="K754" s="26" t="s">
        <v>91</v>
      </c>
      <c r="P754" s="27">
        <v>1</v>
      </c>
      <c r="Q754" s="34">
        <v>48000</v>
      </c>
      <c r="R754" s="36">
        <f t="shared" si="100"/>
        <v>48000</v>
      </c>
      <c r="U754" s="39">
        <f t="shared" si="99"/>
        <v>0</v>
      </c>
      <c r="V754" s="41">
        <f t="shared" si="104"/>
        <v>250000</v>
      </c>
    </row>
    <row r="755" spans="1:22" x14ac:dyDescent="0.25">
      <c r="A755" s="47">
        <v>214</v>
      </c>
      <c r="B755" s="31">
        <f t="shared" si="102"/>
        <v>6</v>
      </c>
      <c r="C755" s="48">
        <f t="shared" si="105"/>
        <v>45607</v>
      </c>
      <c r="D755" s="47" t="str">
        <f t="shared" si="106"/>
        <v>Lucero Silvana</v>
      </c>
      <c r="E755" s="31" t="str">
        <f t="shared" si="101"/>
        <v>214Lucero Silvana6</v>
      </c>
      <c r="I755" s="31" t="str">
        <f t="shared" si="103"/>
        <v xml:space="preserve">Service completo. Cambio de aceite y filtros. Control general de mas de 50 puntos al vehiculo. Desarmar distribucion completa. Cambiar kit, bomba de agua, correa poly-v y liquido refrigerante. Purgado del circuito de refrigeracion. Puesta a punto. Armado total.     </v>
      </c>
      <c r="K755" s="26" t="s">
        <v>90</v>
      </c>
      <c r="P755" s="27">
        <v>4</v>
      </c>
      <c r="Q755" s="34">
        <v>20000</v>
      </c>
      <c r="R755" s="36">
        <f t="shared" si="100"/>
        <v>80000</v>
      </c>
      <c r="U755" s="39">
        <f t="shared" si="99"/>
        <v>0</v>
      </c>
      <c r="V755" s="41">
        <f t="shared" si="104"/>
        <v>250000</v>
      </c>
    </row>
    <row r="756" spans="1:22" x14ac:dyDescent="0.25">
      <c r="A756" s="47">
        <v>215</v>
      </c>
      <c r="B756" s="31">
        <f t="shared" si="102"/>
        <v>1</v>
      </c>
      <c r="C756" s="48">
        <v>45607</v>
      </c>
      <c r="D756" s="47" t="s">
        <v>766</v>
      </c>
      <c r="E756" s="31" t="str">
        <f t="shared" si="101"/>
        <v>215Manito Roxana1</v>
      </c>
      <c r="G756" s="47" t="s">
        <v>403</v>
      </c>
      <c r="H756" s="26" t="s">
        <v>767</v>
      </c>
      <c r="I756" s="31" t="str">
        <f t="shared" si="103"/>
        <v>Desarmar distribucion completa. Cambiar kit, bomba de agua, correa poly-v y liquido refrigerante. Purgado del circuito de refrigeracion. Puesta a punto. Armado total. Control del tren delantero. Cambiar rotulas.</v>
      </c>
      <c r="K756" s="26" t="s">
        <v>552</v>
      </c>
      <c r="P756" s="27">
        <v>1</v>
      </c>
      <c r="Q756" s="34">
        <v>170000</v>
      </c>
      <c r="R756" s="36">
        <f t="shared" si="100"/>
        <v>170000</v>
      </c>
      <c r="S756" s="6">
        <v>1</v>
      </c>
      <c r="T756" s="7">
        <v>300000</v>
      </c>
      <c r="U756" s="39">
        <f t="shared" si="99"/>
        <v>300000</v>
      </c>
      <c r="V756" s="41">
        <f t="shared" si="104"/>
        <v>300000</v>
      </c>
    </row>
    <row r="757" spans="1:22" x14ac:dyDescent="0.25">
      <c r="A757" s="47">
        <v>215</v>
      </c>
      <c r="B757" s="31">
        <f t="shared" si="102"/>
        <v>2</v>
      </c>
      <c r="C757" s="48">
        <f t="shared" si="105"/>
        <v>45607</v>
      </c>
      <c r="D757" s="47" t="str">
        <f t="shared" si="106"/>
        <v>Manito Roxana</v>
      </c>
      <c r="E757" s="31" t="str">
        <f t="shared" si="101"/>
        <v>215Manito Roxana2</v>
      </c>
      <c r="I757" s="31" t="str">
        <f t="shared" si="103"/>
        <v xml:space="preserve">Desarmar distribucion completa. Cambiar kit, bomba de agua, correa poly-v y liquido refrigerante. Purgado del circuito de refrigeracion. Puesta a punto. Armado total. Control del tren delantero. Cambiar rotulas. </v>
      </c>
      <c r="K757" s="26" t="s">
        <v>409</v>
      </c>
      <c r="P757" s="27">
        <v>2</v>
      </c>
      <c r="Q757" s="34">
        <v>19000</v>
      </c>
      <c r="R757" s="36">
        <f t="shared" si="100"/>
        <v>38000</v>
      </c>
      <c r="U757" s="39">
        <f t="shared" si="99"/>
        <v>0</v>
      </c>
      <c r="V757" s="41">
        <f t="shared" si="104"/>
        <v>300000</v>
      </c>
    </row>
    <row r="758" spans="1:22" x14ac:dyDescent="0.25">
      <c r="A758" s="47">
        <v>215</v>
      </c>
      <c r="B758" s="31">
        <f t="shared" si="102"/>
        <v>3</v>
      </c>
      <c r="C758" s="48">
        <f t="shared" si="105"/>
        <v>45607</v>
      </c>
      <c r="D758" s="47" t="str">
        <f t="shared" si="106"/>
        <v>Manito Roxana</v>
      </c>
      <c r="E758" s="31" t="str">
        <f t="shared" si="101"/>
        <v>215Manito Roxana3</v>
      </c>
      <c r="I758" s="31" t="str">
        <f t="shared" si="103"/>
        <v xml:space="preserve">Desarmar distribucion completa. Cambiar kit, bomba de agua, correa poly-v y liquido refrigerante. Purgado del circuito de refrigeracion. Puesta a punto. Armado total. Control del tren delantero. Cambiar rotulas.  </v>
      </c>
      <c r="K758" s="26" t="s">
        <v>410</v>
      </c>
      <c r="P758" s="27">
        <v>1</v>
      </c>
      <c r="Q758" s="34">
        <v>7000</v>
      </c>
      <c r="R758" s="36">
        <f t="shared" si="100"/>
        <v>7000</v>
      </c>
      <c r="U758" s="39">
        <f t="shared" si="99"/>
        <v>0</v>
      </c>
      <c r="V758" s="41">
        <f t="shared" si="104"/>
        <v>300000</v>
      </c>
    </row>
    <row r="759" spans="1:22" x14ac:dyDescent="0.25">
      <c r="A759" s="47">
        <v>215</v>
      </c>
      <c r="B759" s="31">
        <f t="shared" si="102"/>
        <v>4</v>
      </c>
      <c r="C759" s="48">
        <f t="shared" si="105"/>
        <v>45607</v>
      </c>
      <c r="D759" s="47" t="str">
        <f t="shared" si="106"/>
        <v>Manito Roxana</v>
      </c>
      <c r="E759" s="31" t="str">
        <f t="shared" si="101"/>
        <v>215Manito Roxana4</v>
      </c>
      <c r="I759" s="31" t="str">
        <f t="shared" si="103"/>
        <v xml:space="preserve">Desarmar distribucion completa. Cambiar kit, bomba de agua, correa poly-v y liquido refrigerante. Purgado del circuito de refrigeracion. Puesta a punto. Armado total. Control del tren delantero. Cambiar rotulas.   </v>
      </c>
      <c r="K759" s="26" t="s">
        <v>672</v>
      </c>
      <c r="P759" s="27">
        <v>2</v>
      </c>
      <c r="Q759" s="34">
        <v>34000</v>
      </c>
      <c r="R759" s="36">
        <f t="shared" si="100"/>
        <v>68000</v>
      </c>
      <c r="U759" s="39">
        <f t="shared" si="99"/>
        <v>0</v>
      </c>
      <c r="V759" s="41">
        <f t="shared" si="104"/>
        <v>300000</v>
      </c>
    </row>
    <row r="760" spans="1:22" x14ac:dyDescent="0.25">
      <c r="A760" s="47">
        <v>216</v>
      </c>
      <c r="B760" s="31">
        <f t="shared" si="102"/>
        <v>1</v>
      </c>
      <c r="C760" s="48">
        <v>45607</v>
      </c>
      <c r="D760" s="47" t="s">
        <v>768</v>
      </c>
      <c r="E760" s="31" t="str">
        <f t="shared" si="101"/>
        <v>216Grich Claudia1</v>
      </c>
      <c r="G760" s="47" t="s">
        <v>769</v>
      </c>
      <c r="H760" s="26" t="s">
        <v>440</v>
      </c>
      <c r="I760" s="31" t="str">
        <f t="shared" si="103"/>
        <v>Service completo. Cambio de aceite y filtros. Control general de mas de 50 puntos del vehiculo.</v>
      </c>
      <c r="K760" s="26" t="s">
        <v>91</v>
      </c>
      <c r="P760" s="27">
        <v>1</v>
      </c>
      <c r="Q760" s="34">
        <v>40000</v>
      </c>
      <c r="R760" s="36">
        <f t="shared" si="100"/>
        <v>40000</v>
      </c>
      <c r="S760" s="6">
        <v>1</v>
      </c>
      <c r="T760" s="7">
        <v>80000</v>
      </c>
      <c r="U760" s="39">
        <f t="shared" si="99"/>
        <v>80000</v>
      </c>
      <c r="V760" s="41">
        <f t="shared" si="104"/>
        <v>80000</v>
      </c>
    </row>
    <row r="761" spans="1:22" x14ac:dyDescent="0.25">
      <c r="A761" s="47">
        <v>216</v>
      </c>
      <c r="B761" s="31">
        <f t="shared" si="102"/>
        <v>2</v>
      </c>
      <c r="C761" s="48">
        <f t="shared" si="105"/>
        <v>45607</v>
      </c>
      <c r="D761" s="47" t="str">
        <f t="shared" si="106"/>
        <v>Grich Claudia</v>
      </c>
      <c r="E761" s="31" t="str">
        <f t="shared" si="101"/>
        <v>216Grich Claudia2</v>
      </c>
      <c r="I761" s="31" t="str">
        <f t="shared" si="103"/>
        <v xml:space="preserve">Service completo. Cambio de aceite y filtros. Control general de mas de 50 puntos del vehiculo. </v>
      </c>
      <c r="K761" s="26" t="s">
        <v>108</v>
      </c>
      <c r="P761" s="27">
        <v>4</v>
      </c>
      <c r="Q761" s="34">
        <v>15000</v>
      </c>
      <c r="R761" s="36">
        <f t="shared" si="100"/>
        <v>60000</v>
      </c>
      <c r="U761" s="39">
        <f t="shared" si="99"/>
        <v>0</v>
      </c>
      <c r="V761" s="41">
        <f t="shared" si="104"/>
        <v>80000</v>
      </c>
    </row>
    <row r="762" spans="1:22" x14ac:dyDescent="0.25">
      <c r="A762" s="47">
        <v>217</v>
      </c>
      <c r="B762" s="31">
        <f t="shared" si="102"/>
        <v>1</v>
      </c>
      <c r="C762" s="48">
        <v>45616</v>
      </c>
      <c r="D762" s="47" t="s">
        <v>770</v>
      </c>
      <c r="E762" s="31" t="str">
        <f t="shared" si="101"/>
        <v>217Sr Calderon1</v>
      </c>
      <c r="G762" s="47" t="s">
        <v>771</v>
      </c>
      <c r="H762" s="26" t="s">
        <v>772</v>
      </c>
      <c r="I762" s="31" t="str">
        <f t="shared" si="103"/>
        <v xml:space="preserve">Cambiar ambos amortiguadores traseros y delanteros. Colocar topes y fuelles nuevos. Armado total. Regular convergencia. </v>
      </c>
      <c r="K762" s="26" t="s">
        <v>101</v>
      </c>
      <c r="P762" s="27">
        <v>2</v>
      </c>
      <c r="Q762" s="34">
        <v>125000</v>
      </c>
      <c r="R762" s="36">
        <f t="shared" si="100"/>
        <v>250000</v>
      </c>
      <c r="S762" s="6">
        <v>1</v>
      </c>
      <c r="T762" s="7">
        <v>250000</v>
      </c>
      <c r="U762" s="39">
        <f t="shared" si="99"/>
        <v>250000</v>
      </c>
      <c r="V762" s="41">
        <f t="shared" si="104"/>
        <v>250000</v>
      </c>
    </row>
    <row r="763" spans="1:22" x14ac:dyDescent="0.25">
      <c r="A763" s="47">
        <v>217</v>
      </c>
      <c r="B763" s="31">
        <f t="shared" si="102"/>
        <v>2</v>
      </c>
      <c r="C763" s="48">
        <f t="shared" si="105"/>
        <v>45616</v>
      </c>
      <c r="D763" s="47" t="str">
        <f t="shared" si="106"/>
        <v>Sr Calderon</v>
      </c>
      <c r="E763" s="31" t="str">
        <f t="shared" si="101"/>
        <v>217Sr Calderon2</v>
      </c>
      <c r="I763" s="31" t="str">
        <f t="shared" si="103"/>
        <v xml:space="preserve">Cambiar ambos amortiguadores traseros y delanteros. Colocar topes y fuelles nuevos. Armado total. Regular convergencia.  </v>
      </c>
      <c r="K763" s="26" t="s">
        <v>435</v>
      </c>
      <c r="P763" s="27">
        <v>2</v>
      </c>
      <c r="Q763" s="34">
        <v>40000</v>
      </c>
      <c r="R763" s="36">
        <f t="shared" si="100"/>
        <v>80000</v>
      </c>
      <c r="U763" s="39">
        <f t="shared" si="99"/>
        <v>0</v>
      </c>
      <c r="V763" s="41">
        <f t="shared" si="104"/>
        <v>250000</v>
      </c>
    </row>
    <row r="764" spans="1:22" x14ac:dyDescent="0.25">
      <c r="A764" s="47">
        <v>217</v>
      </c>
      <c r="B764" s="31">
        <f t="shared" si="102"/>
        <v>3</v>
      </c>
      <c r="C764" s="48">
        <f t="shared" si="105"/>
        <v>45616</v>
      </c>
      <c r="D764" s="47" t="str">
        <f t="shared" si="106"/>
        <v>Sr Calderon</v>
      </c>
      <c r="E764" s="31" t="str">
        <f t="shared" si="101"/>
        <v>217Sr Calderon3</v>
      </c>
      <c r="I764" s="31" t="str">
        <f t="shared" si="103"/>
        <v xml:space="preserve">Cambiar ambos amortiguadores traseros y delanteros. Colocar topes y fuelles nuevos. Armado total. Regular convergencia.   </v>
      </c>
      <c r="K764" s="26" t="s">
        <v>536</v>
      </c>
      <c r="P764" s="27">
        <v>4</v>
      </c>
      <c r="Q764" s="34">
        <v>14000</v>
      </c>
      <c r="R764" s="36">
        <f t="shared" si="100"/>
        <v>56000</v>
      </c>
      <c r="U764" s="39">
        <f t="shared" si="99"/>
        <v>0</v>
      </c>
      <c r="V764" s="41">
        <f t="shared" si="104"/>
        <v>250000</v>
      </c>
    </row>
    <row r="765" spans="1:22" x14ac:dyDescent="0.25">
      <c r="A765" s="47">
        <v>218</v>
      </c>
      <c r="B765" s="31">
        <f t="shared" si="102"/>
        <v>1</v>
      </c>
      <c r="C765" s="48">
        <v>45617</v>
      </c>
      <c r="D765" s="47" t="s">
        <v>473</v>
      </c>
      <c r="E765" s="31" t="str">
        <f t="shared" si="101"/>
        <v>218Ramanzin Enrique1</v>
      </c>
      <c r="G765" s="47" t="s">
        <v>680</v>
      </c>
      <c r="H765" s="26" t="s">
        <v>773</v>
      </c>
      <c r="I765" s="31" t="str">
        <f t="shared" si="103"/>
        <v>Service completo. Cambio de aceite y filtros. Control general del vehiculo. Desarmar distribucion completa. Cambiar kit, bomba de agua, correa poly-v y liquido refrigerante. Purgado del circuito de refrigeracion. Puesta a punto. Armado total.</v>
      </c>
      <c r="K765" s="26" t="s">
        <v>408</v>
      </c>
      <c r="P765" s="27">
        <v>1</v>
      </c>
      <c r="Q765" s="34">
        <v>277000</v>
      </c>
      <c r="R765" s="36">
        <f t="shared" si="100"/>
        <v>277000</v>
      </c>
      <c r="U765" s="39">
        <f t="shared" si="99"/>
        <v>0</v>
      </c>
      <c r="V765" s="41">
        <f t="shared" si="104"/>
        <v>0</v>
      </c>
    </row>
    <row r="766" spans="1:22" x14ac:dyDescent="0.25">
      <c r="A766" s="47">
        <v>218</v>
      </c>
      <c r="B766" s="31">
        <f t="shared" si="102"/>
        <v>2</v>
      </c>
      <c r="C766" s="48">
        <f t="shared" si="105"/>
        <v>45617</v>
      </c>
      <c r="D766" s="47" t="str">
        <f t="shared" si="106"/>
        <v>Ramanzin Enrique</v>
      </c>
      <c r="E766" s="31" t="str">
        <f t="shared" si="101"/>
        <v>218Ramanzin Enrique2</v>
      </c>
      <c r="I766" s="31" t="str">
        <f t="shared" si="103"/>
        <v xml:space="preserve">Service completo. Cambio de aceite y filtros. Control general del vehiculo. Desarmar distribucion completa. Cambiar kit, bomba de agua, correa poly-v y liquido refrigerante. Purgado del circuito de refrigeracion. Puesta a punto. Armado total. </v>
      </c>
      <c r="K766" s="26" t="s">
        <v>322</v>
      </c>
      <c r="P766" s="27">
        <v>1</v>
      </c>
      <c r="Q766" s="34">
        <v>48000</v>
      </c>
      <c r="R766" s="36">
        <f t="shared" si="100"/>
        <v>48000</v>
      </c>
      <c r="U766" s="39">
        <f t="shared" si="99"/>
        <v>0</v>
      </c>
      <c r="V766" s="41">
        <f t="shared" si="104"/>
        <v>0</v>
      </c>
    </row>
    <row r="767" spans="1:22" x14ac:dyDescent="0.25">
      <c r="A767" s="47">
        <v>218</v>
      </c>
      <c r="B767" s="31">
        <f t="shared" si="102"/>
        <v>3</v>
      </c>
      <c r="C767" s="48">
        <f t="shared" si="105"/>
        <v>45617</v>
      </c>
      <c r="D767" s="47" t="str">
        <f t="shared" si="106"/>
        <v>Ramanzin Enrique</v>
      </c>
      <c r="E767" s="31" t="str">
        <f t="shared" si="101"/>
        <v>218Ramanzin Enrique3</v>
      </c>
      <c r="I767" s="31" t="str">
        <f t="shared" si="103"/>
        <v xml:space="preserve">Service completo. Cambio de aceite y filtros. Control general del vehiculo. Desarmar distribucion completa. Cambiar kit, bomba de agua, correa poly-v y liquido refrigerante. Purgado del circuito de refrigeracion. Puesta a punto. Armado total.  </v>
      </c>
      <c r="K767" s="26" t="s">
        <v>409</v>
      </c>
      <c r="P767" s="27">
        <v>2</v>
      </c>
      <c r="Q767" s="34">
        <v>20000</v>
      </c>
      <c r="R767" s="36">
        <f t="shared" si="100"/>
        <v>40000</v>
      </c>
      <c r="U767" s="39">
        <f t="shared" si="99"/>
        <v>0</v>
      </c>
      <c r="V767" s="41">
        <f t="shared" si="104"/>
        <v>0</v>
      </c>
    </row>
    <row r="768" spans="1:22" x14ac:dyDescent="0.25">
      <c r="A768" s="47">
        <v>218</v>
      </c>
      <c r="B768" s="31">
        <f t="shared" si="102"/>
        <v>4</v>
      </c>
      <c r="C768" s="48">
        <f t="shared" si="105"/>
        <v>45617</v>
      </c>
      <c r="D768" s="47" t="str">
        <f t="shared" si="106"/>
        <v>Ramanzin Enrique</v>
      </c>
      <c r="E768" s="31" t="str">
        <f t="shared" si="101"/>
        <v>218Ramanzin Enrique4</v>
      </c>
      <c r="I768" s="31" t="str">
        <f t="shared" si="103"/>
        <v xml:space="preserve">Service completo. Cambio de aceite y filtros. Control general del vehiculo. Desarmar distribucion completa. Cambiar kit, bomba de agua, correa poly-v y liquido refrigerante. Purgado del circuito de refrigeracion. Puesta a punto. Armado total.   </v>
      </c>
      <c r="K768" s="26" t="s">
        <v>410</v>
      </c>
      <c r="P768" s="27">
        <v>1</v>
      </c>
      <c r="Q768" s="34">
        <v>7500</v>
      </c>
      <c r="R768" s="36">
        <f t="shared" si="100"/>
        <v>7500</v>
      </c>
      <c r="U768" s="39">
        <f t="shared" si="99"/>
        <v>0</v>
      </c>
      <c r="V768" s="41">
        <f t="shared" si="104"/>
        <v>0</v>
      </c>
    </row>
    <row r="769" spans="1:22" x14ac:dyDescent="0.25">
      <c r="A769" s="47">
        <v>218</v>
      </c>
      <c r="B769" s="31">
        <f t="shared" si="102"/>
        <v>5</v>
      </c>
      <c r="C769" s="48">
        <f t="shared" si="105"/>
        <v>45617</v>
      </c>
      <c r="D769" s="47" t="str">
        <f t="shared" si="106"/>
        <v>Ramanzin Enrique</v>
      </c>
      <c r="E769" s="31" t="str">
        <f t="shared" si="101"/>
        <v>218Ramanzin Enrique5</v>
      </c>
      <c r="I769" s="31" t="str">
        <f t="shared" si="103"/>
        <v xml:space="preserve">Service completo. Cambio de aceite y filtros. Control general del vehiculo. Desarmar distribucion completa. Cambiar kit, bomba de agua, correa poly-v y liquido refrigerante. Purgado del circuito de refrigeracion. Puesta a punto. Armado total.    </v>
      </c>
      <c r="K769" s="26" t="s">
        <v>91</v>
      </c>
      <c r="P769" s="27">
        <v>1</v>
      </c>
      <c r="Q769" s="34">
        <v>74000</v>
      </c>
      <c r="R769" s="36">
        <f t="shared" si="100"/>
        <v>74000</v>
      </c>
      <c r="U769" s="39">
        <f t="shared" si="99"/>
        <v>0</v>
      </c>
      <c r="V769" s="41">
        <f t="shared" si="104"/>
        <v>0</v>
      </c>
    </row>
    <row r="770" spans="1:22" x14ac:dyDescent="0.25">
      <c r="A770" s="47">
        <v>218</v>
      </c>
      <c r="B770" s="31">
        <f t="shared" si="102"/>
        <v>6</v>
      </c>
      <c r="C770" s="48">
        <f t="shared" si="105"/>
        <v>45617</v>
      </c>
      <c r="D770" s="47" t="str">
        <f t="shared" si="106"/>
        <v>Ramanzin Enrique</v>
      </c>
      <c r="E770" s="31" t="str">
        <f t="shared" si="101"/>
        <v>218Ramanzin Enrique6</v>
      </c>
      <c r="I770" s="31" t="str">
        <f t="shared" si="103"/>
        <v xml:space="preserve">Service completo. Cambio de aceite y filtros. Control general del vehiculo. Desarmar distribucion completa. Cambiar kit, bomba de agua, correa poly-v y liquido refrigerante. Purgado del circuito de refrigeracion. Puesta a punto. Armado total.     </v>
      </c>
      <c r="K770" s="26" t="s">
        <v>108</v>
      </c>
      <c r="P770" s="27">
        <v>7</v>
      </c>
      <c r="Q770" s="34">
        <v>15500</v>
      </c>
      <c r="R770" s="36">
        <f t="shared" si="100"/>
        <v>108500</v>
      </c>
      <c r="U770" s="39">
        <f t="shared" si="99"/>
        <v>0</v>
      </c>
      <c r="V770" s="41">
        <f t="shared" si="104"/>
        <v>0</v>
      </c>
    </row>
    <row r="771" spans="1:22" x14ac:dyDescent="0.25">
      <c r="A771" s="47">
        <v>219</v>
      </c>
      <c r="B771" s="31">
        <f t="shared" si="102"/>
        <v>1</v>
      </c>
      <c r="C771" s="48">
        <v>45618</v>
      </c>
      <c r="D771" s="47" t="s">
        <v>776</v>
      </c>
      <c r="E771" s="31" t="str">
        <f t="shared" si="101"/>
        <v>219Municipalidad Laboulaye1</v>
      </c>
      <c r="F771" s="47" t="s">
        <v>777</v>
      </c>
      <c r="G771" s="47" t="s">
        <v>774</v>
      </c>
      <c r="H771" s="26" t="s">
        <v>440</v>
      </c>
      <c r="I771" s="31" t="str">
        <f t="shared" si="103"/>
        <v>Service completo. Cambio de aceite y filtros. Control general de mas de 50 puntos del vehiculo.</v>
      </c>
      <c r="K771" s="26" t="s">
        <v>775</v>
      </c>
      <c r="P771" s="27">
        <v>1</v>
      </c>
      <c r="Q771" s="34">
        <v>120000</v>
      </c>
      <c r="R771" s="36">
        <f t="shared" si="100"/>
        <v>120000</v>
      </c>
      <c r="S771" s="6">
        <v>1</v>
      </c>
      <c r="T771" s="7">
        <v>224000</v>
      </c>
      <c r="U771" s="39">
        <f t="shared" si="99"/>
        <v>224000</v>
      </c>
      <c r="V771" s="41">
        <f t="shared" si="104"/>
        <v>224000</v>
      </c>
    </row>
    <row r="772" spans="1:22" x14ac:dyDescent="0.25">
      <c r="A772" s="47">
        <v>219</v>
      </c>
      <c r="B772" s="31">
        <f t="shared" si="102"/>
        <v>2</v>
      </c>
      <c r="C772" s="48">
        <f t="shared" si="105"/>
        <v>45618</v>
      </c>
      <c r="D772" s="47" t="str">
        <f t="shared" si="106"/>
        <v>Municipalidad Laboulaye</v>
      </c>
      <c r="E772" s="31" t="str">
        <f t="shared" si="101"/>
        <v>219Municipalidad Laboulaye2</v>
      </c>
      <c r="I772" s="31" t="str">
        <f t="shared" si="103"/>
        <v xml:space="preserve">Service completo. Cambio de aceite y filtros. Control general de mas de 50 puntos del vehiculo. </v>
      </c>
      <c r="K772" s="26" t="s">
        <v>755</v>
      </c>
      <c r="P772" s="27">
        <v>7</v>
      </c>
      <c r="Q772" s="34">
        <v>24000</v>
      </c>
      <c r="R772" s="36">
        <f t="shared" si="100"/>
        <v>168000</v>
      </c>
      <c r="U772" s="39">
        <f t="shared" ref="U772:U835" si="107">+T772*S772</f>
        <v>0</v>
      </c>
      <c r="V772" s="41">
        <f t="shared" si="104"/>
        <v>224000</v>
      </c>
    </row>
    <row r="773" spans="1:22" x14ac:dyDescent="0.25">
      <c r="A773" s="47">
        <v>220</v>
      </c>
      <c r="B773" s="31">
        <f t="shared" si="102"/>
        <v>1</v>
      </c>
      <c r="C773" s="48">
        <v>45623</v>
      </c>
      <c r="D773" s="47" t="s">
        <v>778</v>
      </c>
      <c r="E773" s="31" t="str">
        <f t="shared" si="101"/>
        <v>220Fossano Ana Paula1</v>
      </c>
      <c r="G773" s="47" t="s">
        <v>555</v>
      </c>
      <c r="H773" s="26" t="s">
        <v>407</v>
      </c>
      <c r="I773" s="31" t="str">
        <f t="shared" si="103"/>
        <v>Desarmar distribucion completa. Cambiar kit, bomba de agua, correa poly-v y liquido refrigerante. Purgado del circuito de refrigeracion. Puesta a punto. Armado total.</v>
      </c>
      <c r="K773" s="26" t="s">
        <v>408</v>
      </c>
      <c r="P773" s="27">
        <v>1</v>
      </c>
      <c r="Q773" s="34">
        <v>280000</v>
      </c>
      <c r="R773" s="36">
        <f t="shared" si="100"/>
        <v>280000</v>
      </c>
      <c r="S773" s="6">
        <v>1</v>
      </c>
      <c r="T773" s="7">
        <v>180000</v>
      </c>
      <c r="U773" s="39">
        <f t="shared" si="107"/>
        <v>180000</v>
      </c>
      <c r="V773" s="41">
        <f t="shared" si="104"/>
        <v>180000</v>
      </c>
    </row>
    <row r="774" spans="1:22" x14ac:dyDescent="0.25">
      <c r="A774" s="47">
        <v>220</v>
      </c>
      <c r="B774" s="31">
        <f t="shared" si="102"/>
        <v>2</v>
      </c>
      <c r="C774" s="48">
        <f t="shared" si="105"/>
        <v>45623</v>
      </c>
      <c r="D774" s="47" t="str">
        <f t="shared" si="106"/>
        <v>Fossano Ana Paula</v>
      </c>
      <c r="E774" s="31" t="str">
        <f t="shared" si="101"/>
        <v>220Fossano Ana Paula2</v>
      </c>
      <c r="I774" s="31" t="str">
        <f t="shared" si="103"/>
        <v xml:space="preserve">Desarmar distribucion completa. Cambiar kit, bomba de agua, correa poly-v y liquido refrigerante. Purgado del circuito de refrigeracion. Puesta a punto. Armado total. </v>
      </c>
      <c r="K774" s="26" t="s">
        <v>322</v>
      </c>
      <c r="P774" s="27">
        <v>1</v>
      </c>
      <c r="Q774" s="34">
        <v>34000</v>
      </c>
      <c r="R774" s="36">
        <f t="shared" si="100"/>
        <v>34000</v>
      </c>
      <c r="U774" s="39">
        <f t="shared" si="107"/>
        <v>0</v>
      </c>
      <c r="V774" s="41">
        <f t="shared" si="104"/>
        <v>180000</v>
      </c>
    </row>
    <row r="775" spans="1:22" x14ac:dyDescent="0.25">
      <c r="A775" s="47">
        <v>220</v>
      </c>
      <c r="B775" s="31">
        <f t="shared" si="102"/>
        <v>3</v>
      </c>
      <c r="C775" s="48">
        <f t="shared" si="105"/>
        <v>45623</v>
      </c>
      <c r="D775" s="47" t="str">
        <f t="shared" si="106"/>
        <v>Fossano Ana Paula</v>
      </c>
      <c r="E775" s="31" t="str">
        <f t="shared" si="101"/>
        <v>220Fossano Ana Paula3</v>
      </c>
      <c r="I775" s="31" t="str">
        <f t="shared" si="103"/>
        <v xml:space="preserve">Desarmar distribucion completa. Cambiar kit, bomba de agua, correa poly-v y liquido refrigerante. Purgado del circuito de refrigeracion. Puesta a punto. Armado total.  </v>
      </c>
      <c r="K775" s="26" t="s">
        <v>409</v>
      </c>
      <c r="P775" s="27">
        <v>2</v>
      </c>
      <c r="Q775" s="34">
        <v>19000</v>
      </c>
      <c r="R775" s="36">
        <f t="shared" si="100"/>
        <v>38000</v>
      </c>
      <c r="U775" s="39">
        <f t="shared" si="107"/>
        <v>0</v>
      </c>
      <c r="V775" s="41">
        <f t="shared" si="104"/>
        <v>180000</v>
      </c>
    </row>
    <row r="776" spans="1:22" x14ac:dyDescent="0.25">
      <c r="A776" s="47">
        <v>220</v>
      </c>
      <c r="B776" s="31">
        <f t="shared" si="102"/>
        <v>4</v>
      </c>
      <c r="C776" s="48">
        <f t="shared" si="105"/>
        <v>45623</v>
      </c>
      <c r="D776" s="47" t="str">
        <f t="shared" si="106"/>
        <v>Fossano Ana Paula</v>
      </c>
      <c r="E776" s="31" t="str">
        <f t="shared" si="101"/>
        <v>220Fossano Ana Paula4</v>
      </c>
      <c r="I776" s="31" t="str">
        <f t="shared" si="103"/>
        <v xml:space="preserve">Desarmar distribucion completa. Cambiar kit, bomba de agua, correa poly-v y liquido refrigerante. Purgado del circuito de refrigeracion. Puesta a punto. Armado total.   </v>
      </c>
      <c r="K776" s="26" t="s">
        <v>410</v>
      </c>
      <c r="P776" s="27">
        <v>1</v>
      </c>
      <c r="Q776" s="34">
        <v>7000</v>
      </c>
      <c r="R776" s="36">
        <f t="shared" si="100"/>
        <v>7000</v>
      </c>
      <c r="U776" s="39">
        <f t="shared" si="107"/>
        <v>0</v>
      </c>
      <c r="V776" s="41">
        <f t="shared" si="104"/>
        <v>180000</v>
      </c>
    </row>
    <row r="777" spans="1:22" x14ac:dyDescent="0.25">
      <c r="A777" s="47">
        <v>221</v>
      </c>
      <c r="B777" s="31">
        <f t="shared" si="102"/>
        <v>1</v>
      </c>
      <c r="C777" s="48">
        <v>45623</v>
      </c>
      <c r="D777" s="47" t="s">
        <v>776</v>
      </c>
      <c r="E777" s="31" t="str">
        <f t="shared" si="101"/>
        <v>221Municipalidad Laboulaye1</v>
      </c>
      <c r="F777" s="47" t="s">
        <v>783</v>
      </c>
      <c r="G777" s="47" t="s">
        <v>268</v>
      </c>
      <c r="H777" s="26" t="s">
        <v>779</v>
      </c>
      <c r="I777" s="31" t="str">
        <f t="shared" si="103"/>
        <v>Escaneo del vehiculo. Control de valvula reguladora de presion de combustible. Sacar inyectores. Enviar a reparar a Rio IV. Fresar apoyo de inyectores en tapa de cilindros. Limpieza. Colocar inyectores. Cambiar filtro de combustible. Armado total. Puesta en marcha.</v>
      </c>
      <c r="K777" s="26" t="s">
        <v>780</v>
      </c>
      <c r="P777" s="27">
        <v>4</v>
      </c>
      <c r="Q777" s="34">
        <v>230000</v>
      </c>
      <c r="R777" s="36">
        <f t="shared" si="100"/>
        <v>920000</v>
      </c>
      <c r="S777" s="6">
        <v>1</v>
      </c>
      <c r="T777" s="7">
        <v>339000</v>
      </c>
      <c r="U777" s="39">
        <f t="shared" si="107"/>
        <v>339000</v>
      </c>
      <c r="V777" s="41">
        <f t="shared" si="104"/>
        <v>339000</v>
      </c>
    </row>
    <row r="778" spans="1:22" x14ac:dyDescent="0.25">
      <c r="A778" s="47">
        <v>221</v>
      </c>
      <c r="B778" s="31">
        <f t="shared" si="102"/>
        <v>2</v>
      </c>
      <c r="C778" s="48">
        <f t="shared" si="105"/>
        <v>45623</v>
      </c>
      <c r="D778" s="47" t="str">
        <f t="shared" si="106"/>
        <v>Municipalidad Laboulaye</v>
      </c>
      <c r="E778" s="31" t="str">
        <f t="shared" si="101"/>
        <v>221Municipalidad Laboulaye2</v>
      </c>
      <c r="I778" s="31" t="str">
        <f t="shared" si="103"/>
        <v xml:space="preserve">Escaneo del vehiculo. Control de valvula reguladora de presion de combustible. Sacar inyectores. Enviar a reparar a Rio IV. Fresar apoyo de inyectores en tapa de cilindros. Limpieza. Colocar inyectores. Cambiar filtro de combustible. Armado total. Puesta en marcha. </v>
      </c>
      <c r="K778" s="26" t="s">
        <v>781</v>
      </c>
      <c r="P778" s="27">
        <v>1</v>
      </c>
      <c r="Q778" s="34">
        <v>25000</v>
      </c>
      <c r="R778" s="36">
        <f t="shared" si="100"/>
        <v>25000</v>
      </c>
      <c r="U778" s="39">
        <f t="shared" si="107"/>
        <v>0</v>
      </c>
      <c r="V778" s="41">
        <f t="shared" si="104"/>
        <v>339000</v>
      </c>
    </row>
    <row r="779" spans="1:22" x14ac:dyDescent="0.25">
      <c r="A779" s="47">
        <v>221</v>
      </c>
      <c r="B779" s="31">
        <f t="shared" si="102"/>
        <v>3</v>
      </c>
      <c r="C779" s="48">
        <f t="shared" si="105"/>
        <v>45623</v>
      </c>
      <c r="D779" s="47" t="str">
        <f t="shared" si="106"/>
        <v>Municipalidad Laboulaye</v>
      </c>
      <c r="E779" s="31" t="str">
        <f t="shared" si="101"/>
        <v>221Municipalidad Laboulaye3</v>
      </c>
      <c r="I779" s="31" t="str">
        <f t="shared" si="103"/>
        <v xml:space="preserve">Escaneo del vehiculo. Control de valvula reguladora de presion de combustible. Sacar inyectores. Enviar a reparar a Rio IV. Fresar apoyo de inyectores en tapa de cilindros. Limpieza. Colocar inyectores. Cambiar filtro de combustible. Armado total. Puesta en marcha.  </v>
      </c>
      <c r="K779" s="26" t="s">
        <v>782</v>
      </c>
      <c r="P779" s="27">
        <v>2</v>
      </c>
      <c r="Q779" s="34">
        <v>8000</v>
      </c>
      <c r="R779" s="36">
        <f t="shared" si="100"/>
        <v>16000</v>
      </c>
      <c r="U779" s="39">
        <f t="shared" si="107"/>
        <v>0</v>
      </c>
      <c r="V779" s="41">
        <f t="shared" si="104"/>
        <v>339000</v>
      </c>
    </row>
    <row r="780" spans="1:22" x14ac:dyDescent="0.25">
      <c r="A780" s="47">
        <v>222</v>
      </c>
      <c r="B780" s="31">
        <f t="shared" si="102"/>
        <v>1</v>
      </c>
      <c r="C780" s="48">
        <v>45628</v>
      </c>
      <c r="D780" s="47" t="s">
        <v>784</v>
      </c>
      <c r="E780" s="31" t="str">
        <f t="shared" si="101"/>
        <v>222Andrada Horacio1</v>
      </c>
      <c r="G780" s="47" t="s">
        <v>403</v>
      </c>
      <c r="H780" s="26" t="s">
        <v>773</v>
      </c>
      <c r="I780" s="31" t="str">
        <f t="shared" si="103"/>
        <v>Service completo. Cambio de aceite y filtros. Control general del vehiculo. Desarmar distribucion completa. Cambiar kit, bomba de agua, correa poly-v y liquido refrigerante. Purgado del circuito de refrigeracion. Puesta a punto. Armado total.</v>
      </c>
      <c r="K780" s="26" t="s">
        <v>552</v>
      </c>
      <c r="P780" s="27">
        <v>1</v>
      </c>
      <c r="Q780" s="34">
        <v>195000</v>
      </c>
      <c r="R780" s="36">
        <f t="shared" si="100"/>
        <v>195000</v>
      </c>
      <c r="S780" s="6">
        <v>1</v>
      </c>
      <c r="T780" s="7">
        <v>250000</v>
      </c>
      <c r="U780" s="39">
        <f t="shared" si="107"/>
        <v>250000</v>
      </c>
      <c r="V780" s="41">
        <f t="shared" si="104"/>
        <v>250000</v>
      </c>
    </row>
    <row r="781" spans="1:22" x14ac:dyDescent="0.25">
      <c r="A781" s="47">
        <v>222</v>
      </c>
      <c r="B781" s="31">
        <f t="shared" si="102"/>
        <v>2</v>
      </c>
      <c r="C781" s="48">
        <f t="shared" si="105"/>
        <v>45628</v>
      </c>
      <c r="D781" s="47" t="str">
        <f t="shared" si="106"/>
        <v>Andrada Horacio</v>
      </c>
      <c r="E781" s="31" t="str">
        <f t="shared" si="101"/>
        <v>222Andrada Horacio2</v>
      </c>
      <c r="I781" s="31" t="str">
        <f t="shared" si="103"/>
        <v xml:space="preserve">Service completo. Cambio de aceite y filtros. Control general del vehiculo. Desarmar distribucion completa. Cambiar kit, bomba de agua, correa poly-v y liquido refrigerante. Purgado del circuito de refrigeracion. Puesta a punto. Armado total. </v>
      </c>
      <c r="K781" s="26" t="s">
        <v>409</v>
      </c>
      <c r="P781" s="27">
        <v>2</v>
      </c>
      <c r="Q781" s="34">
        <v>19000</v>
      </c>
      <c r="R781" s="36">
        <f t="shared" si="100"/>
        <v>38000</v>
      </c>
      <c r="U781" s="39">
        <f t="shared" si="107"/>
        <v>0</v>
      </c>
      <c r="V781" s="41">
        <f t="shared" si="104"/>
        <v>250000</v>
      </c>
    </row>
    <row r="782" spans="1:22" x14ac:dyDescent="0.25">
      <c r="A782" s="47">
        <v>222</v>
      </c>
      <c r="B782" s="31">
        <f t="shared" si="102"/>
        <v>3</v>
      </c>
      <c r="C782" s="48">
        <f t="shared" si="105"/>
        <v>45628</v>
      </c>
      <c r="D782" s="47" t="str">
        <f t="shared" si="106"/>
        <v>Andrada Horacio</v>
      </c>
      <c r="E782" s="31" t="str">
        <f t="shared" si="101"/>
        <v>222Andrada Horacio3</v>
      </c>
      <c r="I782" s="31" t="str">
        <f t="shared" si="103"/>
        <v xml:space="preserve">Service completo. Cambio de aceite y filtros. Control general del vehiculo. Desarmar distribucion completa. Cambiar kit, bomba de agua, correa poly-v y liquido refrigerante. Purgado del circuito de refrigeracion. Puesta a punto. Armado total.  </v>
      </c>
      <c r="K782" s="26" t="s">
        <v>410</v>
      </c>
      <c r="P782" s="27">
        <v>1</v>
      </c>
      <c r="Q782" s="34">
        <v>6800</v>
      </c>
      <c r="R782" s="36">
        <f t="shared" si="100"/>
        <v>6800</v>
      </c>
      <c r="U782" s="39">
        <f t="shared" si="107"/>
        <v>0</v>
      </c>
      <c r="V782" s="41">
        <f t="shared" si="104"/>
        <v>250000</v>
      </c>
    </row>
    <row r="783" spans="1:22" x14ac:dyDescent="0.25">
      <c r="A783" s="47">
        <v>222</v>
      </c>
      <c r="B783" s="31">
        <f t="shared" si="102"/>
        <v>4</v>
      </c>
      <c r="C783" s="48">
        <f t="shared" si="105"/>
        <v>45628</v>
      </c>
      <c r="D783" s="47" t="str">
        <f t="shared" si="106"/>
        <v>Andrada Horacio</v>
      </c>
      <c r="E783" s="31" t="str">
        <f t="shared" si="101"/>
        <v>222Andrada Horacio4</v>
      </c>
      <c r="I783" s="31" t="str">
        <f t="shared" si="103"/>
        <v xml:space="preserve">Service completo. Cambio de aceite y filtros. Control general del vehiculo. Desarmar distribucion completa. Cambiar kit, bomba de agua, correa poly-v y liquido refrigerante. Purgado del circuito de refrigeracion. Puesta a punto. Armado total.   </v>
      </c>
      <c r="K783" s="26" t="s">
        <v>91</v>
      </c>
      <c r="P783" s="27">
        <v>1</v>
      </c>
      <c r="Q783" s="34">
        <v>40000</v>
      </c>
      <c r="R783" s="36">
        <f t="shared" ref="R783:R846" si="108">Q783*P783</f>
        <v>40000</v>
      </c>
      <c r="U783" s="39">
        <f t="shared" si="107"/>
        <v>0</v>
      </c>
      <c r="V783" s="41">
        <f t="shared" si="104"/>
        <v>250000</v>
      </c>
    </row>
    <row r="784" spans="1:22" x14ac:dyDescent="0.25">
      <c r="A784" s="47">
        <v>222</v>
      </c>
      <c r="B784" s="31">
        <f t="shared" si="102"/>
        <v>5</v>
      </c>
      <c r="C784" s="48">
        <f t="shared" si="105"/>
        <v>45628</v>
      </c>
      <c r="D784" s="47" t="str">
        <f t="shared" si="106"/>
        <v>Andrada Horacio</v>
      </c>
      <c r="E784" s="31" t="str">
        <f t="shared" si="101"/>
        <v>222Andrada Horacio5</v>
      </c>
      <c r="I784" s="31" t="str">
        <f t="shared" si="103"/>
        <v xml:space="preserve">Service completo. Cambio de aceite y filtros. Control general del vehiculo. Desarmar distribucion completa. Cambiar kit, bomba de agua, correa poly-v y liquido refrigerante. Purgado del circuito de refrigeracion. Puesta a punto. Armado total.    </v>
      </c>
      <c r="K784" s="26" t="s">
        <v>108</v>
      </c>
      <c r="P784" s="27">
        <v>4</v>
      </c>
      <c r="Q784" s="34">
        <v>14700</v>
      </c>
      <c r="R784" s="36">
        <f t="shared" si="108"/>
        <v>58800</v>
      </c>
      <c r="U784" s="39">
        <f t="shared" si="107"/>
        <v>0</v>
      </c>
      <c r="V784" s="41">
        <f t="shared" si="104"/>
        <v>250000</v>
      </c>
    </row>
    <row r="785" spans="1:22" x14ac:dyDescent="0.25">
      <c r="A785" s="47">
        <v>223</v>
      </c>
      <c r="B785" s="31">
        <f t="shared" si="102"/>
        <v>1</v>
      </c>
      <c r="C785" s="48">
        <v>45629</v>
      </c>
      <c r="D785" s="47" t="s">
        <v>785</v>
      </c>
      <c r="E785" s="31" t="str">
        <f t="shared" ref="E785:E848" si="109">CONCATENATE(A785,D785,B785)</f>
        <v>223Luciano Napoli1</v>
      </c>
      <c r="G785" s="47" t="s">
        <v>414</v>
      </c>
      <c r="H785" s="26" t="s">
        <v>786</v>
      </c>
      <c r="I785" s="31" t="str">
        <f t="shared" si="103"/>
        <v xml:space="preserve">Service completo. Cambio de aceite y filtros. Control general de mas de 50 puntos del vehiculo. </v>
      </c>
      <c r="K785" s="26" t="s">
        <v>91</v>
      </c>
      <c r="P785" s="27">
        <v>1</v>
      </c>
      <c r="Q785" s="34">
        <v>48000</v>
      </c>
      <c r="R785" s="36">
        <f t="shared" si="108"/>
        <v>48000</v>
      </c>
      <c r="S785" s="6">
        <v>1</v>
      </c>
      <c r="T785" s="7">
        <v>100000</v>
      </c>
      <c r="U785" s="39">
        <f t="shared" si="107"/>
        <v>100000</v>
      </c>
      <c r="V785" s="41">
        <f t="shared" si="104"/>
        <v>100000</v>
      </c>
    </row>
    <row r="786" spans="1:22" x14ac:dyDescent="0.25">
      <c r="A786" s="47">
        <v>223</v>
      </c>
      <c r="B786" s="31">
        <f t="shared" si="102"/>
        <v>2</v>
      </c>
      <c r="C786" s="48">
        <f t="shared" si="105"/>
        <v>45629</v>
      </c>
      <c r="D786" s="47" t="str">
        <f t="shared" si="106"/>
        <v>Luciano Napoli</v>
      </c>
      <c r="E786" s="31" t="str">
        <f t="shared" si="109"/>
        <v>223Luciano Napoli2</v>
      </c>
      <c r="I786" s="31" t="str">
        <f t="shared" si="103"/>
        <v xml:space="preserve">Service completo. Cambio de aceite y filtros. Control general de mas de 50 puntos del vehiculo.  </v>
      </c>
      <c r="K786" s="26" t="s">
        <v>108</v>
      </c>
      <c r="P786" s="27">
        <v>4</v>
      </c>
      <c r="Q786" s="34">
        <v>14700</v>
      </c>
      <c r="R786" s="36">
        <f t="shared" si="108"/>
        <v>58800</v>
      </c>
      <c r="U786" s="39">
        <f t="shared" si="107"/>
        <v>0</v>
      </c>
      <c r="V786" s="41">
        <f t="shared" si="104"/>
        <v>100000</v>
      </c>
    </row>
    <row r="787" spans="1:22" x14ac:dyDescent="0.25">
      <c r="A787" s="47">
        <v>223</v>
      </c>
      <c r="B787" s="31">
        <f t="shared" si="102"/>
        <v>3</v>
      </c>
      <c r="C787" s="48">
        <f t="shared" si="105"/>
        <v>45629</v>
      </c>
      <c r="D787" s="47" t="str">
        <f t="shared" si="106"/>
        <v>Luciano Napoli</v>
      </c>
      <c r="E787" s="31" t="str">
        <f t="shared" si="109"/>
        <v>223Luciano Napoli3</v>
      </c>
      <c r="I787" s="31" t="str">
        <f t="shared" si="103"/>
        <v xml:space="preserve">Service completo. Cambio de aceite y filtros. Control general de mas de 50 puntos del vehiculo.   </v>
      </c>
      <c r="K787" s="26" t="s">
        <v>787</v>
      </c>
      <c r="P787" s="27">
        <v>1</v>
      </c>
      <c r="Q787" s="34">
        <v>8800</v>
      </c>
      <c r="R787" s="36">
        <f t="shared" si="108"/>
        <v>8800</v>
      </c>
      <c r="U787" s="39">
        <f t="shared" si="107"/>
        <v>0</v>
      </c>
      <c r="V787" s="41">
        <f t="shared" si="104"/>
        <v>100000</v>
      </c>
    </row>
    <row r="788" spans="1:22" x14ac:dyDescent="0.25">
      <c r="A788" s="47">
        <v>224</v>
      </c>
      <c r="B788" s="31">
        <f t="shared" si="102"/>
        <v>1</v>
      </c>
      <c r="C788" s="48">
        <v>45629</v>
      </c>
      <c r="D788" s="47" t="s">
        <v>785</v>
      </c>
      <c r="E788" s="31" t="str">
        <f t="shared" si="109"/>
        <v>224Luciano Napoli1</v>
      </c>
      <c r="G788" s="47" t="s">
        <v>414</v>
      </c>
      <c r="H788" s="26" t="s">
        <v>788</v>
      </c>
      <c r="I788" s="31" t="str">
        <f t="shared" si="103"/>
        <v>Desarmar suspension de ambos lados. Sacar ambos amortiguadores completos. Reparar con cazoletas nuevas. Armado total. Regulacion de convergencia.</v>
      </c>
      <c r="K788" s="26" t="s">
        <v>183</v>
      </c>
      <c r="P788" s="27">
        <v>2</v>
      </c>
      <c r="Q788" s="34">
        <v>43000</v>
      </c>
      <c r="R788" s="36">
        <f t="shared" si="108"/>
        <v>86000</v>
      </c>
      <c r="S788" s="6">
        <v>1</v>
      </c>
      <c r="T788" s="7">
        <v>150000</v>
      </c>
      <c r="U788" s="39">
        <f t="shared" si="107"/>
        <v>150000</v>
      </c>
      <c r="V788" s="41">
        <f t="shared" si="104"/>
        <v>150000</v>
      </c>
    </row>
    <row r="789" spans="1:22" x14ac:dyDescent="0.25">
      <c r="A789" s="47">
        <v>224</v>
      </c>
      <c r="B789" s="31">
        <f t="shared" si="102"/>
        <v>2</v>
      </c>
      <c r="C789" s="48">
        <f t="shared" si="105"/>
        <v>45629</v>
      </c>
      <c r="D789" s="47" t="str">
        <f t="shared" si="106"/>
        <v>Luciano Napoli</v>
      </c>
      <c r="E789" s="31" t="str">
        <f t="shared" si="109"/>
        <v>224Luciano Napoli2</v>
      </c>
      <c r="I789" s="31" t="str">
        <f t="shared" si="103"/>
        <v xml:space="preserve">Desarmar suspension de ambos lados. Sacar ambos amortiguadores completos. Reparar con cazoletas nuevas. Armado total. Regulacion de convergencia. </v>
      </c>
      <c r="P789" s="27"/>
      <c r="Q789" s="34"/>
      <c r="R789" s="36">
        <f t="shared" si="108"/>
        <v>0</v>
      </c>
      <c r="U789" s="39">
        <f t="shared" si="107"/>
        <v>0</v>
      </c>
      <c r="V789" s="41">
        <f t="shared" si="104"/>
        <v>150000</v>
      </c>
    </row>
    <row r="790" spans="1:22" x14ac:dyDescent="0.25">
      <c r="B790" s="31">
        <f t="shared" si="102"/>
        <v>1</v>
      </c>
      <c r="C790" s="48" t="str">
        <f t="shared" si="105"/>
        <v/>
      </c>
      <c r="D790" s="47" t="str">
        <f t="shared" si="106"/>
        <v/>
      </c>
      <c r="E790" s="31" t="str">
        <f t="shared" si="109"/>
        <v>1</v>
      </c>
      <c r="I790" s="31">
        <f t="shared" si="103"/>
        <v>0</v>
      </c>
      <c r="P790" s="27"/>
      <c r="Q790" s="34"/>
      <c r="R790" s="36">
        <f t="shared" si="108"/>
        <v>0</v>
      </c>
      <c r="U790" s="39">
        <f t="shared" si="107"/>
        <v>0</v>
      </c>
      <c r="V790" s="41">
        <f t="shared" si="104"/>
        <v>0</v>
      </c>
    </row>
    <row r="791" spans="1:22" x14ac:dyDescent="0.25">
      <c r="B791" s="31">
        <f t="shared" si="102"/>
        <v>2</v>
      </c>
      <c r="C791" s="48" t="str">
        <f t="shared" si="105"/>
        <v/>
      </c>
      <c r="D791" s="47" t="str">
        <f t="shared" si="106"/>
        <v/>
      </c>
      <c r="E791" s="31" t="str">
        <f t="shared" si="109"/>
        <v>2</v>
      </c>
      <c r="I791" s="31" t="str">
        <f t="shared" si="103"/>
        <v xml:space="preserve">0 </v>
      </c>
      <c r="P791" s="27"/>
      <c r="Q791" s="34"/>
      <c r="R791" s="36">
        <f t="shared" si="108"/>
        <v>0</v>
      </c>
      <c r="U791" s="39">
        <f t="shared" si="107"/>
        <v>0</v>
      </c>
      <c r="V791" s="41">
        <f t="shared" si="104"/>
        <v>0</v>
      </c>
    </row>
    <row r="792" spans="1:22" x14ac:dyDescent="0.25">
      <c r="B792" s="31">
        <f t="shared" si="102"/>
        <v>3</v>
      </c>
      <c r="C792" s="48" t="str">
        <f t="shared" si="105"/>
        <v/>
      </c>
      <c r="D792" s="47" t="str">
        <f t="shared" si="106"/>
        <v/>
      </c>
      <c r="E792" s="31" t="str">
        <f t="shared" si="109"/>
        <v>3</v>
      </c>
      <c r="I792" s="31" t="str">
        <f t="shared" si="103"/>
        <v xml:space="preserve">0  </v>
      </c>
      <c r="P792" s="27"/>
      <c r="Q792" s="34"/>
      <c r="R792" s="36">
        <f t="shared" si="108"/>
        <v>0</v>
      </c>
      <c r="U792" s="39">
        <f t="shared" si="107"/>
        <v>0</v>
      </c>
      <c r="V792" s="41">
        <f t="shared" si="104"/>
        <v>0</v>
      </c>
    </row>
    <row r="793" spans="1:22" x14ac:dyDescent="0.25">
      <c r="B793" s="31">
        <f t="shared" si="102"/>
        <v>4</v>
      </c>
      <c r="C793" s="48" t="str">
        <f t="shared" si="105"/>
        <v/>
      </c>
      <c r="D793" s="47" t="str">
        <f t="shared" si="106"/>
        <v/>
      </c>
      <c r="E793" s="31" t="str">
        <f t="shared" si="109"/>
        <v>4</v>
      </c>
      <c r="I793" s="31" t="str">
        <f t="shared" si="103"/>
        <v xml:space="preserve">0   </v>
      </c>
      <c r="P793" s="27"/>
      <c r="Q793" s="34"/>
      <c r="R793" s="36">
        <f t="shared" si="108"/>
        <v>0</v>
      </c>
      <c r="U793" s="39">
        <f t="shared" si="107"/>
        <v>0</v>
      </c>
      <c r="V793" s="41">
        <f t="shared" si="104"/>
        <v>0</v>
      </c>
    </row>
    <row r="794" spans="1:22" x14ac:dyDescent="0.25">
      <c r="B794" s="31">
        <f t="shared" si="102"/>
        <v>5</v>
      </c>
      <c r="C794" s="48" t="str">
        <f t="shared" si="105"/>
        <v/>
      </c>
      <c r="D794" s="47" t="str">
        <f t="shared" si="106"/>
        <v/>
      </c>
      <c r="E794" s="31" t="str">
        <f t="shared" si="109"/>
        <v>5</v>
      </c>
      <c r="I794" s="31" t="str">
        <f t="shared" si="103"/>
        <v xml:space="preserve">0    </v>
      </c>
      <c r="P794" s="27"/>
      <c r="Q794" s="34"/>
      <c r="R794" s="36">
        <f t="shared" si="108"/>
        <v>0</v>
      </c>
      <c r="U794" s="39">
        <f t="shared" si="107"/>
        <v>0</v>
      </c>
      <c r="V794" s="41">
        <f t="shared" si="104"/>
        <v>0</v>
      </c>
    </row>
    <row r="795" spans="1:22" x14ac:dyDescent="0.25">
      <c r="B795" s="31">
        <f t="shared" si="102"/>
        <v>6</v>
      </c>
      <c r="C795" s="48" t="str">
        <f t="shared" si="105"/>
        <v/>
      </c>
      <c r="D795" s="47" t="str">
        <f t="shared" si="106"/>
        <v/>
      </c>
      <c r="E795" s="31" t="str">
        <f t="shared" si="109"/>
        <v>6</v>
      </c>
      <c r="I795" s="31" t="str">
        <f t="shared" si="103"/>
        <v xml:space="preserve">0     </v>
      </c>
      <c r="P795" s="27"/>
      <c r="Q795" s="34"/>
      <c r="R795" s="36">
        <f t="shared" si="108"/>
        <v>0</v>
      </c>
      <c r="U795" s="39">
        <f t="shared" si="107"/>
        <v>0</v>
      </c>
      <c r="V795" s="41">
        <f t="shared" si="104"/>
        <v>0</v>
      </c>
    </row>
    <row r="796" spans="1:22" x14ac:dyDescent="0.25">
      <c r="B796" s="31">
        <f t="shared" si="102"/>
        <v>7</v>
      </c>
      <c r="C796" s="48" t="str">
        <f t="shared" si="105"/>
        <v/>
      </c>
      <c r="D796" s="47" t="str">
        <f t="shared" si="106"/>
        <v/>
      </c>
      <c r="E796" s="31" t="str">
        <f t="shared" si="109"/>
        <v>7</v>
      </c>
      <c r="I796" s="31" t="str">
        <f t="shared" si="103"/>
        <v xml:space="preserve">0      </v>
      </c>
      <c r="P796" s="27"/>
      <c r="Q796" s="34"/>
      <c r="R796" s="36">
        <f t="shared" si="108"/>
        <v>0</v>
      </c>
      <c r="U796" s="39">
        <f t="shared" si="107"/>
        <v>0</v>
      </c>
      <c r="V796" s="41">
        <f t="shared" si="104"/>
        <v>0</v>
      </c>
    </row>
    <row r="797" spans="1:22" x14ac:dyDescent="0.25">
      <c r="B797" s="31">
        <f t="shared" si="102"/>
        <v>8</v>
      </c>
      <c r="C797" s="48" t="str">
        <f t="shared" si="105"/>
        <v/>
      </c>
      <c r="D797" s="47" t="str">
        <f t="shared" si="106"/>
        <v/>
      </c>
      <c r="E797" s="31" t="str">
        <f t="shared" si="109"/>
        <v>8</v>
      </c>
      <c r="I797" s="31" t="str">
        <f t="shared" si="103"/>
        <v xml:space="preserve">0       </v>
      </c>
      <c r="P797" s="27"/>
      <c r="Q797" s="34"/>
      <c r="R797" s="36">
        <f t="shared" si="108"/>
        <v>0</v>
      </c>
      <c r="U797" s="39">
        <f t="shared" si="107"/>
        <v>0</v>
      </c>
      <c r="V797" s="41">
        <f t="shared" si="104"/>
        <v>0</v>
      </c>
    </row>
    <row r="798" spans="1:22" x14ac:dyDescent="0.25">
      <c r="B798" s="31">
        <f t="shared" si="102"/>
        <v>9</v>
      </c>
      <c r="C798" s="48" t="str">
        <f t="shared" si="105"/>
        <v/>
      </c>
      <c r="D798" s="47" t="str">
        <f t="shared" si="106"/>
        <v/>
      </c>
      <c r="E798" s="31" t="str">
        <f t="shared" si="109"/>
        <v>9</v>
      </c>
      <c r="I798" s="31" t="str">
        <f t="shared" si="103"/>
        <v xml:space="preserve">0        </v>
      </c>
      <c r="P798" s="27"/>
      <c r="Q798" s="34"/>
      <c r="R798" s="36">
        <f t="shared" si="108"/>
        <v>0</v>
      </c>
      <c r="U798" s="39">
        <f t="shared" si="107"/>
        <v>0</v>
      </c>
      <c r="V798" s="41">
        <f t="shared" si="104"/>
        <v>0</v>
      </c>
    </row>
    <row r="799" spans="1:22" x14ac:dyDescent="0.25">
      <c r="B799" s="31">
        <f t="shared" ref="B799:B862" si="110">IF(A799=A798,B798+1,1)</f>
        <v>10</v>
      </c>
      <c r="C799" s="48" t="str">
        <f t="shared" si="105"/>
        <v/>
      </c>
      <c r="D799" s="47" t="str">
        <f t="shared" si="106"/>
        <v/>
      </c>
      <c r="E799" s="31" t="str">
        <f t="shared" si="109"/>
        <v>10</v>
      </c>
      <c r="I799" s="31" t="str">
        <f t="shared" ref="I799:I862" si="111">IF(A799=A798,CONCATENATE(I798," ",H799),H799)</f>
        <v xml:space="preserve">0         </v>
      </c>
      <c r="P799" s="27"/>
      <c r="Q799" s="34"/>
      <c r="R799" s="36">
        <f t="shared" si="108"/>
        <v>0</v>
      </c>
      <c r="U799" s="39">
        <f t="shared" si="107"/>
        <v>0</v>
      </c>
      <c r="V799" s="41">
        <f t="shared" ref="V799:V862" si="112">IF(A799=A798,V798+U799,U799)</f>
        <v>0</v>
      </c>
    </row>
    <row r="800" spans="1:22" x14ac:dyDescent="0.25">
      <c r="B800" s="31">
        <f t="shared" si="110"/>
        <v>11</v>
      </c>
      <c r="C800" s="48" t="str">
        <f t="shared" si="105"/>
        <v/>
      </c>
      <c r="D800" s="47" t="str">
        <f t="shared" si="106"/>
        <v/>
      </c>
      <c r="E800" s="31" t="str">
        <f t="shared" si="109"/>
        <v>11</v>
      </c>
      <c r="I800" s="31" t="str">
        <f t="shared" si="111"/>
        <v xml:space="preserve">0          </v>
      </c>
      <c r="P800" s="27"/>
      <c r="Q800" s="34"/>
      <c r="R800" s="36">
        <f t="shared" si="108"/>
        <v>0</v>
      </c>
      <c r="U800" s="39">
        <f t="shared" si="107"/>
        <v>0</v>
      </c>
      <c r="V800" s="41">
        <f t="shared" si="112"/>
        <v>0</v>
      </c>
    </row>
    <row r="801" spans="2:22" x14ac:dyDescent="0.25">
      <c r="B801" s="31">
        <f t="shared" si="110"/>
        <v>12</v>
      </c>
      <c r="C801" s="48" t="str">
        <f t="shared" si="105"/>
        <v/>
      </c>
      <c r="D801" s="47" t="str">
        <f t="shared" si="106"/>
        <v/>
      </c>
      <c r="E801" s="31" t="str">
        <f t="shared" si="109"/>
        <v>12</v>
      </c>
      <c r="I801" s="31" t="str">
        <f t="shared" si="111"/>
        <v xml:space="preserve">0           </v>
      </c>
      <c r="P801" s="27"/>
      <c r="Q801" s="34"/>
      <c r="R801" s="36">
        <f t="shared" si="108"/>
        <v>0</v>
      </c>
      <c r="U801" s="39">
        <f t="shared" si="107"/>
        <v>0</v>
      </c>
      <c r="V801" s="41">
        <f t="shared" si="112"/>
        <v>0</v>
      </c>
    </row>
    <row r="802" spans="2:22" x14ac:dyDescent="0.25">
      <c r="B802" s="31">
        <f t="shared" si="110"/>
        <v>13</v>
      </c>
      <c r="C802" s="48" t="str">
        <f t="shared" si="105"/>
        <v/>
      </c>
      <c r="D802" s="47" t="str">
        <f t="shared" si="106"/>
        <v/>
      </c>
      <c r="E802" s="31" t="str">
        <f t="shared" si="109"/>
        <v>13</v>
      </c>
      <c r="I802" s="31" t="str">
        <f t="shared" si="111"/>
        <v xml:space="preserve">0            </v>
      </c>
      <c r="P802" s="27"/>
      <c r="Q802" s="34"/>
      <c r="R802" s="36">
        <f t="shared" si="108"/>
        <v>0</v>
      </c>
      <c r="U802" s="39">
        <f t="shared" si="107"/>
        <v>0</v>
      </c>
      <c r="V802" s="41">
        <f t="shared" si="112"/>
        <v>0</v>
      </c>
    </row>
    <row r="803" spans="2:22" x14ac:dyDescent="0.25">
      <c r="B803" s="31">
        <f t="shared" si="110"/>
        <v>14</v>
      </c>
      <c r="C803" s="48" t="str">
        <f t="shared" ref="C803:C866" si="113">IF(A803=A802,C802,"")</f>
        <v/>
      </c>
      <c r="D803" s="47" t="str">
        <f t="shared" ref="D803:D866" si="114">IF(A803=A802,D802,"")</f>
        <v/>
      </c>
      <c r="E803" s="31" t="str">
        <f t="shared" si="109"/>
        <v>14</v>
      </c>
      <c r="I803" s="31" t="str">
        <f t="shared" si="111"/>
        <v xml:space="preserve">0             </v>
      </c>
      <c r="P803" s="27"/>
      <c r="Q803" s="34"/>
      <c r="R803" s="36">
        <f t="shared" si="108"/>
        <v>0</v>
      </c>
      <c r="U803" s="39">
        <f t="shared" si="107"/>
        <v>0</v>
      </c>
      <c r="V803" s="41">
        <f t="shared" si="112"/>
        <v>0</v>
      </c>
    </row>
    <row r="804" spans="2:22" x14ac:dyDescent="0.25">
      <c r="B804" s="31">
        <f t="shared" si="110"/>
        <v>15</v>
      </c>
      <c r="C804" s="48" t="str">
        <f t="shared" si="113"/>
        <v/>
      </c>
      <c r="D804" s="47" t="str">
        <f t="shared" si="114"/>
        <v/>
      </c>
      <c r="E804" s="31" t="str">
        <f t="shared" si="109"/>
        <v>15</v>
      </c>
      <c r="I804" s="31" t="str">
        <f t="shared" si="111"/>
        <v xml:space="preserve">0              </v>
      </c>
      <c r="P804" s="27"/>
      <c r="Q804" s="34"/>
      <c r="R804" s="36">
        <f t="shared" si="108"/>
        <v>0</v>
      </c>
      <c r="U804" s="39">
        <f t="shared" si="107"/>
        <v>0</v>
      </c>
      <c r="V804" s="41">
        <f t="shared" si="112"/>
        <v>0</v>
      </c>
    </row>
    <row r="805" spans="2:22" x14ac:dyDescent="0.25">
      <c r="B805" s="31">
        <f t="shared" si="110"/>
        <v>16</v>
      </c>
      <c r="C805" s="48" t="str">
        <f t="shared" si="113"/>
        <v/>
      </c>
      <c r="D805" s="47" t="str">
        <f t="shared" si="114"/>
        <v/>
      </c>
      <c r="E805" s="31" t="str">
        <f t="shared" si="109"/>
        <v>16</v>
      </c>
      <c r="I805" s="31" t="str">
        <f t="shared" si="111"/>
        <v xml:space="preserve">0               </v>
      </c>
      <c r="P805" s="27"/>
      <c r="Q805" s="34"/>
      <c r="R805" s="36">
        <f t="shared" si="108"/>
        <v>0</v>
      </c>
      <c r="U805" s="39">
        <f t="shared" si="107"/>
        <v>0</v>
      </c>
      <c r="V805" s="41">
        <f t="shared" si="112"/>
        <v>0</v>
      </c>
    </row>
    <row r="806" spans="2:22" x14ac:dyDescent="0.25">
      <c r="B806" s="31">
        <f t="shared" si="110"/>
        <v>17</v>
      </c>
      <c r="C806" s="48" t="str">
        <f t="shared" si="113"/>
        <v/>
      </c>
      <c r="D806" s="47" t="str">
        <f t="shared" si="114"/>
        <v/>
      </c>
      <c r="E806" s="31" t="str">
        <f t="shared" si="109"/>
        <v>17</v>
      </c>
      <c r="I806" s="31" t="str">
        <f t="shared" si="111"/>
        <v xml:space="preserve">0                </v>
      </c>
      <c r="P806" s="27"/>
      <c r="Q806" s="34"/>
      <c r="R806" s="36">
        <f t="shared" si="108"/>
        <v>0</v>
      </c>
      <c r="U806" s="39">
        <f t="shared" si="107"/>
        <v>0</v>
      </c>
      <c r="V806" s="41">
        <f t="shared" si="112"/>
        <v>0</v>
      </c>
    </row>
    <row r="807" spans="2:22" x14ac:dyDescent="0.25">
      <c r="B807" s="31">
        <f t="shared" si="110"/>
        <v>18</v>
      </c>
      <c r="C807" s="48" t="str">
        <f t="shared" si="113"/>
        <v/>
      </c>
      <c r="D807" s="47" t="str">
        <f t="shared" si="114"/>
        <v/>
      </c>
      <c r="E807" s="31" t="str">
        <f t="shared" si="109"/>
        <v>18</v>
      </c>
      <c r="I807" s="31" t="str">
        <f t="shared" si="111"/>
        <v xml:space="preserve">0                 </v>
      </c>
      <c r="P807" s="27"/>
      <c r="Q807" s="34"/>
      <c r="R807" s="36">
        <f t="shared" si="108"/>
        <v>0</v>
      </c>
      <c r="U807" s="39">
        <f t="shared" si="107"/>
        <v>0</v>
      </c>
      <c r="V807" s="41">
        <f t="shared" si="112"/>
        <v>0</v>
      </c>
    </row>
    <row r="808" spans="2:22" x14ac:dyDescent="0.25">
      <c r="B808" s="31">
        <f t="shared" si="110"/>
        <v>19</v>
      </c>
      <c r="C808" s="48" t="str">
        <f t="shared" si="113"/>
        <v/>
      </c>
      <c r="D808" s="47" t="str">
        <f t="shared" si="114"/>
        <v/>
      </c>
      <c r="E808" s="31" t="str">
        <f t="shared" si="109"/>
        <v>19</v>
      </c>
      <c r="I808" s="31" t="str">
        <f t="shared" si="111"/>
        <v xml:space="preserve">0                  </v>
      </c>
      <c r="P808" s="27"/>
      <c r="Q808" s="34"/>
      <c r="R808" s="36">
        <f t="shared" si="108"/>
        <v>0</v>
      </c>
      <c r="U808" s="39">
        <f t="shared" si="107"/>
        <v>0</v>
      </c>
      <c r="V808" s="41">
        <f t="shared" si="112"/>
        <v>0</v>
      </c>
    </row>
    <row r="809" spans="2:22" x14ac:dyDescent="0.25">
      <c r="B809" s="31">
        <f t="shared" si="110"/>
        <v>20</v>
      </c>
      <c r="C809" s="48" t="str">
        <f t="shared" si="113"/>
        <v/>
      </c>
      <c r="D809" s="47" t="str">
        <f t="shared" si="114"/>
        <v/>
      </c>
      <c r="E809" s="31" t="str">
        <f t="shared" si="109"/>
        <v>20</v>
      </c>
      <c r="I809" s="31" t="str">
        <f t="shared" si="111"/>
        <v xml:space="preserve">0                   </v>
      </c>
      <c r="P809" s="27"/>
      <c r="Q809" s="34"/>
      <c r="R809" s="36">
        <f t="shared" si="108"/>
        <v>0</v>
      </c>
      <c r="U809" s="39">
        <f t="shared" si="107"/>
        <v>0</v>
      </c>
      <c r="V809" s="41">
        <f t="shared" si="112"/>
        <v>0</v>
      </c>
    </row>
    <row r="810" spans="2:22" x14ac:dyDescent="0.25">
      <c r="B810" s="31">
        <f t="shared" si="110"/>
        <v>21</v>
      </c>
      <c r="C810" s="48" t="str">
        <f t="shared" si="113"/>
        <v/>
      </c>
      <c r="D810" s="47" t="str">
        <f t="shared" si="114"/>
        <v/>
      </c>
      <c r="E810" s="31" t="str">
        <f t="shared" si="109"/>
        <v>21</v>
      </c>
      <c r="I810" s="31" t="str">
        <f t="shared" si="111"/>
        <v xml:space="preserve">0                    </v>
      </c>
      <c r="P810" s="27"/>
      <c r="Q810" s="34"/>
      <c r="R810" s="36">
        <f t="shared" si="108"/>
        <v>0</v>
      </c>
      <c r="U810" s="39">
        <f t="shared" si="107"/>
        <v>0</v>
      </c>
      <c r="V810" s="41">
        <f t="shared" si="112"/>
        <v>0</v>
      </c>
    </row>
    <row r="811" spans="2:22" x14ac:dyDescent="0.25">
      <c r="B811" s="31">
        <f t="shared" si="110"/>
        <v>22</v>
      </c>
      <c r="C811" s="48" t="str">
        <f t="shared" si="113"/>
        <v/>
      </c>
      <c r="D811" s="47" t="str">
        <f t="shared" si="114"/>
        <v/>
      </c>
      <c r="E811" s="31" t="str">
        <f t="shared" si="109"/>
        <v>22</v>
      </c>
      <c r="I811" s="31" t="str">
        <f t="shared" si="111"/>
        <v xml:space="preserve">0                     </v>
      </c>
      <c r="P811" s="27"/>
      <c r="Q811" s="34"/>
      <c r="R811" s="36">
        <f t="shared" si="108"/>
        <v>0</v>
      </c>
      <c r="U811" s="39">
        <f t="shared" si="107"/>
        <v>0</v>
      </c>
      <c r="V811" s="41">
        <f t="shared" si="112"/>
        <v>0</v>
      </c>
    </row>
    <row r="812" spans="2:22" x14ac:dyDescent="0.25">
      <c r="B812" s="31">
        <f t="shared" si="110"/>
        <v>23</v>
      </c>
      <c r="C812" s="48" t="str">
        <f t="shared" si="113"/>
        <v/>
      </c>
      <c r="D812" s="47" t="str">
        <f t="shared" si="114"/>
        <v/>
      </c>
      <c r="E812" s="31" t="str">
        <f t="shared" si="109"/>
        <v>23</v>
      </c>
      <c r="I812" s="31" t="str">
        <f t="shared" si="111"/>
        <v xml:space="preserve">0                      </v>
      </c>
      <c r="P812" s="27"/>
      <c r="Q812" s="34"/>
      <c r="R812" s="36">
        <f t="shared" si="108"/>
        <v>0</v>
      </c>
      <c r="U812" s="39">
        <f t="shared" si="107"/>
        <v>0</v>
      </c>
      <c r="V812" s="41">
        <f t="shared" si="112"/>
        <v>0</v>
      </c>
    </row>
    <row r="813" spans="2:22" x14ac:dyDescent="0.25">
      <c r="B813" s="31">
        <f t="shared" si="110"/>
        <v>24</v>
      </c>
      <c r="C813" s="48" t="str">
        <f t="shared" si="113"/>
        <v/>
      </c>
      <c r="D813" s="47" t="str">
        <f t="shared" si="114"/>
        <v/>
      </c>
      <c r="E813" s="31" t="str">
        <f t="shared" si="109"/>
        <v>24</v>
      </c>
      <c r="I813" s="31" t="str">
        <f t="shared" si="111"/>
        <v xml:space="preserve">0                       </v>
      </c>
      <c r="P813" s="27"/>
      <c r="Q813" s="34"/>
      <c r="R813" s="36">
        <f t="shared" si="108"/>
        <v>0</v>
      </c>
      <c r="U813" s="39">
        <f t="shared" si="107"/>
        <v>0</v>
      </c>
      <c r="V813" s="41">
        <f t="shared" si="112"/>
        <v>0</v>
      </c>
    </row>
    <row r="814" spans="2:22" x14ac:dyDescent="0.25">
      <c r="B814" s="31">
        <f t="shared" si="110"/>
        <v>25</v>
      </c>
      <c r="C814" s="48" t="str">
        <f t="shared" si="113"/>
        <v/>
      </c>
      <c r="D814" s="47" t="str">
        <f t="shared" si="114"/>
        <v/>
      </c>
      <c r="E814" s="31" t="str">
        <f t="shared" si="109"/>
        <v>25</v>
      </c>
      <c r="I814" s="31" t="str">
        <f t="shared" si="111"/>
        <v xml:space="preserve">0                        </v>
      </c>
      <c r="P814" s="27"/>
      <c r="Q814" s="34"/>
      <c r="R814" s="36">
        <f t="shared" si="108"/>
        <v>0</v>
      </c>
      <c r="U814" s="39">
        <f t="shared" si="107"/>
        <v>0</v>
      </c>
      <c r="V814" s="41">
        <f t="shared" si="112"/>
        <v>0</v>
      </c>
    </row>
    <row r="815" spans="2:22" x14ac:dyDescent="0.25">
      <c r="B815" s="31">
        <f t="shared" si="110"/>
        <v>26</v>
      </c>
      <c r="C815" s="48" t="str">
        <f t="shared" si="113"/>
        <v/>
      </c>
      <c r="D815" s="47" t="str">
        <f t="shared" si="114"/>
        <v/>
      </c>
      <c r="E815" s="31" t="str">
        <f t="shared" si="109"/>
        <v>26</v>
      </c>
      <c r="I815" s="31" t="str">
        <f t="shared" si="111"/>
        <v xml:space="preserve">0                         </v>
      </c>
      <c r="P815" s="27"/>
      <c r="Q815" s="34"/>
      <c r="R815" s="36">
        <f t="shared" si="108"/>
        <v>0</v>
      </c>
      <c r="U815" s="39">
        <f t="shared" si="107"/>
        <v>0</v>
      </c>
      <c r="V815" s="41">
        <f t="shared" si="112"/>
        <v>0</v>
      </c>
    </row>
    <row r="816" spans="2:22" x14ac:dyDescent="0.25">
      <c r="B816" s="31">
        <f t="shared" si="110"/>
        <v>27</v>
      </c>
      <c r="C816" s="48" t="str">
        <f t="shared" si="113"/>
        <v/>
      </c>
      <c r="D816" s="47" t="str">
        <f t="shared" si="114"/>
        <v/>
      </c>
      <c r="E816" s="31" t="str">
        <f t="shared" si="109"/>
        <v>27</v>
      </c>
      <c r="I816" s="31" t="str">
        <f t="shared" si="111"/>
        <v xml:space="preserve">0                          </v>
      </c>
      <c r="P816" s="27"/>
      <c r="Q816" s="34"/>
      <c r="R816" s="36">
        <f t="shared" si="108"/>
        <v>0</v>
      </c>
      <c r="U816" s="39">
        <f t="shared" si="107"/>
        <v>0</v>
      </c>
      <c r="V816" s="41">
        <f t="shared" si="112"/>
        <v>0</v>
      </c>
    </row>
    <row r="817" spans="2:22" x14ac:dyDescent="0.25">
      <c r="B817" s="31">
        <f t="shared" si="110"/>
        <v>28</v>
      </c>
      <c r="C817" s="48" t="str">
        <f t="shared" si="113"/>
        <v/>
      </c>
      <c r="D817" s="47" t="str">
        <f t="shared" si="114"/>
        <v/>
      </c>
      <c r="E817" s="31" t="str">
        <f t="shared" si="109"/>
        <v>28</v>
      </c>
      <c r="I817" s="31" t="str">
        <f t="shared" si="111"/>
        <v xml:space="preserve">0                           </v>
      </c>
      <c r="P817" s="27"/>
      <c r="Q817" s="34"/>
      <c r="R817" s="36">
        <f t="shared" si="108"/>
        <v>0</v>
      </c>
      <c r="U817" s="39">
        <f t="shared" si="107"/>
        <v>0</v>
      </c>
      <c r="V817" s="41">
        <f t="shared" si="112"/>
        <v>0</v>
      </c>
    </row>
    <row r="818" spans="2:22" x14ac:dyDescent="0.25">
      <c r="B818" s="31">
        <f t="shared" si="110"/>
        <v>29</v>
      </c>
      <c r="C818" s="48" t="str">
        <f t="shared" si="113"/>
        <v/>
      </c>
      <c r="D818" s="47" t="str">
        <f t="shared" si="114"/>
        <v/>
      </c>
      <c r="E818" s="31" t="str">
        <f t="shared" si="109"/>
        <v>29</v>
      </c>
      <c r="I818" s="31" t="str">
        <f t="shared" si="111"/>
        <v xml:space="preserve">0                            </v>
      </c>
      <c r="P818" s="27"/>
      <c r="Q818" s="34"/>
      <c r="R818" s="36">
        <f t="shared" si="108"/>
        <v>0</v>
      </c>
      <c r="U818" s="39">
        <f t="shared" si="107"/>
        <v>0</v>
      </c>
      <c r="V818" s="41">
        <f t="shared" si="112"/>
        <v>0</v>
      </c>
    </row>
    <row r="819" spans="2:22" x14ac:dyDescent="0.25">
      <c r="B819" s="31">
        <f t="shared" si="110"/>
        <v>30</v>
      </c>
      <c r="C819" s="48" t="str">
        <f t="shared" si="113"/>
        <v/>
      </c>
      <c r="D819" s="47" t="str">
        <f t="shared" si="114"/>
        <v/>
      </c>
      <c r="E819" s="31" t="str">
        <f t="shared" si="109"/>
        <v>30</v>
      </c>
      <c r="I819" s="31" t="str">
        <f t="shared" si="111"/>
        <v xml:space="preserve">0                             </v>
      </c>
      <c r="P819" s="27"/>
      <c r="Q819" s="34"/>
      <c r="R819" s="36">
        <f t="shared" si="108"/>
        <v>0</v>
      </c>
      <c r="U819" s="39">
        <f t="shared" si="107"/>
        <v>0</v>
      </c>
      <c r="V819" s="41">
        <f t="shared" si="112"/>
        <v>0</v>
      </c>
    </row>
    <row r="820" spans="2:22" x14ac:dyDescent="0.25">
      <c r="B820" s="31">
        <f t="shared" si="110"/>
        <v>31</v>
      </c>
      <c r="C820" s="48" t="str">
        <f t="shared" si="113"/>
        <v/>
      </c>
      <c r="D820" s="47" t="str">
        <f t="shared" si="114"/>
        <v/>
      </c>
      <c r="E820" s="31" t="str">
        <f t="shared" si="109"/>
        <v>31</v>
      </c>
      <c r="I820" s="31" t="str">
        <f t="shared" si="111"/>
        <v xml:space="preserve">0                              </v>
      </c>
      <c r="P820" s="27"/>
      <c r="Q820" s="34"/>
      <c r="R820" s="36">
        <f t="shared" si="108"/>
        <v>0</v>
      </c>
      <c r="U820" s="39">
        <f t="shared" si="107"/>
        <v>0</v>
      </c>
      <c r="V820" s="41">
        <f t="shared" si="112"/>
        <v>0</v>
      </c>
    </row>
    <row r="821" spans="2:22" x14ac:dyDescent="0.25">
      <c r="B821" s="31">
        <f t="shared" si="110"/>
        <v>32</v>
      </c>
      <c r="C821" s="48" t="str">
        <f t="shared" si="113"/>
        <v/>
      </c>
      <c r="D821" s="47" t="str">
        <f t="shared" si="114"/>
        <v/>
      </c>
      <c r="E821" s="31" t="str">
        <f t="shared" si="109"/>
        <v>32</v>
      </c>
      <c r="I821" s="31" t="str">
        <f t="shared" si="111"/>
        <v xml:space="preserve">0                               </v>
      </c>
      <c r="P821" s="27"/>
      <c r="Q821" s="34"/>
      <c r="R821" s="36">
        <f t="shared" si="108"/>
        <v>0</v>
      </c>
      <c r="U821" s="39">
        <f t="shared" si="107"/>
        <v>0</v>
      </c>
      <c r="V821" s="41">
        <f t="shared" si="112"/>
        <v>0</v>
      </c>
    </row>
    <row r="822" spans="2:22" x14ac:dyDescent="0.25">
      <c r="B822" s="31">
        <f t="shared" si="110"/>
        <v>33</v>
      </c>
      <c r="C822" s="48" t="str">
        <f t="shared" si="113"/>
        <v/>
      </c>
      <c r="D822" s="47" t="str">
        <f t="shared" si="114"/>
        <v/>
      </c>
      <c r="E822" s="31" t="str">
        <f t="shared" si="109"/>
        <v>33</v>
      </c>
      <c r="I822" s="31" t="str">
        <f t="shared" si="111"/>
        <v xml:space="preserve">0                                </v>
      </c>
      <c r="P822" s="27"/>
      <c r="Q822" s="34"/>
      <c r="R822" s="36">
        <f t="shared" si="108"/>
        <v>0</v>
      </c>
      <c r="U822" s="39">
        <f t="shared" si="107"/>
        <v>0</v>
      </c>
      <c r="V822" s="41">
        <f t="shared" si="112"/>
        <v>0</v>
      </c>
    </row>
    <row r="823" spans="2:22" x14ac:dyDescent="0.25">
      <c r="B823" s="31">
        <f t="shared" si="110"/>
        <v>34</v>
      </c>
      <c r="C823" s="48" t="str">
        <f t="shared" si="113"/>
        <v/>
      </c>
      <c r="D823" s="47" t="str">
        <f t="shared" si="114"/>
        <v/>
      </c>
      <c r="E823" s="31" t="str">
        <f t="shared" si="109"/>
        <v>34</v>
      </c>
      <c r="I823" s="31" t="str">
        <f t="shared" si="111"/>
        <v xml:space="preserve">0                                 </v>
      </c>
      <c r="P823" s="27"/>
      <c r="Q823" s="34"/>
      <c r="R823" s="36">
        <f t="shared" si="108"/>
        <v>0</v>
      </c>
      <c r="U823" s="39">
        <f t="shared" si="107"/>
        <v>0</v>
      </c>
      <c r="V823" s="41">
        <f t="shared" si="112"/>
        <v>0</v>
      </c>
    </row>
    <row r="824" spans="2:22" x14ac:dyDescent="0.25">
      <c r="B824" s="31">
        <f t="shared" si="110"/>
        <v>35</v>
      </c>
      <c r="C824" s="48" t="str">
        <f t="shared" si="113"/>
        <v/>
      </c>
      <c r="D824" s="47" t="str">
        <f t="shared" si="114"/>
        <v/>
      </c>
      <c r="E824" s="31" t="str">
        <f t="shared" si="109"/>
        <v>35</v>
      </c>
      <c r="I824" s="31" t="str">
        <f t="shared" si="111"/>
        <v xml:space="preserve">0                                  </v>
      </c>
      <c r="P824" s="27"/>
      <c r="Q824" s="34"/>
      <c r="R824" s="36">
        <f t="shared" si="108"/>
        <v>0</v>
      </c>
      <c r="U824" s="39">
        <f t="shared" si="107"/>
        <v>0</v>
      </c>
      <c r="V824" s="41">
        <f t="shared" si="112"/>
        <v>0</v>
      </c>
    </row>
    <row r="825" spans="2:22" x14ac:dyDescent="0.25">
      <c r="B825" s="31">
        <f t="shared" si="110"/>
        <v>36</v>
      </c>
      <c r="C825" s="48" t="str">
        <f t="shared" si="113"/>
        <v/>
      </c>
      <c r="D825" s="47" t="str">
        <f t="shared" si="114"/>
        <v/>
      </c>
      <c r="E825" s="31" t="str">
        <f t="shared" si="109"/>
        <v>36</v>
      </c>
      <c r="I825" s="31" t="str">
        <f t="shared" si="111"/>
        <v xml:space="preserve">0                                   </v>
      </c>
      <c r="P825" s="27"/>
      <c r="Q825" s="34"/>
      <c r="R825" s="36">
        <f t="shared" si="108"/>
        <v>0</v>
      </c>
      <c r="U825" s="39">
        <f t="shared" si="107"/>
        <v>0</v>
      </c>
      <c r="V825" s="41">
        <f t="shared" si="112"/>
        <v>0</v>
      </c>
    </row>
    <row r="826" spans="2:22" x14ac:dyDescent="0.25">
      <c r="B826" s="31">
        <f t="shared" si="110"/>
        <v>37</v>
      </c>
      <c r="C826" s="48" t="str">
        <f t="shared" si="113"/>
        <v/>
      </c>
      <c r="D826" s="47" t="str">
        <f t="shared" si="114"/>
        <v/>
      </c>
      <c r="E826" s="31" t="str">
        <f t="shared" si="109"/>
        <v>37</v>
      </c>
      <c r="I826" s="31" t="str">
        <f t="shared" si="111"/>
        <v xml:space="preserve">0                                    </v>
      </c>
      <c r="P826" s="27"/>
      <c r="Q826" s="34"/>
      <c r="R826" s="36">
        <f t="shared" si="108"/>
        <v>0</v>
      </c>
      <c r="U826" s="39">
        <f t="shared" si="107"/>
        <v>0</v>
      </c>
      <c r="V826" s="41">
        <f t="shared" si="112"/>
        <v>0</v>
      </c>
    </row>
    <row r="827" spans="2:22" x14ac:dyDescent="0.25">
      <c r="B827" s="31">
        <f t="shared" si="110"/>
        <v>38</v>
      </c>
      <c r="C827" s="48" t="str">
        <f t="shared" si="113"/>
        <v/>
      </c>
      <c r="D827" s="47" t="str">
        <f t="shared" si="114"/>
        <v/>
      </c>
      <c r="E827" s="31" t="str">
        <f t="shared" si="109"/>
        <v>38</v>
      </c>
      <c r="I827" s="31" t="str">
        <f t="shared" si="111"/>
        <v xml:space="preserve">0                                     </v>
      </c>
      <c r="P827" s="27"/>
      <c r="Q827" s="34"/>
      <c r="R827" s="36">
        <f t="shared" si="108"/>
        <v>0</v>
      </c>
      <c r="U827" s="39">
        <f t="shared" si="107"/>
        <v>0</v>
      </c>
      <c r="V827" s="41">
        <f t="shared" si="112"/>
        <v>0</v>
      </c>
    </row>
    <row r="828" spans="2:22" x14ac:dyDescent="0.25">
      <c r="B828" s="31">
        <f t="shared" si="110"/>
        <v>39</v>
      </c>
      <c r="C828" s="48" t="str">
        <f t="shared" si="113"/>
        <v/>
      </c>
      <c r="D828" s="47" t="str">
        <f t="shared" si="114"/>
        <v/>
      </c>
      <c r="E828" s="31" t="str">
        <f t="shared" si="109"/>
        <v>39</v>
      </c>
      <c r="I828" s="31" t="str">
        <f t="shared" si="111"/>
        <v xml:space="preserve">0                                      </v>
      </c>
      <c r="P828" s="27"/>
      <c r="Q828" s="34"/>
      <c r="R828" s="36">
        <f t="shared" si="108"/>
        <v>0</v>
      </c>
      <c r="U828" s="39">
        <f t="shared" si="107"/>
        <v>0</v>
      </c>
      <c r="V828" s="41">
        <f t="shared" si="112"/>
        <v>0</v>
      </c>
    </row>
    <row r="829" spans="2:22" x14ac:dyDescent="0.25">
      <c r="B829" s="31">
        <f t="shared" si="110"/>
        <v>40</v>
      </c>
      <c r="C829" s="48" t="str">
        <f t="shared" si="113"/>
        <v/>
      </c>
      <c r="D829" s="47" t="str">
        <f t="shared" si="114"/>
        <v/>
      </c>
      <c r="E829" s="31" t="str">
        <f t="shared" si="109"/>
        <v>40</v>
      </c>
      <c r="I829" s="31" t="str">
        <f t="shared" si="111"/>
        <v xml:space="preserve">0                                       </v>
      </c>
      <c r="P829" s="27"/>
      <c r="Q829" s="34"/>
      <c r="R829" s="36">
        <f t="shared" si="108"/>
        <v>0</v>
      </c>
      <c r="U829" s="39">
        <f t="shared" si="107"/>
        <v>0</v>
      </c>
      <c r="V829" s="41">
        <f t="shared" si="112"/>
        <v>0</v>
      </c>
    </row>
    <row r="830" spans="2:22" x14ac:dyDescent="0.25">
      <c r="B830" s="31">
        <f t="shared" si="110"/>
        <v>41</v>
      </c>
      <c r="C830" s="48" t="str">
        <f t="shared" si="113"/>
        <v/>
      </c>
      <c r="D830" s="47" t="str">
        <f t="shared" si="114"/>
        <v/>
      </c>
      <c r="E830" s="31" t="str">
        <f t="shared" si="109"/>
        <v>41</v>
      </c>
      <c r="I830" s="31" t="str">
        <f t="shared" si="111"/>
        <v xml:space="preserve">0                                        </v>
      </c>
      <c r="P830" s="27"/>
      <c r="Q830" s="34"/>
      <c r="R830" s="36">
        <f t="shared" si="108"/>
        <v>0</v>
      </c>
      <c r="U830" s="39">
        <f t="shared" si="107"/>
        <v>0</v>
      </c>
      <c r="V830" s="41">
        <f t="shared" si="112"/>
        <v>0</v>
      </c>
    </row>
    <row r="831" spans="2:22" x14ac:dyDescent="0.25">
      <c r="B831" s="31">
        <f t="shared" si="110"/>
        <v>42</v>
      </c>
      <c r="C831" s="48" t="str">
        <f t="shared" si="113"/>
        <v/>
      </c>
      <c r="D831" s="47" t="str">
        <f t="shared" si="114"/>
        <v/>
      </c>
      <c r="E831" s="31" t="str">
        <f t="shared" si="109"/>
        <v>42</v>
      </c>
      <c r="I831" s="31" t="str">
        <f t="shared" si="111"/>
        <v xml:space="preserve">0                                         </v>
      </c>
      <c r="P831" s="27"/>
      <c r="Q831" s="34"/>
      <c r="R831" s="36">
        <f t="shared" si="108"/>
        <v>0</v>
      </c>
      <c r="U831" s="39">
        <f t="shared" si="107"/>
        <v>0</v>
      </c>
      <c r="V831" s="41">
        <f t="shared" si="112"/>
        <v>0</v>
      </c>
    </row>
    <row r="832" spans="2:22" x14ac:dyDescent="0.25">
      <c r="B832" s="31">
        <f t="shared" si="110"/>
        <v>43</v>
      </c>
      <c r="C832" s="48" t="str">
        <f t="shared" si="113"/>
        <v/>
      </c>
      <c r="D832" s="47" t="str">
        <f t="shared" si="114"/>
        <v/>
      </c>
      <c r="E832" s="31" t="str">
        <f t="shared" si="109"/>
        <v>43</v>
      </c>
      <c r="I832" s="31" t="str">
        <f t="shared" si="111"/>
        <v xml:space="preserve">0                                          </v>
      </c>
      <c r="P832" s="27"/>
      <c r="Q832" s="34"/>
      <c r="R832" s="36">
        <f t="shared" si="108"/>
        <v>0</v>
      </c>
      <c r="U832" s="39">
        <f t="shared" si="107"/>
        <v>0</v>
      </c>
      <c r="V832" s="41">
        <f t="shared" si="112"/>
        <v>0</v>
      </c>
    </row>
    <row r="833" spans="2:22" x14ac:dyDescent="0.25">
      <c r="B833" s="31">
        <f t="shared" si="110"/>
        <v>44</v>
      </c>
      <c r="C833" s="48" t="str">
        <f t="shared" si="113"/>
        <v/>
      </c>
      <c r="D833" s="47" t="str">
        <f t="shared" si="114"/>
        <v/>
      </c>
      <c r="E833" s="31" t="str">
        <f t="shared" si="109"/>
        <v>44</v>
      </c>
      <c r="I833" s="31" t="str">
        <f t="shared" si="111"/>
        <v xml:space="preserve">0                                           </v>
      </c>
      <c r="P833" s="27"/>
      <c r="Q833" s="34"/>
      <c r="R833" s="36">
        <f t="shared" si="108"/>
        <v>0</v>
      </c>
      <c r="U833" s="39">
        <f t="shared" si="107"/>
        <v>0</v>
      </c>
      <c r="V833" s="41">
        <f t="shared" si="112"/>
        <v>0</v>
      </c>
    </row>
    <row r="834" spans="2:22" x14ac:dyDescent="0.25">
      <c r="B834" s="31">
        <f t="shared" si="110"/>
        <v>45</v>
      </c>
      <c r="C834" s="48" t="str">
        <f t="shared" si="113"/>
        <v/>
      </c>
      <c r="D834" s="47" t="str">
        <f t="shared" si="114"/>
        <v/>
      </c>
      <c r="E834" s="31" t="str">
        <f t="shared" si="109"/>
        <v>45</v>
      </c>
      <c r="I834" s="31" t="str">
        <f t="shared" si="111"/>
        <v xml:space="preserve">0                                            </v>
      </c>
      <c r="P834" s="27"/>
      <c r="Q834" s="34"/>
      <c r="R834" s="36">
        <f t="shared" si="108"/>
        <v>0</v>
      </c>
      <c r="U834" s="39">
        <f t="shared" si="107"/>
        <v>0</v>
      </c>
      <c r="V834" s="41">
        <f t="shared" si="112"/>
        <v>0</v>
      </c>
    </row>
    <row r="835" spans="2:22" x14ac:dyDescent="0.25">
      <c r="B835" s="31">
        <f t="shared" si="110"/>
        <v>46</v>
      </c>
      <c r="C835" s="48" t="str">
        <f t="shared" si="113"/>
        <v/>
      </c>
      <c r="D835" s="47" t="str">
        <f t="shared" si="114"/>
        <v/>
      </c>
      <c r="E835" s="31" t="str">
        <f t="shared" si="109"/>
        <v>46</v>
      </c>
      <c r="I835" s="31" t="str">
        <f t="shared" si="111"/>
        <v xml:space="preserve">0                                             </v>
      </c>
      <c r="P835" s="27"/>
      <c r="Q835" s="34"/>
      <c r="R835" s="36">
        <f t="shared" si="108"/>
        <v>0</v>
      </c>
      <c r="U835" s="39">
        <f t="shared" si="107"/>
        <v>0</v>
      </c>
      <c r="V835" s="41">
        <f t="shared" si="112"/>
        <v>0</v>
      </c>
    </row>
    <row r="836" spans="2:22" x14ac:dyDescent="0.25">
      <c r="B836" s="31">
        <f t="shared" si="110"/>
        <v>47</v>
      </c>
      <c r="C836" s="48" t="str">
        <f t="shared" si="113"/>
        <v/>
      </c>
      <c r="D836" s="47" t="str">
        <f t="shared" si="114"/>
        <v/>
      </c>
      <c r="E836" s="31" t="str">
        <f t="shared" si="109"/>
        <v>47</v>
      </c>
      <c r="I836" s="31" t="str">
        <f t="shared" si="111"/>
        <v xml:space="preserve">0                                              </v>
      </c>
      <c r="P836" s="27"/>
      <c r="Q836" s="34"/>
      <c r="R836" s="36">
        <f t="shared" si="108"/>
        <v>0</v>
      </c>
      <c r="U836" s="39">
        <f t="shared" ref="U836:U899" si="115">+T836*S836</f>
        <v>0</v>
      </c>
      <c r="V836" s="41">
        <f t="shared" si="112"/>
        <v>0</v>
      </c>
    </row>
    <row r="837" spans="2:22" x14ac:dyDescent="0.25">
      <c r="B837" s="31">
        <f t="shared" si="110"/>
        <v>48</v>
      </c>
      <c r="C837" s="48" t="str">
        <f t="shared" si="113"/>
        <v/>
      </c>
      <c r="D837" s="47" t="str">
        <f t="shared" si="114"/>
        <v/>
      </c>
      <c r="E837" s="31" t="str">
        <f t="shared" si="109"/>
        <v>48</v>
      </c>
      <c r="I837" s="31" t="str">
        <f t="shared" si="111"/>
        <v xml:space="preserve">0                                               </v>
      </c>
      <c r="P837" s="27"/>
      <c r="Q837" s="34"/>
      <c r="R837" s="36">
        <f t="shared" si="108"/>
        <v>0</v>
      </c>
      <c r="U837" s="39">
        <f t="shared" si="115"/>
        <v>0</v>
      </c>
      <c r="V837" s="41">
        <f t="shared" si="112"/>
        <v>0</v>
      </c>
    </row>
    <row r="838" spans="2:22" x14ac:dyDescent="0.25">
      <c r="B838" s="31">
        <f t="shared" si="110"/>
        <v>49</v>
      </c>
      <c r="C838" s="48" t="str">
        <f t="shared" si="113"/>
        <v/>
      </c>
      <c r="D838" s="47" t="str">
        <f t="shared" si="114"/>
        <v/>
      </c>
      <c r="E838" s="31" t="str">
        <f t="shared" si="109"/>
        <v>49</v>
      </c>
      <c r="I838" s="31" t="str">
        <f t="shared" si="111"/>
        <v xml:space="preserve">0                                                </v>
      </c>
      <c r="P838" s="27"/>
      <c r="Q838" s="34"/>
      <c r="R838" s="36">
        <f t="shared" si="108"/>
        <v>0</v>
      </c>
      <c r="U838" s="39">
        <f t="shared" si="115"/>
        <v>0</v>
      </c>
      <c r="V838" s="41">
        <f t="shared" si="112"/>
        <v>0</v>
      </c>
    </row>
    <row r="839" spans="2:22" x14ac:dyDescent="0.25">
      <c r="B839" s="31">
        <f t="shared" si="110"/>
        <v>50</v>
      </c>
      <c r="C839" s="48" t="str">
        <f t="shared" si="113"/>
        <v/>
      </c>
      <c r="D839" s="47" t="str">
        <f t="shared" si="114"/>
        <v/>
      </c>
      <c r="E839" s="31" t="str">
        <f t="shared" si="109"/>
        <v>50</v>
      </c>
      <c r="I839" s="31" t="str">
        <f t="shared" si="111"/>
        <v xml:space="preserve">0                                                 </v>
      </c>
      <c r="P839" s="27"/>
      <c r="Q839" s="34"/>
      <c r="R839" s="36">
        <f t="shared" si="108"/>
        <v>0</v>
      </c>
      <c r="U839" s="39">
        <f t="shared" si="115"/>
        <v>0</v>
      </c>
      <c r="V839" s="41">
        <f t="shared" si="112"/>
        <v>0</v>
      </c>
    </row>
    <row r="840" spans="2:22" x14ac:dyDescent="0.25">
      <c r="B840" s="31">
        <f t="shared" si="110"/>
        <v>51</v>
      </c>
      <c r="C840" s="48" t="str">
        <f t="shared" si="113"/>
        <v/>
      </c>
      <c r="D840" s="47" t="str">
        <f t="shared" si="114"/>
        <v/>
      </c>
      <c r="E840" s="31" t="str">
        <f t="shared" si="109"/>
        <v>51</v>
      </c>
      <c r="I840" s="31" t="str">
        <f t="shared" si="111"/>
        <v xml:space="preserve">0                                                  </v>
      </c>
      <c r="P840" s="27"/>
      <c r="Q840" s="34"/>
      <c r="R840" s="36">
        <f t="shared" si="108"/>
        <v>0</v>
      </c>
      <c r="U840" s="39">
        <f t="shared" si="115"/>
        <v>0</v>
      </c>
      <c r="V840" s="41">
        <f t="shared" si="112"/>
        <v>0</v>
      </c>
    </row>
    <row r="841" spans="2:22" x14ac:dyDescent="0.25">
      <c r="B841" s="31">
        <f t="shared" si="110"/>
        <v>52</v>
      </c>
      <c r="C841" s="48" t="str">
        <f t="shared" si="113"/>
        <v/>
      </c>
      <c r="D841" s="47" t="str">
        <f t="shared" si="114"/>
        <v/>
      </c>
      <c r="E841" s="31" t="str">
        <f t="shared" si="109"/>
        <v>52</v>
      </c>
      <c r="I841" s="31" t="str">
        <f t="shared" si="111"/>
        <v xml:space="preserve">0                                                   </v>
      </c>
      <c r="P841" s="27"/>
      <c r="Q841" s="34"/>
      <c r="R841" s="36">
        <f t="shared" si="108"/>
        <v>0</v>
      </c>
      <c r="U841" s="39">
        <f t="shared" si="115"/>
        <v>0</v>
      </c>
      <c r="V841" s="41">
        <f t="shared" si="112"/>
        <v>0</v>
      </c>
    </row>
    <row r="842" spans="2:22" x14ac:dyDescent="0.25">
      <c r="B842" s="31">
        <f t="shared" si="110"/>
        <v>53</v>
      </c>
      <c r="C842" s="48" t="str">
        <f t="shared" si="113"/>
        <v/>
      </c>
      <c r="D842" s="47" t="str">
        <f t="shared" si="114"/>
        <v/>
      </c>
      <c r="E842" s="31" t="str">
        <f t="shared" si="109"/>
        <v>53</v>
      </c>
      <c r="I842" s="31" t="str">
        <f t="shared" si="111"/>
        <v xml:space="preserve">0                                                    </v>
      </c>
      <c r="P842" s="27"/>
      <c r="Q842" s="34"/>
      <c r="R842" s="36">
        <f t="shared" si="108"/>
        <v>0</v>
      </c>
      <c r="U842" s="39">
        <f t="shared" si="115"/>
        <v>0</v>
      </c>
      <c r="V842" s="41">
        <f t="shared" si="112"/>
        <v>0</v>
      </c>
    </row>
    <row r="843" spans="2:22" x14ac:dyDescent="0.25">
      <c r="B843" s="31">
        <f t="shared" si="110"/>
        <v>54</v>
      </c>
      <c r="C843" s="48" t="str">
        <f t="shared" si="113"/>
        <v/>
      </c>
      <c r="D843" s="47" t="str">
        <f t="shared" si="114"/>
        <v/>
      </c>
      <c r="E843" s="31" t="str">
        <f t="shared" si="109"/>
        <v>54</v>
      </c>
      <c r="I843" s="31" t="str">
        <f t="shared" si="111"/>
        <v xml:space="preserve">0                                                     </v>
      </c>
      <c r="P843" s="27"/>
      <c r="Q843" s="34"/>
      <c r="R843" s="36">
        <f t="shared" si="108"/>
        <v>0</v>
      </c>
      <c r="U843" s="39">
        <f t="shared" si="115"/>
        <v>0</v>
      </c>
      <c r="V843" s="41">
        <f t="shared" si="112"/>
        <v>0</v>
      </c>
    </row>
    <row r="844" spans="2:22" x14ac:dyDescent="0.25">
      <c r="B844" s="31">
        <f t="shared" si="110"/>
        <v>55</v>
      </c>
      <c r="C844" s="48" t="str">
        <f t="shared" si="113"/>
        <v/>
      </c>
      <c r="D844" s="47" t="str">
        <f t="shared" si="114"/>
        <v/>
      </c>
      <c r="E844" s="31" t="str">
        <f t="shared" si="109"/>
        <v>55</v>
      </c>
      <c r="I844" s="31" t="str">
        <f t="shared" si="111"/>
        <v xml:space="preserve">0                                                      </v>
      </c>
      <c r="P844" s="27"/>
      <c r="Q844" s="34"/>
      <c r="R844" s="36">
        <f t="shared" si="108"/>
        <v>0</v>
      </c>
      <c r="U844" s="39">
        <f t="shared" si="115"/>
        <v>0</v>
      </c>
      <c r="V844" s="41">
        <f t="shared" si="112"/>
        <v>0</v>
      </c>
    </row>
    <row r="845" spans="2:22" x14ac:dyDescent="0.25">
      <c r="B845" s="31">
        <f t="shared" si="110"/>
        <v>56</v>
      </c>
      <c r="C845" s="48" t="str">
        <f t="shared" si="113"/>
        <v/>
      </c>
      <c r="D845" s="47" t="str">
        <f t="shared" si="114"/>
        <v/>
      </c>
      <c r="E845" s="31" t="str">
        <f t="shared" si="109"/>
        <v>56</v>
      </c>
      <c r="I845" s="31" t="str">
        <f t="shared" si="111"/>
        <v xml:space="preserve">0                                                       </v>
      </c>
      <c r="P845" s="27"/>
      <c r="Q845" s="34"/>
      <c r="R845" s="36">
        <f t="shared" si="108"/>
        <v>0</v>
      </c>
      <c r="U845" s="39">
        <f t="shared" si="115"/>
        <v>0</v>
      </c>
      <c r="V845" s="41">
        <f t="shared" si="112"/>
        <v>0</v>
      </c>
    </row>
    <row r="846" spans="2:22" x14ac:dyDescent="0.25">
      <c r="B846" s="31">
        <f t="shared" si="110"/>
        <v>57</v>
      </c>
      <c r="C846" s="48" t="str">
        <f t="shared" si="113"/>
        <v/>
      </c>
      <c r="D846" s="47" t="str">
        <f t="shared" si="114"/>
        <v/>
      </c>
      <c r="E846" s="31" t="str">
        <f t="shared" si="109"/>
        <v>57</v>
      </c>
      <c r="I846" s="31" t="str">
        <f t="shared" si="111"/>
        <v xml:space="preserve">0                                                        </v>
      </c>
      <c r="P846" s="27"/>
      <c r="Q846" s="34"/>
      <c r="R846" s="36">
        <f t="shared" si="108"/>
        <v>0</v>
      </c>
      <c r="U846" s="39">
        <f t="shared" si="115"/>
        <v>0</v>
      </c>
      <c r="V846" s="41">
        <f t="shared" si="112"/>
        <v>0</v>
      </c>
    </row>
    <row r="847" spans="2:22" x14ac:dyDescent="0.25">
      <c r="B847" s="31">
        <f t="shared" si="110"/>
        <v>58</v>
      </c>
      <c r="C847" s="48" t="str">
        <f t="shared" si="113"/>
        <v/>
      </c>
      <c r="D847" s="47" t="str">
        <f t="shared" si="114"/>
        <v/>
      </c>
      <c r="E847" s="31" t="str">
        <f t="shared" si="109"/>
        <v>58</v>
      </c>
      <c r="I847" s="31" t="str">
        <f t="shared" si="111"/>
        <v xml:space="preserve">0                                                         </v>
      </c>
      <c r="P847" s="27"/>
      <c r="Q847" s="34"/>
      <c r="R847" s="36">
        <f t="shared" ref="R847:R910" si="116">Q847*P847</f>
        <v>0</v>
      </c>
      <c r="U847" s="39">
        <f t="shared" si="115"/>
        <v>0</v>
      </c>
      <c r="V847" s="41">
        <f t="shared" si="112"/>
        <v>0</v>
      </c>
    </row>
    <row r="848" spans="2:22" x14ac:dyDescent="0.25">
      <c r="B848" s="31">
        <f t="shared" si="110"/>
        <v>59</v>
      </c>
      <c r="C848" s="48" t="str">
        <f t="shared" si="113"/>
        <v/>
      </c>
      <c r="D848" s="47" t="str">
        <f t="shared" si="114"/>
        <v/>
      </c>
      <c r="E848" s="31" t="str">
        <f t="shared" si="109"/>
        <v>59</v>
      </c>
      <c r="I848" s="31" t="str">
        <f t="shared" si="111"/>
        <v xml:space="preserve">0                                                          </v>
      </c>
      <c r="P848" s="27"/>
      <c r="Q848" s="34"/>
      <c r="R848" s="36">
        <f t="shared" si="116"/>
        <v>0</v>
      </c>
      <c r="U848" s="39">
        <f t="shared" si="115"/>
        <v>0</v>
      </c>
      <c r="V848" s="41">
        <f t="shared" si="112"/>
        <v>0</v>
      </c>
    </row>
    <row r="849" spans="2:22" x14ac:dyDescent="0.25">
      <c r="B849" s="31">
        <f t="shared" si="110"/>
        <v>60</v>
      </c>
      <c r="C849" s="48" t="str">
        <f t="shared" si="113"/>
        <v/>
      </c>
      <c r="D849" s="47" t="str">
        <f t="shared" si="114"/>
        <v/>
      </c>
      <c r="E849" s="31" t="str">
        <f t="shared" ref="E849:E912" si="117">CONCATENATE(A849,D849,B849)</f>
        <v>60</v>
      </c>
      <c r="I849" s="31" t="str">
        <f t="shared" si="111"/>
        <v xml:space="preserve">0                                                           </v>
      </c>
      <c r="P849" s="27"/>
      <c r="Q849" s="34"/>
      <c r="R849" s="36">
        <f t="shared" si="116"/>
        <v>0</v>
      </c>
      <c r="U849" s="39">
        <f t="shared" si="115"/>
        <v>0</v>
      </c>
      <c r="V849" s="41">
        <f t="shared" si="112"/>
        <v>0</v>
      </c>
    </row>
    <row r="850" spans="2:22" x14ac:dyDescent="0.25">
      <c r="B850" s="31">
        <f t="shared" si="110"/>
        <v>61</v>
      </c>
      <c r="C850" s="48" t="str">
        <f t="shared" si="113"/>
        <v/>
      </c>
      <c r="D850" s="47" t="str">
        <f t="shared" si="114"/>
        <v/>
      </c>
      <c r="E850" s="31" t="str">
        <f t="shared" si="117"/>
        <v>61</v>
      </c>
      <c r="I850" s="31" t="str">
        <f t="shared" si="111"/>
        <v xml:space="preserve">0                                                            </v>
      </c>
      <c r="P850" s="27"/>
      <c r="Q850" s="34"/>
      <c r="R850" s="36">
        <f t="shared" si="116"/>
        <v>0</v>
      </c>
      <c r="U850" s="39">
        <f t="shared" si="115"/>
        <v>0</v>
      </c>
      <c r="V850" s="41">
        <f t="shared" si="112"/>
        <v>0</v>
      </c>
    </row>
    <row r="851" spans="2:22" x14ac:dyDescent="0.25">
      <c r="B851" s="31">
        <f t="shared" si="110"/>
        <v>62</v>
      </c>
      <c r="C851" s="48" t="str">
        <f t="shared" si="113"/>
        <v/>
      </c>
      <c r="D851" s="47" t="str">
        <f t="shared" si="114"/>
        <v/>
      </c>
      <c r="E851" s="31" t="str">
        <f t="shared" si="117"/>
        <v>62</v>
      </c>
      <c r="I851" s="31" t="str">
        <f t="shared" si="111"/>
        <v xml:space="preserve">0                                                             </v>
      </c>
      <c r="P851" s="27"/>
      <c r="Q851" s="34"/>
      <c r="R851" s="36">
        <f t="shared" si="116"/>
        <v>0</v>
      </c>
      <c r="U851" s="39">
        <f t="shared" si="115"/>
        <v>0</v>
      </c>
      <c r="V851" s="41">
        <f t="shared" si="112"/>
        <v>0</v>
      </c>
    </row>
    <row r="852" spans="2:22" x14ac:dyDescent="0.25">
      <c r="B852" s="31">
        <f t="shared" si="110"/>
        <v>63</v>
      </c>
      <c r="C852" s="48" t="str">
        <f t="shared" si="113"/>
        <v/>
      </c>
      <c r="D852" s="47" t="str">
        <f t="shared" si="114"/>
        <v/>
      </c>
      <c r="E852" s="31" t="str">
        <f t="shared" si="117"/>
        <v>63</v>
      </c>
      <c r="I852" s="31" t="str">
        <f t="shared" si="111"/>
        <v xml:space="preserve">0                                                              </v>
      </c>
      <c r="P852" s="27"/>
      <c r="Q852" s="34"/>
      <c r="R852" s="36">
        <f t="shared" si="116"/>
        <v>0</v>
      </c>
      <c r="U852" s="39">
        <f t="shared" si="115"/>
        <v>0</v>
      </c>
      <c r="V852" s="41">
        <f t="shared" si="112"/>
        <v>0</v>
      </c>
    </row>
    <row r="853" spans="2:22" x14ac:dyDescent="0.25">
      <c r="B853" s="31">
        <f t="shared" si="110"/>
        <v>64</v>
      </c>
      <c r="C853" s="48" t="str">
        <f t="shared" si="113"/>
        <v/>
      </c>
      <c r="D853" s="47" t="str">
        <f t="shared" si="114"/>
        <v/>
      </c>
      <c r="E853" s="31" t="str">
        <f t="shared" si="117"/>
        <v>64</v>
      </c>
      <c r="I853" s="31" t="str">
        <f t="shared" si="111"/>
        <v xml:space="preserve">0                                                               </v>
      </c>
      <c r="P853" s="27"/>
      <c r="Q853" s="34"/>
      <c r="R853" s="36">
        <f t="shared" si="116"/>
        <v>0</v>
      </c>
      <c r="U853" s="39">
        <f t="shared" si="115"/>
        <v>0</v>
      </c>
      <c r="V853" s="41">
        <f t="shared" si="112"/>
        <v>0</v>
      </c>
    </row>
    <row r="854" spans="2:22" x14ac:dyDescent="0.25">
      <c r="B854" s="31">
        <f t="shared" si="110"/>
        <v>65</v>
      </c>
      <c r="C854" s="48" t="str">
        <f t="shared" si="113"/>
        <v/>
      </c>
      <c r="D854" s="47" t="str">
        <f t="shared" si="114"/>
        <v/>
      </c>
      <c r="E854" s="31" t="str">
        <f t="shared" si="117"/>
        <v>65</v>
      </c>
      <c r="I854" s="31" t="str">
        <f t="shared" si="111"/>
        <v xml:space="preserve">0                                                                </v>
      </c>
      <c r="P854" s="27"/>
      <c r="Q854" s="34"/>
      <c r="R854" s="36">
        <f t="shared" si="116"/>
        <v>0</v>
      </c>
      <c r="U854" s="39">
        <f t="shared" si="115"/>
        <v>0</v>
      </c>
      <c r="V854" s="41">
        <f t="shared" si="112"/>
        <v>0</v>
      </c>
    </row>
    <row r="855" spans="2:22" x14ac:dyDescent="0.25">
      <c r="B855" s="31">
        <f t="shared" si="110"/>
        <v>66</v>
      </c>
      <c r="C855" s="48" t="str">
        <f t="shared" si="113"/>
        <v/>
      </c>
      <c r="D855" s="47" t="str">
        <f t="shared" si="114"/>
        <v/>
      </c>
      <c r="E855" s="31" t="str">
        <f t="shared" si="117"/>
        <v>66</v>
      </c>
      <c r="I855" s="31" t="str">
        <f t="shared" si="111"/>
        <v xml:space="preserve">0                                                                 </v>
      </c>
      <c r="P855" s="27"/>
      <c r="Q855" s="34"/>
      <c r="R855" s="36">
        <f t="shared" si="116"/>
        <v>0</v>
      </c>
      <c r="U855" s="39">
        <f t="shared" si="115"/>
        <v>0</v>
      </c>
      <c r="V855" s="41">
        <f t="shared" si="112"/>
        <v>0</v>
      </c>
    </row>
    <row r="856" spans="2:22" x14ac:dyDescent="0.25">
      <c r="B856" s="31">
        <f t="shared" si="110"/>
        <v>67</v>
      </c>
      <c r="C856" s="48" t="str">
        <f t="shared" si="113"/>
        <v/>
      </c>
      <c r="D856" s="47" t="str">
        <f t="shared" si="114"/>
        <v/>
      </c>
      <c r="E856" s="31" t="str">
        <f t="shared" si="117"/>
        <v>67</v>
      </c>
      <c r="I856" s="31" t="str">
        <f t="shared" si="111"/>
        <v xml:space="preserve">0                                                                  </v>
      </c>
      <c r="P856" s="27"/>
      <c r="Q856" s="34"/>
      <c r="R856" s="36">
        <f t="shared" si="116"/>
        <v>0</v>
      </c>
      <c r="U856" s="39">
        <f t="shared" si="115"/>
        <v>0</v>
      </c>
      <c r="V856" s="41">
        <f t="shared" si="112"/>
        <v>0</v>
      </c>
    </row>
    <row r="857" spans="2:22" x14ac:dyDescent="0.25">
      <c r="B857" s="31">
        <f t="shared" si="110"/>
        <v>68</v>
      </c>
      <c r="C857" s="48" t="str">
        <f t="shared" si="113"/>
        <v/>
      </c>
      <c r="D857" s="47" t="str">
        <f t="shared" si="114"/>
        <v/>
      </c>
      <c r="E857" s="31" t="str">
        <f t="shared" si="117"/>
        <v>68</v>
      </c>
      <c r="I857" s="31" t="str">
        <f t="shared" si="111"/>
        <v xml:space="preserve">0                                                                   </v>
      </c>
      <c r="P857" s="27"/>
      <c r="Q857" s="34"/>
      <c r="R857" s="36">
        <f t="shared" si="116"/>
        <v>0</v>
      </c>
      <c r="U857" s="39">
        <f t="shared" si="115"/>
        <v>0</v>
      </c>
      <c r="V857" s="41">
        <f t="shared" si="112"/>
        <v>0</v>
      </c>
    </row>
    <row r="858" spans="2:22" x14ac:dyDescent="0.25">
      <c r="B858" s="31">
        <f t="shared" si="110"/>
        <v>69</v>
      </c>
      <c r="C858" s="48" t="str">
        <f t="shared" si="113"/>
        <v/>
      </c>
      <c r="D858" s="47" t="str">
        <f t="shared" si="114"/>
        <v/>
      </c>
      <c r="E858" s="31" t="str">
        <f t="shared" si="117"/>
        <v>69</v>
      </c>
      <c r="I858" s="31" t="str">
        <f t="shared" si="111"/>
        <v xml:space="preserve">0                                                                    </v>
      </c>
      <c r="P858" s="27"/>
      <c r="Q858" s="34"/>
      <c r="R858" s="36">
        <f t="shared" si="116"/>
        <v>0</v>
      </c>
      <c r="U858" s="39">
        <f t="shared" si="115"/>
        <v>0</v>
      </c>
      <c r="V858" s="41">
        <f t="shared" si="112"/>
        <v>0</v>
      </c>
    </row>
    <row r="859" spans="2:22" x14ac:dyDescent="0.25">
      <c r="B859" s="31">
        <f t="shared" si="110"/>
        <v>70</v>
      </c>
      <c r="C859" s="48" t="str">
        <f t="shared" si="113"/>
        <v/>
      </c>
      <c r="D859" s="47" t="str">
        <f t="shared" si="114"/>
        <v/>
      </c>
      <c r="E859" s="31" t="str">
        <f t="shared" si="117"/>
        <v>70</v>
      </c>
      <c r="I859" s="31" t="str">
        <f t="shared" si="111"/>
        <v xml:space="preserve">0                                                                     </v>
      </c>
      <c r="P859" s="27"/>
      <c r="Q859" s="34"/>
      <c r="R859" s="36">
        <f t="shared" si="116"/>
        <v>0</v>
      </c>
      <c r="U859" s="39">
        <f t="shared" si="115"/>
        <v>0</v>
      </c>
      <c r="V859" s="41">
        <f t="shared" si="112"/>
        <v>0</v>
      </c>
    </row>
    <row r="860" spans="2:22" x14ac:dyDescent="0.25">
      <c r="B860" s="31">
        <f t="shared" si="110"/>
        <v>71</v>
      </c>
      <c r="C860" s="48" t="str">
        <f t="shared" si="113"/>
        <v/>
      </c>
      <c r="D860" s="47" t="str">
        <f t="shared" si="114"/>
        <v/>
      </c>
      <c r="E860" s="31" t="str">
        <f t="shared" si="117"/>
        <v>71</v>
      </c>
      <c r="I860" s="31" t="str">
        <f t="shared" si="111"/>
        <v xml:space="preserve">0                                                                      </v>
      </c>
      <c r="P860" s="27"/>
      <c r="Q860" s="34"/>
      <c r="R860" s="36">
        <f t="shared" si="116"/>
        <v>0</v>
      </c>
      <c r="U860" s="39">
        <f t="shared" si="115"/>
        <v>0</v>
      </c>
      <c r="V860" s="41">
        <f t="shared" si="112"/>
        <v>0</v>
      </c>
    </row>
    <row r="861" spans="2:22" x14ac:dyDescent="0.25">
      <c r="B861" s="31">
        <f t="shared" si="110"/>
        <v>72</v>
      </c>
      <c r="C861" s="48" t="str">
        <f t="shared" si="113"/>
        <v/>
      </c>
      <c r="D861" s="47" t="str">
        <f t="shared" si="114"/>
        <v/>
      </c>
      <c r="E861" s="31" t="str">
        <f t="shared" si="117"/>
        <v>72</v>
      </c>
      <c r="I861" s="31" t="str">
        <f t="shared" si="111"/>
        <v xml:space="preserve">0                                                                       </v>
      </c>
      <c r="P861" s="27"/>
      <c r="Q861" s="34"/>
      <c r="R861" s="36">
        <f t="shared" si="116"/>
        <v>0</v>
      </c>
      <c r="U861" s="39">
        <f t="shared" si="115"/>
        <v>0</v>
      </c>
      <c r="V861" s="41">
        <f t="shared" si="112"/>
        <v>0</v>
      </c>
    </row>
    <row r="862" spans="2:22" x14ac:dyDescent="0.25">
      <c r="B862" s="31">
        <f t="shared" si="110"/>
        <v>73</v>
      </c>
      <c r="C862" s="48" t="str">
        <f t="shared" si="113"/>
        <v/>
      </c>
      <c r="D862" s="47" t="str">
        <f t="shared" si="114"/>
        <v/>
      </c>
      <c r="E862" s="31" t="str">
        <f t="shared" si="117"/>
        <v>73</v>
      </c>
      <c r="I862" s="31" t="str">
        <f t="shared" si="111"/>
        <v xml:space="preserve">0                                                                        </v>
      </c>
      <c r="P862" s="27"/>
      <c r="Q862" s="34"/>
      <c r="R862" s="36">
        <f t="shared" si="116"/>
        <v>0</v>
      </c>
      <c r="U862" s="39">
        <f t="shared" si="115"/>
        <v>0</v>
      </c>
      <c r="V862" s="41">
        <f t="shared" si="112"/>
        <v>0</v>
      </c>
    </row>
    <row r="863" spans="2:22" x14ac:dyDescent="0.25">
      <c r="B863" s="31">
        <f t="shared" ref="B863:B926" si="118">IF(A863=A862,B862+1,1)</f>
        <v>74</v>
      </c>
      <c r="C863" s="48" t="str">
        <f t="shared" si="113"/>
        <v/>
      </c>
      <c r="D863" s="47" t="str">
        <f t="shared" si="114"/>
        <v/>
      </c>
      <c r="E863" s="31" t="str">
        <f t="shared" si="117"/>
        <v>74</v>
      </c>
      <c r="I863" s="31" t="str">
        <f t="shared" ref="I863:I926" si="119">IF(A863=A862,CONCATENATE(I862," ",H863),H863)</f>
        <v xml:space="preserve">0                                                                         </v>
      </c>
      <c r="P863" s="27"/>
      <c r="Q863" s="34"/>
      <c r="R863" s="36">
        <f t="shared" si="116"/>
        <v>0</v>
      </c>
      <c r="U863" s="39">
        <f t="shared" si="115"/>
        <v>0</v>
      </c>
      <c r="V863" s="41">
        <f t="shared" ref="V863:V926" si="120">IF(A863=A862,V862+U863,U863)</f>
        <v>0</v>
      </c>
    </row>
    <row r="864" spans="2:22" x14ac:dyDescent="0.25">
      <c r="B864" s="31">
        <f t="shared" si="118"/>
        <v>75</v>
      </c>
      <c r="C864" s="48" t="str">
        <f t="shared" si="113"/>
        <v/>
      </c>
      <c r="D864" s="47" t="str">
        <f t="shared" si="114"/>
        <v/>
      </c>
      <c r="E864" s="31" t="str">
        <f t="shared" si="117"/>
        <v>75</v>
      </c>
      <c r="I864" s="31" t="str">
        <f t="shared" si="119"/>
        <v xml:space="preserve">0                                                                          </v>
      </c>
      <c r="P864" s="27"/>
      <c r="Q864" s="34"/>
      <c r="R864" s="36">
        <f t="shared" si="116"/>
        <v>0</v>
      </c>
      <c r="U864" s="39">
        <f t="shared" si="115"/>
        <v>0</v>
      </c>
      <c r="V864" s="41">
        <f t="shared" si="120"/>
        <v>0</v>
      </c>
    </row>
    <row r="865" spans="2:22" x14ac:dyDescent="0.25">
      <c r="B865" s="31">
        <f t="shared" si="118"/>
        <v>76</v>
      </c>
      <c r="C865" s="48" t="str">
        <f t="shared" si="113"/>
        <v/>
      </c>
      <c r="D865" s="47" t="str">
        <f t="shared" si="114"/>
        <v/>
      </c>
      <c r="E865" s="31" t="str">
        <f t="shared" si="117"/>
        <v>76</v>
      </c>
      <c r="I865" s="31" t="str">
        <f t="shared" si="119"/>
        <v xml:space="preserve">0                                                                           </v>
      </c>
      <c r="P865" s="27"/>
      <c r="Q865" s="34"/>
      <c r="R865" s="36">
        <f t="shared" si="116"/>
        <v>0</v>
      </c>
      <c r="U865" s="39">
        <f t="shared" si="115"/>
        <v>0</v>
      </c>
      <c r="V865" s="41">
        <f t="shared" si="120"/>
        <v>0</v>
      </c>
    </row>
    <row r="866" spans="2:22" x14ac:dyDescent="0.25">
      <c r="B866" s="31">
        <f t="shared" si="118"/>
        <v>77</v>
      </c>
      <c r="C866" s="48" t="str">
        <f t="shared" si="113"/>
        <v/>
      </c>
      <c r="D866" s="47" t="str">
        <f t="shared" si="114"/>
        <v/>
      </c>
      <c r="E866" s="31" t="str">
        <f t="shared" si="117"/>
        <v>77</v>
      </c>
      <c r="I866" s="31" t="str">
        <f t="shared" si="119"/>
        <v xml:space="preserve">0                                                                            </v>
      </c>
      <c r="P866" s="27"/>
      <c r="Q866" s="34"/>
      <c r="R866" s="36">
        <f t="shared" si="116"/>
        <v>0</v>
      </c>
      <c r="U866" s="39">
        <f t="shared" si="115"/>
        <v>0</v>
      </c>
      <c r="V866" s="41">
        <f t="shared" si="120"/>
        <v>0</v>
      </c>
    </row>
    <row r="867" spans="2:22" x14ac:dyDescent="0.25">
      <c r="B867" s="31">
        <f t="shared" si="118"/>
        <v>78</v>
      </c>
      <c r="C867" s="48" t="str">
        <f t="shared" ref="C867:C930" si="121">IF(A867=A866,C866,"")</f>
        <v/>
      </c>
      <c r="D867" s="47" t="str">
        <f t="shared" ref="D867:D930" si="122">IF(A867=A866,D866,"")</f>
        <v/>
      </c>
      <c r="E867" s="31" t="str">
        <f t="shared" si="117"/>
        <v>78</v>
      </c>
      <c r="I867" s="31" t="str">
        <f t="shared" si="119"/>
        <v xml:space="preserve">0                                                                             </v>
      </c>
      <c r="P867" s="27"/>
      <c r="Q867" s="34"/>
      <c r="R867" s="36">
        <f t="shared" si="116"/>
        <v>0</v>
      </c>
      <c r="U867" s="39">
        <f t="shared" si="115"/>
        <v>0</v>
      </c>
      <c r="V867" s="41">
        <f t="shared" si="120"/>
        <v>0</v>
      </c>
    </row>
    <row r="868" spans="2:22" x14ac:dyDescent="0.25">
      <c r="B868" s="31">
        <f t="shared" si="118"/>
        <v>79</v>
      </c>
      <c r="C868" s="48" t="str">
        <f t="shared" si="121"/>
        <v/>
      </c>
      <c r="D868" s="47" t="str">
        <f t="shared" si="122"/>
        <v/>
      </c>
      <c r="E868" s="31" t="str">
        <f t="shared" si="117"/>
        <v>79</v>
      </c>
      <c r="I868" s="31" t="str">
        <f t="shared" si="119"/>
        <v xml:space="preserve">0                                                                              </v>
      </c>
      <c r="P868" s="27"/>
      <c r="Q868" s="34"/>
      <c r="R868" s="36">
        <f t="shared" si="116"/>
        <v>0</v>
      </c>
      <c r="U868" s="39">
        <f t="shared" si="115"/>
        <v>0</v>
      </c>
      <c r="V868" s="41">
        <f t="shared" si="120"/>
        <v>0</v>
      </c>
    </row>
    <row r="869" spans="2:22" x14ac:dyDescent="0.25">
      <c r="B869" s="31">
        <f t="shared" si="118"/>
        <v>80</v>
      </c>
      <c r="C869" s="48" t="str">
        <f t="shared" si="121"/>
        <v/>
      </c>
      <c r="D869" s="47" t="str">
        <f t="shared" si="122"/>
        <v/>
      </c>
      <c r="E869" s="31" t="str">
        <f t="shared" si="117"/>
        <v>80</v>
      </c>
      <c r="I869" s="31" t="str">
        <f t="shared" si="119"/>
        <v xml:space="preserve">0                                                                               </v>
      </c>
      <c r="P869" s="27"/>
      <c r="Q869" s="34"/>
      <c r="R869" s="36">
        <f t="shared" si="116"/>
        <v>0</v>
      </c>
      <c r="U869" s="39">
        <f t="shared" si="115"/>
        <v>0</v>
      </c>
      <c r="V869" s="41">
        <f t="shared" si="120"/>
        <v>0</v>
      </c>
    </row>
    <row r="870" spans="2:22" x14ac:dyDescent="0.25">
      <c r="B870" s="31">
        <f t="shared" si="118"/>
        <v>81</v>
      </c>
      <c r="C870" s="48" t="str">
        <f t="shared" si="121"/>
        <v/>
      </c>
      <c r="D870" s="47" t="str">
        <f t="shared" si="122"/>
        <v/>
      </c>
      <c r="E870" s="31" t="str">
        <f t="shared" si="117"/>
        <v>81</v>
      </c>
      <c r="I870" s="31" t="str">
        <f t="shared" si="119"/>
        <v xml:space="preserve">0                                                                                </v>
      </c>
      <c r="P870" s="27"/>
      <c r="Q870" s="34"/>
      <c r="R870" s="36">
        <f t="shared" si="116"/>
        <v>0</v>
      </c>
      <c r="U870" s="39">
        <f t="shared" si="115"/>
        <v>0</v>
      </c>
      <c r="V870" s="41">
        <f t="shared" si="120"/>
        <v>0</v>
      </c>
    </row>
    <row r="871" spans="2:22" x14ac:dyDescent="0.25">
      <c r="B871" s="31">
        <f t="shared" si="118"/>
        <v>82</v>
      </c>
      <c r="C871" s="48" t="str">
        <f t="shared" si="121"/>
        <v/>
      </c>
      <c r="D871" s="47" t="str">
        <f t="shared" si="122"/>
        <v/>
      </c>
      <c r="E871" s="31" t="str">
        <f t="shared" si="117"/>
        <v>82</v>
      </c>
      <c r="I871" s="31" t="str">
        <f t="shared" si="119"/>
        <v xml:space="preserve">0                                                                                 </v>
      </c>
      <c r="P871" s="27"/>
      <c r="Q871" s="34"/>
      <c r="R871" s="36">
        <f t="shared" si="116"/>
        <v>0</v>
      </c>
      <c r="U871" s="39">
        <f t="shared" si="115"/>
        <v>0</v>
      </c>
      <c r="V871" s="41">
        <f t="shared" si="120"/>
        <v>0</v>
      </c>
    </row>
    <row r="872" spans="2:22" x14ac:dyDescent="0.25">
      <c r="B872" s="31">
        <f t="shared" si="118"/>
        <v>83</v>
      </c>
      <c r="C872" s="48" t="str">
        <f t="shared" si="121"/>
        <v/>
      </c>
      <c r="D872" s="47" t="str">
        <f t="shared" si="122"/>
        <v/>
      </c>
      <c r="E872" s="31" t="str">
        <f t="shared" si="117"/>
        <v>83</v>
      </c>
      <c r="I872" s="31" t="str">
        <f t="shared" si="119"/>
        <v xml:space="preserve">0                                                                                  </v>
      </c>
      <c r="P872" s="27"/>
      <c r="Q872" s="34"/>
      <c r="R872" s="36">
        <f t="shared" si="116"/>
        <v>0</v>
      </c>
      <c r="U872" s="39">
        <f t="shared" si="115"/>
        <v>0</v>
      </c>
      <c r="V872" s="41">
        <f t="shared" si="120"/>
        <v>0</v>
      </c>
    </row>
    <row r="873" spans="2:22" x14ac:dyDescent="0.25">
      <c r="B873" s="31">
        <f t="shared" si="118"/>
        <v>84</v>
      </c>
      <c r="C873" s="48" t="str">
        <f t="shared" si="121"/>
        <v/>
      </c>
      <c r="D873" s="47" t="str">
        <f t="shared" si="122"/>
        <v/>
      </c>
      <c r="E873" s="31" t="str">
        <f t="shared" si="117"/>
        <v>84</v>
      </c>
      <c r="I873" s="31" t="str">
        <f t="shared" si="119"/>
        <v xml:space="preserve">0                                                                                   </v>
      </c>
      <c r="P873" s="27"/>
      <c r="Q873" s="34"/>
      <c r="R873" s="36">
        <f t="shared" si="116"/>
        <v>0</v>
      </c>
      <c r="U873" s="39">
        <f t="shared" si="115"/>
        <v>0</v>
      </c>
      <c r="V873" s="41">
        <f t="shared" si="120"/>
        <v>0</v>
      </c>
    </row>
    <row r="874" spans="2:22" x14ac:dyDescent="0.25">
      <c r="B874" s="31">
        <f t="shared" si="118"/>
        <v>85</v>
      </c>
      <c r="C874" s="48" t="str">
        <f t="shared" si="121"/>
        <v/>
      </c>
      <c r="D874" s="47" t="str">
        <f t="shared" si="122"/>
        <v/>
      </c>
      <c r="E874" s="31" t="str">
        <f t="shared" si="117"/>
        <v>85</v>
      </c>
      <c r="I874" s="31" t="str">
        <f t="shared" si="119"/>
        <v xml:space="preserve">0                                                                                    </v>
      </c>
      <c r="P874" s="27"/>
      <c r="Q874" s="34"/>
      <c r="R874" s="36">
        <f t="shared" si="116"/>
        <v>0</v>
      </c>
      <c r="U874" s="39">
        <f t="shared" si="115"/>
        <v>0</v>
      </c>
      <c r="V874" s="41">
        <f t="shared" si="120"/>
        <v>0</v>
      </c>
    </row>
    <row r="875" spans="2:22" x14ac:dyDescent="0.25">
      <c r="B875" s="31">
        <f t="shared" si="118"/>
        <v>86</v>
      </c>
      <c r="C875" s="48" t="str">
        <f t="shared" si="121"/>
        <v/>
      </c>
      <c r="D875" s="47" t="str">
        <f t="shared" si="122"/>
        <v/>
      </c>
      <c r="E875" s="31" t="str">
        <f t="shared" si="117"/>
        <v>86</v>
      </c>
      <c r="I875" s="31" t="str">
        <f t="shared" si="119"/>
        <v xml:space="preserve">0                                                                                     </v>
      </c>
      <c r="P875" s="27"/>
      <c r="Q875" s="34"/>
      <c r="R875" s="36">
        <f t="shared" si="116"/>
        <v>0</v>
      </c>
      <c r="U875" s="39">
        <f t="shared" si="115"/>
        <v>0</v>
      </c>
      <c r="V875" s="41">
        <f t="shared" si="120"/>
        <v>0</v>
      </c>
    </row>
    <row r="876" spans="2:22" x14ac:dyDescent="0.25">
      <c r="B876" s="31">
        <f t="shared" si="118"/>
        <v>87</v>
      </c>
      <c r="C876" s="48" t="str">
        <f t="shared" si="121"/>
        <v/>
      </c>
      <c r="D876" s="47" t="str">
        <f t="shared" si="122"/>
        <v/>
      </c>
      <c r="E876" s="31" t="str">
        <f t="shared" si="117"/>
        <v>87</v>
      </c>
      <c r="I876" s="31" t="str">
        <f t="shared" si="119"/>
        <v xml:space="preserve">0                                                                                      </v>
      </c>
      <c r="P876" s="27"/>
      <c r="Q876" s="34"/>
      <c r="R876" s="36">
        <f t="shared" si="116"/>
        <v>0</v>
      </c>
      <c r="U876" s="39">
        <f t="shared" si="115"/>
        <v>0</v>
      </c>
      <c r="V876" s="41">
        <f t="shared" si="120"/>
        <v>0</v>
      </c>
    </row>
    <row r="877" spans="2:22" x14ac:dyDescent="0.25">
      <c r="B877" s="31">
        <f t="shared" si="118"/>
        <v>88</v>
      </c>
      <c r="C877" s="48" t="str">
        <f t="shared" si="121"/>
        <v/>
      </c>
      <c r="D877" s="47" t="str">
        <f t="shared" si="122"/>
        <v/>
      </c>
      <c r="E877" s="31" t="str">
        <f t="shared" si="117"/>
        <v>88</v>
      </c>
      <c r="I877" s="31" t="str">
        <f t="shared" si="119"/>
        <v xml:space="preserve">0                                                                                       </v>
      </c>
      <c r="P877" s="27"/>
      <c r="Q877" s="34"/>
      <c r="R877" s="36">
        <f t="shared" si="116"/>
        <v>0</v>
      </c>
      <c r="U877" s="39">
        <f t="shared" si="115"/>
        <v>0</v>
      </c>
      <c r="V877" s="41">
        <f t="shared" si="120"/>
        <v>0</v>
      </c>
    </row>
    <row r="878" spans="2:22" x14ac:dyDescent="0.25">
      <c r="B878" s="31">
        <f t="shared" si="118"/>
        <v>89</v>
      </c>
      <c r="C878" s="48" t="str">
        <f t="shared" si="121"/>
        <v/>
      </c>
      <c r="D878" s="47" t="str">
        <f t="shared" si="122"/>
        <v/>
      </c>
      <c r="E878" s="31" t="str">
        <f t="shared" si="117"/>
        <v>89</v>
      </c>
      <c r="I878" s="31" t="str">
        <f t="shared" si="119"/>
        <v xml:space="preserve">0                                                                                        </v>
      </c>
      <c r="P878" s="27"/>
      <c r="Q878" s="34"/>
      <c r="R878" s="36">
        <f t="shared" si="116"/>
        <v>0</v>
      </c>
      <c r="U878" s="39">
        <f t="shared" si="115"/>
        <v>0</v>
      </c>
      <c r="V878" s="41">
        <f t="shared" si="120"/>
        <v>0</v>
      </c>
    </row>
    <row r="879" spans="2:22" x14ac:dyDescent="0.25">
      <c r="B879" s="31">
        <f t="shared" si="118"/>
        <v>90</v>
      </c>
      <c r="C879" s="48" t="str">
        <f t="shared" si="121"/>
        <v/>
      </c>
      <c r="D879" s="47" t="str">
        <f t="shared" si="122"/>
        <v/>
      </c>
      <c r="E879" s="31" t="str">
        <f t="shared" si="117"/>
        <v>90</v>
      </c>
      <c r="I879" s="31" t="str">
        <f t="shared" si="119"/>
        <v xml:space="preserve">0                                                                                         </v>
      </c>
      <c r="P879" s="27"/>
      <c r="Q879" s="34"/>
      <c r="R879" s="36">
        <f t="shared" si="116"/>
        <v>0</v>
      </c>
      <c r="U879" s="39">
        <f t="shared" si="115"/>
        <v>0</v>
      </c>
      <c r="V879" s="41">
        <f t="shared" si="120"/>
        <v>0</v>
      </c>
    </row>
    <row r="880" spans="2:22" x14ac:dyDescent="0.25">
      <c r="B880" s="31">
        <f t="shared" si="118"/>
        <v>91</v>
      </c>
      <c r="C880" s="48" t="str">
        <f t="shared" si="121"/>
        <v/>
      </c>
      <c r="D880" s="47" t="str">
        <f t="shared" si="122"/>
        <v/>
      </c>
      <c r="E880" s="31" t="str">
        <f t="shared" si="117"/>
        <v>91</v>
      </c>
      <c r="I880" s="31" t="str">
        <f t="shared" si="119"/>
        <v xml:space="preserve">0                                                                                          </v>
      </c>
      <c r="P880" s="27"/>
      <c r="Q880" s="34"/>
      <c r="R880" s="36">
        <f t="shared" si="116"/>
        <v>0</v>
      </c>
      <c r="U880" s="39">
        <f t="shared" si="115"/>
        <v>0</v>
      </c>
      <c r="V880" s="41">
        <f t="shared" si="120"/>
        <v>0</v>
      </c>
    </row>
    <row r="881" spans="2:22" x14ac:dyDescent="0.25">
      <c r="B881" s="31">
        <f t="shared" si="118"/>
        <v>92</v>
      </c>
      <c r="C881" s="48" t="str">
        <f t="shared" si="121"/>
        <v/>
      </c>
      <c r="D881" s="47" t="str">
        <f t="shared" si="122"/>
        <v/>
      </c>
      <c r="E881" s="31" t="str">
        <f t="shared" si="117"/>
        <v>92</v>
      </c>
      <c r="I881" s="31" t="str">
        <f t="shared" si="119"/>
        <v xml:space="preserve">0                                                                                           </v>
      </c>
      <c r="P881" s="27"/>
      <c r="Q881" s="34"/>
      <c r="R881" s="36">
        <f t="shared" si="116"/>
        <v>0</v>
      </c>
      <c r="U881" s="39">
        <f t="shared" si="115"/>
        <v>0</v>
      </c>
      <c r="V881" s="41">
        <f t="shared" si="120"/>
        <v>0</v>
      </c>
    </row>
    <row r="882" spans="2:22" x14ac:dyDescent="0.25">
      <c r="B882" s="31">
        <f t="shared" si="118"/>
        <v>93</v>
      </c>
      <c r="C882" s="48" t="str">
        <f t="shared" si="121"/>
        <v/>
      </c>
      <c r="D882" s="47" t="str">
        <f t="shared" si="122"/>
        <v/>
      </c>
      <c r="E882" s="31" t="str">
        <f t="shared" si="117"/>
        <v>93</v>
      </c>
      <c r="I882" s="31" t="str">
        <f t="shared" si="119"/>
        <v xml:space="preserve">0                                                                                            </v>
      </c>
      <c r="P882" s="27"/>
      <c r="Q882" s="34"/>
      <c r="R882" s="36">
        <f t="shared" si="116"/>
        <v>0</v>
      </c>
      <c r="U882" s="39">
        <f t="shared" si="115"/>
        <v>0</v>
      </c>
      <c r="V882" s="41">
        <f t="shared" si="120"/>
        <v>0</v>
      </c>
    </row>
    <row r="883" spans="2:22" x14ac:dyDescent="0.25">
      <c r="B883" s="31">
        <f t="shared" si="118"/>
        <v>94</v>
      </c>
      <c r="C883" s="48" t="str">
        <f t="shared" si="121"/>
        <v/>
      </c>
      <c r="D883" s="47" t="str">
        <f t="shared" si="122"/>
        <v/>
      </c>
      <c r="E883" s="31" t="str">
        <f t="shared" si="117"/>
        <v>94</v>
      </c>
      <c r="I883" s="31" t="str">
        <f t="shared" si="119"/>
        <v xml:space="preserve">0                                                                                             </v>
      </c>
      <c r="P883" s="27"/>
      <c r="Q883" s="34"/>
      <c r="R883" s="36">
        <f t="shared" si="116"/>
        <v>0</v>
      </c>
      <c r="U883" s="39">
        <f t="shared" si="115"/>
        <v>0</v>
      </c>
      <c r="V883" s="41">
        <f t="shared" si="120"/>
        <v>0</v>
      </c>
    </row>
    <row r="884" spans="2:22" x14ac:dyDescent="0.25">
      <c r="B884" s="31">
        <f t="shared" si="118"/>
        <v>95</v>
      </c>
      <c r="C884" s="48" t="str">
        <f t="shared" si="121"/>
        <v/>
      </c>
      <c r="D884" s="47" t="str">
        <f t="shared" si="122"/>
        <v/>
      </c>
      <c r="E884" s="31" t="str">
        <f t="shared" si="117"/>
        <v>95</v>
      </c>
      <c r="I884" s="31" t="str">
        <f t="shared" si="119"/>
        <v xml:space="preserve">0                                                                                              </v>
      </c>
      <c r="P884" s="27"/>
      <c r="Q884" s="34"/>
      <c r="R884" s="36">
        <f t="shared" si="116"/>
        <v>0</v>
      </c>
      <c r="U884" s="39">
        <f t="shared" si="115"/>
        <v>0</v>
      </c>
      <c r="V884" s="41">
        <f t="shared" si="120"/>
        <v>0</v>
      </c>
    </row>
    <row r="885" spans="2:22" x14ac:dyDescent="0.25">
      <c r="B885" s="31">
        <f t="shared" si="118"/>
        <v>96</v>
      </c>
      <c r="C885" s="48" t="str">
        <f t="shared" si="121"/>
        <v/>
      </c>
      <c r="D885" s="47" t="str">
        <f t="shared" si="122"/>
        <v/>
      </c>
      <c r="E885" s="31" t="str">
        <f t="shared" si="117"/>
        <v>96</v>
      </c>
      <c r="I885" s="31" t="str">
        <f t="shared" si="119"/>
        <v xml:space="preserve">0                                                                                               </v>
      </c>
      <c r="P885" s="27"/>
      <c r="Q885" s="34"/>
      <c r="R885" s="36">
        <f t="shared" si="116"/>
        <v>0</v>
      </c>
      <c r="U885" s="39">
        <f t="shared" si="115"/>
        <v>0</v>
      </c>
      <c r="V885" s="41">
        <f t="shared" si="120"/>
        <v>0</v>
      </c>
    </row>
    <row r="886" spans="2:22" x14ac:dyDescent="0.25">
      <c r="B886" s="31">
        <f t="shared" si="118"/>
        <v>97</v>
      </c>
      <c r="C886" s="48" t="str">
        <f t="shared" si="121"/>
        <v/>
      </c>
      <c r="D886" s="47" t="str">
        <f t="shared" si="122"/>
        <v/>
      </c>
      <c r="E886" s="31" t="str">
        <f t="shared" si="117"/>
        <v>97</v>
      </c>
      <c r="I886" s="31" t="str">
        <f t="shared" si="119"/>
        <v xml:space="preserve">0                                                                                                </v>
      </c>
      <c r="P886" s="27"/>
      <c r="Q886" s="34"/>
      <c r="R886" s="36">
        <f t="shared" si="116"/>
        <v>0</v>
      </c>
      <c r="U886" s="39">
        <f t="shared" si="115"/>
        <v>0</v>
      </c>
      <c r="V886" s="41">
        <f t="shared" si="120"/>
        <v>0</v>
      </c>
    </row>
    <row r="887" spans="2:22" x14ac:dyDescent="0.25">
      <c r="B887" s="31">
        <f t="shared" si="118"/>
        <v>98</v>
      </c>
      <c r="C887" s="48" t="str">
        <f t="shared" si="121"/>
        <v/>
      </c>
      <c r="D887" s="47" t="str">
        <f t="shared" si="122"/>
        <v/>
      </c>
      <c r="E887" s="31" t="str">
        <f t="shared" si="117"/>
        <v>98</v>
      </c>
      <c r="I887" s="31" t="str">
        <f t="shared" si="119"/>
        <v xml:space="preserve">0                                                                                                 </v>
      </c>
      <c r="P887" s="27"/>
      <c r="Q887" s="34"/>
      <c r="R887" s="36">
        <f t="shared" si="116"/>
        <v>0</v>
      </c>
      <c r="U887" s="39">
        <f t="shared" si="115"/>
        <v>0</v>
      </c>
      <c r="V887" s="41">
        <f t="shared" si="120"/>
        <v>0</v>
      </c>
    </row>
    <row r="888" spans="2:22" x14ac:dyDescent="0.25">
      <c r="B888" s="31">
        <f t="shared" si="118"/>
        <v>99</v>
      </c>
      <c r="C888" s="48" t="str">
        <f t="shared" si="121"/>
        <v/>
      </c>
      <c r="D888" s="47" t="str">
        <f t="shared" si="122"/>
        <v/>
      </c>
      <c r="E888" s="31" t="str">
        <f t="shared" si="117"/>
        <v>99</v>
      </c>
      <c r="I888" s="31" t="str">
        <f t="shared" si="119"/>
        <v xml:space="preserve">0                                                                                                  </v>
      </c>
      <c r="P888" s="27"/>
      <c r="Q888" s="34"/>
      <c r="R888" s="36">
        <f t="shared" si="116"/>
        <v>0</v>
      </c>
      <c r="U888" s="39">
        <f t="shared" si="115"/>
        <v>0</v>
      </c>
      <c r="V888" s="41">
        <f t="shared" si="120"/>
        <v>0</v>
      </c>
    </row>
    <row r="889" spans="2:22" x14ac:dyDescent="0.25">
      <c r="B889" s="31">
        <f t="shared" si="118"/>
        <v>100</v>
      </c>
      <c r="C889" s="48" t="str">
        <f t="shared" si="121"/>
        <v/>
      </c>
      <c r="D889" s="47" t="str">
        <f t="shared" si="122"/>
        <v/>
      </c>
      <c r="E889" s="31" t="str">
        <f t="shared" si="117"/>
        <v>100</v>
      </c>
      <c r="I889" s="31" t="str">
        <f t="shared" si="119"/>
        <v xml:space="preserve">0                                                                                                   </v>
      </c>
      <c r="P889" s="27"/>
      <c r="Q889" s="34"/>
      <c r="R889" s="36">
        <f t="shared" si="116"/>
        <v>0</v>
      </c>
      <c r="U889" s="39">
        <f t="shared" si="115"/>
        <v>0</v>
      </c>
      <c r="V889" s="41">
        <f t="shared" si="120"/>
        <v>0</v>
      </c>
    </row>
    <row r="890" spans="2:22" x14ac:dyDescent="0.25">
      <c r="B890" s="31">
        <f t="shared" si="118"/>
        <v>101</v>
      </c>
      <c r="C890" s="48" t="str">
        <f t="shared" si="121"/>
        <v/>
      </c>
      <c r="D890" s="47" t="str">
        <f t="shared" si="122"/>
        <v/>
      </c>
      <c r="E890" s="31" t="str">
        <f t="shared" si="117"/>
        <v>101</v>
      </c>
      <c r="I890" s="31" t="str">
        <f t="shared" si="119"/>
        <v xml:space="preserve">0                                                                                                    </v>
      </c>
      <c r="P890" s="27"/>
      <c r="Q890" s="34"/>
      <c r="R890" s="36">
        <f t="shared" si="116"/>
        <v>0</v>
      </c>
      <c r="U890" s="39">
        <f t="shared" si="115"/>
        <v>0</v>
      </c>
      <c r="V890" s="41">
        <f t="shared" si="120"/>
        <v>0</v>
      </c>
    </row>
    <row r="891" spans="2:22" x14ac:dyDescent="0.25">
      <c r="B891" s="31">
        <f t="shared" si="118"/>
        <v>102</v>
      </c>
      <c r="C891" s="48" t="str">
        <f t="shared" si="121"/>
        <v/>
      </c>
      <c r="D891" s="47" t="str">
        <f t="shared" si="122"/>
        <v/>
      </c>
      <c r="E891" s="31" t="str">
        <f t="shared" si="117"/>
        <v>102</v>
      </c>
      <c r="I891" s="31" t="str">
        <f t="shared" si="119"/>
        <v xml:space="preserve">0                                                                                                     </v>
      </c>
      <c r="P891" s="27"/>
      <c r="Q891" s="34"/>
      <c r="R891" s="36">
        <f t="shared" si="116"/>
        <v>0</v>
      </c>
      <c r="U891" s="39">
        <f t="shared" si="115"/>
        <v>0</v>
      </c>
      <c r="V891" s="41">
        <f t="shared" si="120"/>
        <v>0</v>
      </c>
    </row>
    <row r="892" spans="2:22" x14ac:dyDescent="0.25">
      <c r="B892" s="31">
        <f t="shared" si="118"/>
        <v>103</v>
      </c>
      <c r="C892" s="48" t="str">
        <f t="shared" si="121"/>
        <v/>
      </c>
      <c r="D892" s="47" t="str">
        <f t="shared" si="122"/>
        <v/>
      </c>
      <c r="E892" s="31" t="str">
        <f t="shared" si="117"/>
        <v>103</v>
      </c>
      <c r="I892" s="31" t="str">
        <f t="shared" si="119"/>
        <v xml:space="preserve">0                                                                                                      </v>
      </c>
      <c r="P892" s="27"/>
      <c r="Q892" s="34"/>
      <c r="R892" s="36">
        <f t="shared" si="116"/>
        <v>0</v>
      </c>
      <c r="U892" s="39">
        <f t="shared" si="115"/>
        <v>0</v>
      </c>
      <c r="V892" s="41">
        <f t="shared" si="120"/>
        <v>0</v>
      </c>
    </row>
    <row r="893" spans="2:22" x14ac:dyDescent="0.25">
      <c r="B893" s="31">
        <f t="shared" si="118"/>
        <v>104</v>
      </c>
      <c r="C893" s="48" t="str">
        <f t="shared" si="121"/>
        <v/>
      </c>
      <c r="D893" s="47" t="str">
        <f t="shared" si="122"/>
        <v/>
      </c>
      <c r="E893" s="31" t="str">
        <f t="shared" si="117"/>
        <v>104</v>
      </c>
      <c r="I893" s="31" t="str">
        <f t="shared" si="119"/>
        <v xml:space="preserve">0                                                                                                       </v>
      </c>
      <c r="P893" s="27"/>
      <c r="Q893" s="34"/>
      <c r="R893" s="36">
        <f t="shared" si="116"/>
        <v>0</v>
      </c>
      <c r="U893" s="39">
        <f t="shared" si="115"/>
        <v>0</v>
      </c>
      <c r="V893" s="41">
        <f t="shared" si="120"/>
        <v>0</v>
      </c>
    </row>
    <row r="894" spans="2:22" x14ac:dyDescent="0.25">
      <c r="B894" s="31">
        <f t="shared" si="118"/>
        <v>105</v>
      </c>
      <c r="C894" s="48" t="str">
        <f t="shared" si="121"/>
        <v/>
      </c>
      <c r="D894" s="47" t="str">
        <f t="shared" si="122"/>
        <v/>
      </c>
      <c r="E894" s="31" t="str">
        <f t="shared" si="117"/>
        <v>105</v>
      </c>
      <c r="I894" s="31" t="str">
        <f t="shared" si="119"/>
        <v xml:space="preserve">0                                                                                                        </v>
      </c>
      <c r="P894" s="27"/>
      <c r="Q894" s="34"/>
      <c r="R894" s="36">
        <f t="shared" si="116"/>
        <v>0</v>
      </c>
      <c r="U894" s="39">
        <f t="shared" si="115"/>
        <v>0</v>
      </c>
      <c r="V894" s="41">
        <f t="shared" si="120"/>
        <v>0</v>
      </c>
    </row>
    <row r="895" spans="2:22" x14ac:dyDescent="0.25">
      <c r="B895" s="31">
        <f t="shared" si="118"/>
        <v>106</v>
      </c>
      <c r="C895" s="48" t="str">
        <f t="shared" si="121"/>
        <v/>
      </c>
      <c r="D895" s="47" t="str">
        <f t="shared" si="122"/>
        <v/>
      </c>
      <c r="E895" s="31" t="str">
        <f t="shared" si="117"/>
        <v>106</v>
      </c>
      <c r="I895" s="31" t="str">
        <f t="shared" si="119"/>
        <v xml:space="preserve">0                                                                                                         </v>
      </c>
      <c r="P895" s="27"/>
      <c r="Q895" s="34"/>
      <c r="R895" s="36">
        <f t="shared" si="116"/>
        <v>0</v>
      </c>
      <c r="U895" s="39">
        <f t="shared" si="115"/>
        <v>0</v>
      </c>
      <c r="V895" s="41">
        <f t="shared" si="120"/>
        <v>0</v>
      </c>
    </row>
    <row r="896" spans="2:22" x14ac:dyDescent="0.25">
      <c r="B896" s="31">
        <f t="shared" si="118"/>
        <v>107</v>
      </c>
      <c r="C896" s="48" t="str">
        <f t="shared" si="121"/>
        <v/>
      </c>
      <c r="D896" s="47" t="str">
        <f t="shared" si="122"/>
        <v/>
      </c>
      <c r="E896" s="31" t="str">
        <f t="shared" si="117"/>
        <v>107</v>
      </c>
      <c r="I896" s="31" t="str">
        <f t="shared" si="119"/>
        <v xml:space="preserve">0                                                                                                          </v>
      </c>
      <c r="P896" s="27"/>
      <c r="Q896" s="34"/>
      <c r="R896" s="36">
        <f t="shared" si="116"/>
        <v>0</v>
      </c>
      <c r="U896" s="39">
        <f t="shared" si="115"/>
        <v>0</v>
      </c>
      <c r="V896" s="41">
        <f t="shared" si="120"/>
        <v>0</v>
      </c>
    </row>
    <row r="897" spans="2:22" x14ac:dyDescent="0.25">
      <c r="B897" s="31">
        <f t="shared" si="118"/>
        <v>108</v>
      </c>
      <c r="C897" s="48" t="str">
        <f t="shared" si="121"/>
        <v/>
      </c>
      <c r="D897" s="47" t="str">
        <f t="shared" si="122"/>
        <v/>
      </c>
      <c r="E897" s="31" t="str">
        <f t="shared" si="117"/>
        <v>108</v>
      </c>
      <c r="I897" s="31" t="str">
        <f t="shared" si="119"/>
        <v xml:space="preserve">0                                                                                                           </v>
      </c>
      <c r="P897" s="27"/>
      <c r="Q897" s="34"/>
      <c r="R897" s="36">
        <f t="shared" si="116"/>
        <v>0</v>
      </c>
      <c r="U897" s="39">
        <f t="shared" si="115"/>
        <v>0</v>
      </c>
      <c r="V897" s="41">
        <f t="shared" si="120"/>
        <v>0</v>
      </c>
    </row>
    <row r="898" spans="2:22" x14ac:dyDescent="0.25">
      <c r="B898" s="31">
        <f t="shared" si="118"/>
        <v>109</v>
      </c>
      <c r="C898" s="48" t="str">
        <f t="shared" si="121"/>
        <v/>
      </c>
      <c r="D898" s="47" t="str">
        <f t="shared" si="122"/>
        <v/>
      </c>
      <c r="E898" s="31" t="str">
        <f t="shared" si="117"/>
        <v>109</v>
      </c>
      <c r="I898" s="31" t="str">
        <f t="shared" si="119"/>
        <v xml:space="preserve">0                                                                                                            </v>
      </c>
      <c r="P898" s="27"/>
      <c r="Q898" s="34"/>
      <c r="R898" s="36">
        <f t="shared" si="116"/>
        <v>0</v>
      </c>
      <c r="U898" s="39">
        <f t="shared" si="115"/>
        <v>0</v>
      </c>
      <c r="V898" s="41">
        <f t="shared" si="120"/>
        <v>0</v>
      </c>
    </row>
    <row r="899" spans="2:22" x14ac:dyDescent="0.25">
      <c r="B899" s="31">
        <f t="shared" si="118"/>
        <v>110</v>
      </c>
      <c r="C899" s="48" t="str">
        <f t="shared" si="121"/>
        <v/>
      </c>
      <c r="D899" s="47" t="str">
        <f t="shared" si="122"/>
        <v/>
      </c>
      <c r="E899" s="31" t="str">
        <f t="shared" si="117"/>
        <v>110</v>
      </c>
      <c r="I899" s="31" t="str">
        <f t="shared" si="119"/>
        <v xml:space="preserve">0                                                                                                             </v>
      </c>
      <c r="P899" s="27"/>
      <c r="Q899" s="34"/>
      <c r="R899" s="36">
        <f t="shared" si="116"/>
        <v>0</v>
      </c>
      <c r="U899" s="39">
        <f t="shared" si="115"/>
        <v>0</v>
      </c>
      <c r="V899" s="41">
        <f t="shared" si="120"/>
        <v>0</v>
      </c>
    </row>
    <row r="900" spans="2:22" x14ac:dyDescent="0.25">
      <c r="B900" s="31">
        <f t="shared" si="118"/>
        <v>111</v>
      </c>
      <c r="C900" s="48" t="str">
        <f t="shared" si="121"/>
        <v/>
      </c>
      <c r="D900" s="47" t="str">
        <f t="shared" si="122"/>
        <v/>
      </c>
      <c r="E900" s="31" t="str">
        <f t="shared" si="117"/>
        <v>111</v>
      </c>
      <c r="I900" s="31" t="str">
        <f t="shared" si="119"/>
        <v xml:space="preserve">0                                                                                                              </v>
      </c>
      <c r="P900" s="27"/>
      <c r="Q900" s="34"/>
      <c r="R900" s="36">
        <f t="shared" si="116"/>
        <v>0</v>
      </c>
      <c r="U900" s="39">
        <f t="shared" ref="U900:U963" si="123">+T900*S900</f>
        <v>0</v>
      </c>
      <c r="V900" s="41">
        <f t="shared" si="120"/>
        <v>0</v>
      </c>
    </row>
    <row r="901" spans="2:22" x14ac:dyDescent="0.25">
      <c r="B901" s="31">
        <f t="shared" si="118"/>
        <v>112</v>
      </c>
      <c r="C901" s="48" t="str">
        <f t="shared" si="121"/>
        <v/>
      </c>
      <c r="D901" s="47" t="str">
        <f t="shared" si="122"/>
        <v/>
      </c>
      <c r="E901" s="31" t="str">
        <f t="shared" si="117"/>
        <v>112</v>
      </c>
      <c r="I901" s="31" t="str">
        <f t="shared" si="119"/>
        <v xml:space="preserve">0                                                                                                               </v>
      </c>
      <c r="P901" s="27"/>
      <c r="Q901" s="34"/>
      <c r="R901" s="36">
        <f t="shared" si="116"/>
        <v>0</v>
      </c>
      <c r="U901" s="39">
        <f t="shared" si="123"/>
        <v>0</v>
      </c>
      <c r="V901" s="41">
        <f t="shared" si="120"/>
        <v>0</v>
      </c>
    </row>
    <row r="902" spans="2:22" x14ac:dyDescent="0.25">
      <c r="B902" s="31">
        <f t="shared" si="118"/>
        <v>113</v>
      </c>
      <c r="C902" s="48" t="str">
        <f t="shared" si="121"/>
        <v/>
      </c>
      <c r="D902" s="47" t="str">
        <f t="shared" si="122"/>
        <v/>
      </c>
      <c r="E902" s="31" t="str">
        <f t="shared" si="117"/>
        <v>113</v>
      </c>
      <c r="I902" s="31" t="str">
        <f t="shared" si="119"/>
        <v xml:space="preserve">0                                                                                                                </v>
      </c>
      <c r="P902" s="27"/>
      <c r="Q902" s="34"/>
      <c r="R902" s="36">
        <f t="shared" si="116"/>
        <v>0</v>
      </c>
      <c r="U902" s="39">
        <f t="shared" si="123"/>
        <v>0</v>
      </c>
      <c r="V902" s="41">
        <f t="shared" si="120"/>
        <v>0</v>
      </c>
    </row>
    <row r="903" spans="2:22" x14ac:dyDescent="0.25">
      <c r="B903" s="31">
        <f t="shared" si="118"/>
        <v>114</v>
      </c>
      <c r="C903" s="48" t="str">
        <f t="shared" si="121"/>
        <v/>
      </c>
      <c r="D903" s="47" t="str">
        <f t="shared" si="122"/>
        <v/>
      </c>
      <c r="E903" s="31" t="str">
        <f t="shared" si="117"/>
        <v>114</v>
      </c>
      <c r="I903" s="31" t="str">
        <f t="shared" si="119"/>
        <v xml:space="preserve">0                                                                                                                 </v>
      </c>
      <c r="P903" s="27"/>
      <c r="Q903" s="34"/>
      <c r="R903" s="36">
        <f t="shared" si="116"/>
        <v>0</v>
      </c>
      <c r="U903" s="39">
        <f t="shared" si="123"/>
        <v>0</v>
      </c>
      <c r="V903" s="41">
        <f t="shared" si="120"/>
        <v>0</v>
      </c>
    </row>
    <row r="904" spans="2:22" x14ac:dyDescent="0.25">
      <c r="B904" s="31">
        <f t="shared" si="118"/>
        <v>115</v>
      </c>
      <c r="C904" s="48" t="str">
        <f t="shared" si="121"/>
        <v/>
      </c>
      <c r="D904" s="47" t="str">
        <f t="shared" si="122"/>
        <v/>
      </c>
      <c r="E904" s="31" t="str">
        <f t="shared" si="117"/>
        <v>115</v>
      </c>
      <c r="I904" s="31" t="str">
        <f t="shared" si="119"/>
        <v xml:space="preserve">0                                                                                                                  </v>
      </c>
      <c r="P904" s="27"/>
      <c r="Q904" s="34"/>
      <c r="R904" s="36">
        <f t="shared" si="116"/>
        <v>0</v>
      </c>
      <c r="U904" s="39">
        <f t="shared" si="123"/>
        <v>0</v>
      </c>
      <c r="V904" s="41">
        <f t="shared" si="120"/>
        <v>0</v>
      </c>
    </row>
    <row r="905" spans="2:22" x14ac:dyDescent="0.25">
      <c r="B905" s="31">
        <f t="shared" si="118"/>
        <v>116</v>
      </c>
      <c r="C905" s="48" t="str">
        <f t="shared" si="121"/>
        <v/>
      </c>
      <c r="D905" s="47" t="str">
        <f t="shared" si="122"/>
        <v/>
      </c>
      <c r="E905" s="31" t="str">
        <f t="shared" si="117"/>
        <v>116</v>
      </c>
      <c r="I905" s="31" t="str">
        <f t="shared" si="119"/>
        <v xml:space="preserve">0                                                                                                                   </v>
      </c>
      <c r="P905" s="27"/>
      <c r="Q905" s="34"/>
      <c r="R905" s="36">
        <f t="shared" si="116"/>
        <v>0</v>
      </c>
      <c r="U905" s="39">
        <f t="shared" si="123"/>
        <v>0</v>
      </c>
      <c r="V905" s="41">
        <f t="shared" si="120"/>
        <v>0</v>
      </c>
    </row>
    <row r="906" spans="2:22" x14ac:dyDescent="0.25">
      <c r="B906" s="31">
        <f t="shared" si="118"/>
        <v>117</v>
      </c>
      <c r="C906" s="48" t="str">
        <f t="shared" si="121"/>
        <v/>
      </c>
      <c r="D906" s="47" t="str">
        <f t="shared" si="122"/>
        <v/>
      </c>
      <c r="E906" s="31" t="str">
        <f t="shared" si="117"/>
        <v>117</v>
      </c>
      <c r="I906" s="31" t="str">
        <f t="shared" si="119"/>
        <v xml:space="preserve">0                                                                                                                    </v>
      </c>
      <c r="P906" s="27"/>
      <c r="Q906" s="34"/>
      <c r="R906" s="36">
        <f t="shared" si="116"/>
        <v>0</v>
      </c>
      <c r="U906" s="39">
        <f t="shared" si="123"/>
        <v>0</v>
      </c>
      <c r="V906" s="41">
        <f t="shared" si="120"/>
        <v>0</v>
      </c>
    </row>
    <row r="907" spans="2:22" x14ac:dyDescent="0.25">
      <c r="B907" s="31">
        <f t="shared" si="118"/>
        <v>118</v>
      </c>
      <c r="C907" s="48" t="str">
        <f t="shared" si="121"/>
        <v/>
      </c>
      <c r="D907" s="47" t="str">
        <f t="shared" si="122"/>
        <v/>
      </c>
      <c r="E907" s="31" t="str">
        <f t="shared" si="117"/>
        <v>118</v>
      </c>
      <c r="I907" s="31" t="str">
        <f t="shared" si="119"/>
        <v xml:space="preserve">0                                                                                                                     </v>
      </c>
      <c r="P907" s="27"/>
      <c r="Q907" s="34"/>
      <c r="R907" s="36">
        <f t="shared" si="116"/>
        <v>0</v>
      </c>
      <c r="U907" s="39">
        <f t="shared" si="123"/>
        <v>0</v>
      </c>
      <c r="V907" s="41">
        <f t="shared" si="120"/>
        <v>0</v>
      </c>
    </row>
    <row r="908" spans="2:22" x14ac:dyDescent="0.25">
      <c r="B908" s="31">
        <f t="shared" si="118"/>
        <v>119</v>
      </c>
      <c r="C908" s="48" t="str">
        <f t="shared" si="121"/>
        <v/>
      </c>
      <c r="D908" s="47" t="str">
        <f t="shared" si="122"/>
        <v/>
      </c>
      <c r="E908" s="31" t="str">
        <f t="shared" si="117"/>
        <v>119</v>
      </c>
      <c r="I908" s="31" t="str">
        <f t="shared" si="119"/>
        <v xml:space="preserve">0                                                                                                                      </v>
      </c>
      <c r="P908" s="27"/>
      <c r="Q908" s="34"/>
      <c r="R908" s="36">
        <f t="shared" si="116"/>
        <v>0</v>
      </c>
      <c r="U908" s="39">
        <f t="shared" si="123"/>
        <v>0</v>
      </c>
      <c r="V908" s="41">
        <f t="shared" si="120"/>
        <v>0</v>
      </c>
    </row>
    <row r="909" spans="2:22" x14ac:dyDescent="0.25">
      <c r="B909" s="31">
        <f t="shared" si="118"/>
        <v>120</v>
      </c>
      <c r="C909" s="48" t="str">
        <f t="shared" si="121"/>
        <v/>
      </c>
      <c r="D909" s="47" t="str">
        <f t="shared" si="122"/>
        <v/>
      </c>
      <c r="E909" s="31" t="str">
        <f t="shared" si="117"/>
        <v>120</v>
      </c>
      <c r="I909" s="31" t="str">
        <f t="shared" si="119"/>
        <v xml:space="preserve">0                                                                                                                       </v>
      </c>
      <c r="P909" s="27"/>
      <c r="Q909" s="34"/>
      <c r="R909" s="36">
        <f t="shared" si="116"/>
        <v>0</v>
      </c>
      <c r="U909" s="39">
        <f t="shared" si="123"/>
        <v>0</v>
      </c>
      <c r="V909" s="41">
        <f t="shared" si="120"/>
        <v>0</v>
      </c>
    </row>
    <row r="910" spans="2:22" x14ac:dyDescent="0.25">
      <c r="B910" s="31">
        <f t="shared" si="118"/>
        <v>121</v>
      </c>
      <c r="C910" s="48" t="str">
        <f t="shared" si="121"/>
        <v/>
      </c>
      <c r="D910" s="47" t="str">
        <f t="shared" si="122"/>
        <v/>
      </c>
      <c r="E910" s="31" t="str">
        <f t="shared" si="117"/>
        <v>121</v>
      </c>
      <c r="I910" s="31" t="str">
        <f t="shared" si="119"/>
        <v xml:space="preserve">0                                                                                                                        </v>
      </c>
      <c r="P910" s="27"/>
      <c r="Q910" s="34"/>
      <c r="R910" s="36">
        <f t="shared" si="116"/>
        <v>0</v>
      </c>
      <c r="U910" s="39">
        <f t="shared" si="123"/>
        <v>0</v>
      </c>
      <c r="V910" s="41">
        <f t="shared" si="120"/>
        <v>0</v>
      </c>
    </row>
    <row r="911" spans="2:22" x14ac:dyDescent="0.25">
      <c r="B911" s="31">
        <f t="shared" si="118"/>
        <v>122</v>
      </c>
      <c r="C911" s="48" t="str">
        <f t="shared" si="121"/>
        <v/>
      </c>
      <c r="D911" s="47" t="str">
        <f t="shared" si="122"/>
        <v/>
      </c>
      <c r="E911" s="31" t="str">
        <f t="shared" si="117"/>
        <v>122</v>
      </c>
      <c r="I911" s="31" t="str">
        <f t="shared" si="119"/>
        <v xml:space="preserve">0                                                                                                                         </v>
      </c>
      <c r="P911" s="27"/>
      <c r="Q911" s="34"/>
      <c r="R911" s="36">
        <f t="shared" ref="R911:R974" si="124">Q911*P911</f>
        <v>0</v>
      </c>
      <c r="U911" s="39">
        <f t="shared" si="123"/>
        <v>0</v>
      </c>
      <c r="V911" s="41">
        <f t="shared" si="120"/>
        <v>0</v>
      </c>
    </row>
    <row r="912" spans="2:22" x14ac:dyDescent="0.25">
      <c r="B912" s="31">
        <f t="shared" si="118"/>
        <v>123</v>
      </c>
      <c r="C912" s="48" t="str">
        <f t="shared" si="121"/>
        <v/>
      </c>
      <c r="D912" s="47" t="str">
        <f t="shared" si="122"/>
        <v/>
      </c>
      <c r="E912" s="31" t="str">
        <f t="shared" si="117"/>
        <v>123</v>
      </c>
      <c r="I912" s="31" t="str">
        <f t="shared" si="119"/>
        <v xml:space="preserve">0                                                                                                                          </v>
      </c>
      <c r="P912" s="27"/>
      <c r="Q912" s="34"/>
      <c r="R912" s="36">
        <f t="shared" si="124"/>
        <v>0</v>
      </c>
      <c r="U912" s="39">
        <f t="shared" si="123"/>
        <v>0</v>
      </c>
      <c r="V912" s="41">
        <f t="shared" si="120"/>
        <v>0</v>
      </c>
    </row>
    <row r="913" spans="2:22" x14ac:dyDescent="0.25">
      <c r="B913" s="31">
        <f t="shared" si="118"/>
        <v>124</v>
      </c>
      <c r="C913" s="48" t="str">
        <f t="shared" si="121"/>
        <v/>
      </c>
      <c r="D913" s="47" t="str">
        <f t="shared" si="122"/>
        <v/>
      </c>
      <c r="E913" s="31" t="str">
        <f t="shared" ref="E913:E976" si="125">CONCATENATE(A913,D913,B913)</f>
        <v>124</v>
      </c>
      <c r="I913" s="31" t="str">
        <f t="shared" si="119"/>
        <v xml:space="preserve">0                                                                                                                           </v>
      </c>
      <c r="P913" s="27"/>
      <c r="Q913" s="34"/>
      <c r="R913" s="36">
        <f t="shared" si="124"/>
        <v>0</v>
      </c>
      <c r="U913" s="39">
        <f t="shared" si="123"/>
        <v>0</v>
      </c>
      <c r="V913" s="41">
        <f t="shared" si="120"/>
        <v>0</v>
      </c>
    </row>
    <row r="914" spans="2:22" x14ac:dyDescent="0.25">
      <c r="B914" s="31">
        <f t="shared" si="118"/>
        <v>125</v>
      </c>
      <c r="C914" s="48" t="str">
        <f t="shared" si="121"/>
        <v/>
      </c>
      <c r="D914" s="47" t="str">
        <f t="shared" si="122"/>
        <v/>
      </c>
      <c r="E914" s="31" t="str">
        <f t="shared" si="125"/>
        <v>125</v>
      </c>
      <c r="I914" s="31" t="str">
        <f t="shared" si="119"/>
        <v xml:space="preserve">0                                                                                                                            </v>
      </c>
      <c r="P914" s="27"/>
      <c r="Q914" s="34"/>
      <c r="R914" s="36">
        <f t="shared" si="124"/>
        <v>0</v>
      </c>
      <c r="U914" s="39">
        <f t="shared" si="123"/>
        <v>0</v>
      </c>
      <c r="V914" s="41">
        <f t="shared" si="120"/>
        <v>0</v>
      </c>
    </row>
    <row r="915" spans="2:22" x14ac:dyDescent="0.25">
      <c r="B915" s="31">
        <f t="shared" si="118"/>
        <v>126</v>
      </c>
      <c r="C915" s="48" t="str">
        <f t="shared" si="121"/>
        <v/>
      </c>
      <c r="D915" s="47" t="str">
        <f t="shared" si="122"/>
        <v/>
      </c>
      <c r="E915" s="31" t="str">
        <f t="shared" si="125"/>
        <v>126</v>
      </c>
      <c r="I915" s="31" t="str">
        <f t="shared" si="119"/>
        <v xml:space="preserve">0                                                                                                                             </v>
      </c>
      <c r="P915" s="27"/>
      <c r="Q915" s="34"/>
      <c r="R915" s="36">
        <f t="shared" si="124"/>
        <v>0</v>
      </c>
      <c r="U915" s="39">
        <f t="shared" si="123"/>
        <v>0</v>
      </c>
      <c r="V915" s="41">
        <f t="shared" si="120"/>
        <v>0</v>
      </c>
    </row>
    <row r="916" spans="2:22" x14ac:dyDescent="0.25">
      <c r="B916" s="31">
        <f t="shared" si="118"/>
        <v>127</v>
      </c>
      <c r="C916" s="48" t="str">
        <f t="shared" si="121"/>
        <v/>
      </c>
      <c r="D916" s="47" t="str">
        <f t="shared" si="122"/>
        <v/>
      </c>
      <c r="E916" s="31" t="str">
        <f t="shared" si="125"/>
        <v>127</v>
      </c>
      <c r="I916" s="31" t="str">
        <f t="shared" si="119"/>
        <v xml:space="preserve">0                                                                                                                              </v>
      </c>
      <c r="P916" s="27"/>
      <c r="Q916" s="34"/>
      <c r="R916" s="36">
        <f t="shared" si="124"/>
        <v>0</v>
      </c>
      <c r="U916" s="39">
        <f t="shared" si="123"/>
        <v>0</v>
      </c>
      <c r="V916" s="41">
        <f t="shared" si="120"/>
        <v>0</v>
      </c>
    </row>
    <row r="917" spans="2:22" x14ac:dyDescent="0.25">
      <c r="B917" s="31">
        <f t="shared" si="118"/>
        <v>128</v>
      </c>
      <c r="C917" s="48" t="str">
        <f t="shared" si="121"/>
        <v/>
      </c>
      <c r="D917" s="47" t="str">
        <f t="shared" si="122"/>
        <v/>
      </c>
      <c r="E917" s="31" t="str">
        <f t="shared" si="125"/>
        <v>128</v>
      </c>
      <c r="I917" s="31" t="str">
        <f t="shared" si="119"/>
        <v xml:space="preserve">0                                                                                                                               </v>
      </c>
      <c r="P917" s="27"/>
      <c r="Q917" s="34"/>
      <c r="R917" s="36">
        <f t="shared" si="124"/>
        <v>0</v>
      </c>
      <c r="U917" s="39">
        <f t="shared" si="123"/>
        <v>0</v>
      </c>
      <c r="V917" s="41">
        <f t="shared" si="120"/>
        <v>0</v>
      </c>
    </row>
    <row r="918" spans="2:22" x14ac:dyDescent="0.25">
      <c r="B918" s="31">
        <f t="shared" si="118"/>
        <v>129</v>
      </c>
      <c r="C918" s="48" t="str">
        <f t="shared" si="121"/>
        <v/>
      </c>
      <c r="D918" s="47" t="str">
        <f t="shared" si="122"/>
        <v/>
      </c>
      <c r="E918" s="31" t="str">
        <f t="shared" si="125"/>
        <v>129</v>
      </c>
      <c r="I918" s="31" t="str">
        <f t="shared" si="119"/>
        <v xml:space="preserve">0                                                                                                                                </v>
      </c>
      <c r="P918" s="27"/>
      <c r="Q918" s="34"/>
      <c r="R918" s="36">
        <f t="shared" si="124"/>
        <v>0</v>
      </c>
      <c r="U918" s="39">
        <f t="shared" si="123"/>
        <v>0</v>
      </c>
      <c r="V918" s="41">
        <f t="shared" si="120"/>
        <v>0</v>
      </c>
    </row>
    <row r="919" spans="2:22" x14ac:dyDescent="0.25">
      <c r="B919" s="31">
        <f t="shared" si="118"/>
        <v>130</v>
      </c>
      <c r="C919" s="48" t="str">
        <f t="shared" si="121"/>
        <v/>
      </c>
      <c r="D919" s="47" t="str">
        <f t="shared" si="122"/>
        <v/>
      </c>
      <c r="E919" s="31" t="str">
        <f t="shared" si="125"/>
        <v>130</v>
      </c>
      <c r="I919" s="31" t="str">
        <f t="shared" si="119"/>
        <v xml:space="preserve">0                                                                                                                                 </v>
      </c>
      <c r="P919" s="27"/>
      <c r="Q919" s="34"/>
      <c r="R919" s="36">
        <f t="shared" si="124"/>
        <v>0</v>
      </c>
      <c r="U919" s="39">
        <f t="shared" si="123"/>
        <v>0</v>
      </c>
      <c r="V919" s="41">
        <f t="shared" si="120"/>
        <v>0</v>
      </c>
    </row>
    <row r="920" spans="2:22" x14ac:dyDescent="0.25">
      <c r="B920" s="31">
        <f t="shared" si="118"/>
        <v>131</v>
      </c>
      <c r="C920" s="48" t="str">
        <f t="shared" si="121"/>
        <v/>
      </c>
      <c r="D920" s="47" t="str">
        <f t="shared" si="122"/>
        <v/>
      </c>
      <c r="E920" s="31" t="str">
        <f t="shared" si="125"/>
        <v>131</v>
      </c>
      <c r="I920" s="31" t="str">
        <f t="shared" si="119"/>
        <v xml:space="preserve">0                                                                                                                                  </v>
      </c>
      <c r="P920" s="27"/>
      <c r="Q920" s="34"/>
      <c r="R920" s="36">
        <f t="shared" si="124"/>
        <v>0</v>
      </c>
      <c r="U920" s="39">
        <f t="shared" si="123"/>
        <v>0</v>
      </c>
      <c r="V920" s="41">
        <f t="shared" si="120"/>
        <v>0</v>
      </c>
    </row>
    <row r="921" spans="2:22" x14ac:dyDescent="0.25">
      <c r="B921" s="31">
        <f t="shared" si="118"/>
        <v>132</v>
      </c>
      <c r="C921" s="48" t="str">
        <f t="shared" si="121"/>
        <v/>
      </c>
      <c r="D921" s="47" t="str">
        <f t="shared" si="122"/>
        <v/>
      </c>
      <c r="E921" s="31" t="str">
        <f t="shared" si="125"/>
        <v>132</v>
      </c>
      <c r="I921" s="31" t="str">
        <f t="shared" si="119"/>
        <v xml:space="preserve">0                                                                                                                                   </v>
      </c>
      <c r="P921" s="27"/>
      <c r="Q921" s="34"/>
      <c r="R921" s="36">
        <f t="shared" si="124"/>
        <v>0</v>
      </c>
      <c r="U921" s="39">
        <f t="shared" si="123"/>
        <v>0</v>
      </c>
      <c r="V921" s="41">
        <f t="shared" si="120"/>
        <v>0</v>
      </c>
    </row>
    <row r="922" spans="2:22" x14ac:dyDescent="0.25">
      <c r="B922" s="31">
        <f t="shared" si="118"/>
        <v>133</v>
      </c>
      <c r="C922" s="48" t="str">
        <f t="shared" si="121"/>
        <v/>
      </c>
      <c r="D922" s="47" t="str">
        <f t="shared" si="122"/>
        <v/>
      </c>
      <c r="E922" s="31" t="str">
        <f t="shared" si="125"/>
        <v>133</v>
      </c>
      <c r="I922" s="31" t="str">
        <f t="shared" si="119"/>
        <v xml:space="preserve">0                                                                                                                                    </v>
      </c>
      <c r="P922" s="27"/>
      <c r="Q922" s="34"/>
      <c r="R922" s="36">
        <f t="shared" si="124"/>
        <v>0</v>
      </c>
      <c r="U922" s="39">
        <f t="shared" si="123"/>
        <v>0</v>
      </c>
      <c r="V922" s="41">
        <f t="shared" si="120"/>
        <v>0</v>
      </c>
    </row>
    <row r="923" spans="2:22" x14ac:dyDescent="0.25">
      <c r="B923" s="31">
        <f t="shared" si="118"/>
        <v>134</v>
      </c>
      <c r="C923" s="48" t="str">
        <f t="shared" si="121"/>
        <v/>
      </c>
      <c r="D923" s="47" t="str">
        <f t="shared" si="122"/>
        <v/>
      </c>
      <c r="E923" s="31" t="str">
        <f t="shared" si="125"/>
        <v>134</v>
      </c>
      <c r="I923" s="31" t="str">
        <f t="shared" si="119"/>
        <v xml:space="preserve">0                                                                                                                                     </v>
      </c>
      <c r="P923" s="27"/>
      <c r="Q923" s="34"/>
      <c r="R923" s="36">
        <f t="shared" si="124"/>
        <v>0</v>
      </c>
      <c r="U923" s="39">
        <f t="shared" si="123"/>
        <v>0</v>
      </c>
      <c r="V923" s="41">
        <f t="shared" si="120"/>
        <v>0</v>
      </c>
    </row>
    <row r="924" spans="2:22" x14ac:dyDescent="0.25">
      <c r="B924" s="31">
        <f t="shared" si="118"/>
        <v>135</v>
      </c>
      <c r="C924" s="48" t="str">
        <f t="shared" si="121"/>
        <v/>
      </c>
      <c r="D924" s="47" t="str">
        <f t="shared" si="122"/>
        <v/>
      </c>
      <c r="E924" s="31" t="str">
        <f t="shared" si="125"/>
        <v>135</v>
      </c>
      <c r="I924" s="31" t="str">
        <f t="shared" si="119"/>
        <v xml:space="preserve">0                                                                                                                                      </v>
      </c>
      <c r="P924" s="27"/>
      <c r="Q924" s="34"/>
      <c r="R924" s="36">
        <f t="shared" si="124"/>
        <v>0</v>
      </c>
      <c r="U924" s="39">
        <f t="shared" si="123"/>
        <v>0</v>
      </c>
      <c r="V924" s="41">
        <f t="shared" si="120"/>
        <v>0</v>
      </c>
    </row>
    <row r="925" spans="2:22" x14ac:dyDescent="0.25">
      <c r="B925" s="31">
        <f t="shared" si="118"/>
        <v>136</v>
      </c>
      <c r="C925" s="48" t="str">
        <f t="shared" si="121"/>
        <v/>
      </c>
      <c r="D925" s="47" t="str">
        <f t="shared" si="122"/>
        <v/>
      </c>
      <c r="E925" s="31" t="str">
        <f t="shared" si="125"/>
        <v>136</v>
      </c>
      <c r="I925" s="31" t="str">
        <f t="shared" si="119"/>
        <v xml:space="preserve">0                                                                                                                                       </v>
      </c>
      <c r="P925" s="27"/>
      <c r="Q925" s="34"/>
      <c r="R925" s="36">
        <f t="shared" si="124"/>
        <v>0</v>
      </c>
      <c r="U925" s="39">
        <f t="shared" si="123"/>
        <v>0</v>
      </c>
      <c r="V925" s="41">
        <f t="shared" si="120"/>
        <v>0</v>
      </c>
    </row>
    <row r="926" spans="2:22" x14ac:dyDescent="0.25">
      <c r="B926" s="31">
        <f t="shared" si="118"/>
        <v>137</v>
      </c>
      <c r="C926" s="48" t="str">
        <f t="shared" si="121"/>
        <v/>
      </c>
      <c r="D926" s="47" t="str">
        <f t="shared" si="122"/>
        <v/>
      </c>
      <c r="E926" s="31" t="str">
        <f t="shared" si="125"/>
        <v>137</v>
      </c>
      <c r="I926" s="31" t="str">
        <f t="shared" si="119"/>
        <v xml:space="preserve">0                                                                                                                                        </v>
      </c>
      <c r="P926" s="27"/>
      <c r="Q926" s="34"/>
      <c r="R926" s="36">
        <f t="shared" si="124"/>
        <v>0</v>
      </c>
      <c r="U926" s="39">
        <f t="shared" si="123"/>
        <v>0</v>
      </c>
      <c r="V926" s="41">
        <f t="shared" si="120"/>
        <v>0</v>
      </c>
    </row>
    <row r="927" spans="2:22" x14ac:dyDescent="0.25">
      <c r="B927" s="31">
        <f t="shared" ref="B927:B990" si="126">IF(A927=A926,B926+1,1)</f>
        <v>138</v>
      </c>
      <c r="C927" s="48" t="str">
        <f t="shared" si="121"/>
        <v/>
      </c>
      <c r="D927" s="47" t="str">
        <f t="shared" si="122"/>
        <v/>
      </c>
      <c r="E927" s="31" t="str">
        <f t="shared" si="125"/>
        <v>138</v>
      </c>
      <c r="I927" s="31" t="str">
        <f t="shared" ref="I927:I990" si="127">IF(A927=A926,CONCATENATE(I926," ",H927),H927)</f>
        <v xml:space="preserve">0                                                                                                                                         </v>
      </c>
      <c r="P927" s="27"/>
      <c r="Q927" s="34"/>
      <c r="R927" s="36">
        <f t="shared" si="124"/>
        <v>0</v>
      </c>
      <c r="U927" s="39">
        <f t="shared" si="123"/>
        <v>0</v>
      </c>
      <c r="V927" s="41">
        <f t="shared" ref="V927:V990" si="128">IF(A927=A926,V926+U927,U927)</f>
        <v>0</v>
      </c>
    </row>
    <row r="928" spans="2:22" x14ac:dyDescent="0.25">
      <c r="B928" s="31">
        <f t="shared" si="126"/>
        <v>139</v>
      </c>
      <c r="C928" s="48" t="str">
        <f t="shared" si="121"/>
        <v/>
      </c>
      <c r="D928" s="47" t="str">
        <f t="shared" si="122"/>
        <v/>
      </c>
      <c r="E928" s="31" t="str">
        <f t="shared" si="125"/>
        <v>139</v>
      </c>
      <c r="I928" s="31" t="str">
        <f t="shared" si="127"/>
        <v xml:space="preserve">0                                                                                                                                          </v>
      </c>
      <c r="P928" s="27"/>
      <c r="Q928" s="34"/>
      <c r="R928" s="36">
        <f t="shared" si="124"/>
        <v>0</v>
      </c>
      <c r="U928" s="39">
        <f t="shared" si="123"/>
        <v>0</v>
      </c>
      <c r="V928" s="41">
        <f t="shared" si="128"/>
        <v>0</v>
      </c>
    </row>
    <row r="929" spans="2:22" x14ac:dyDescent="0.25">
      <c r="B929" s="31">
        <f t="shared" si="126"/>
        <v>140</v>
      </c>
      <c r="C929" s="48" t="str">
        <f t="shared" si="121"/>
        <v/>
      </c>
      <c r="D929" s="47" t="str">
        <f t="shared" si="122"/>
        <v/>
      </c>
      <c r="E929" s="31" t="str">
        <f t="shared" si="125"/>
        <v>140</v>
      </c>
      <c r="I929" s="31" t="str">
        <f t="shared" si="127"/>
        <v xml:space="preserve">0                                                                                                                                           </v>
      </c>
      <c r="P929" s="27"/>
      <c r="Q929" s="34"/>
      <c r="R929" s="36">
        <f t="shared" si="124"/>
        <v>0</v>
      </c>
      <c r="U929" s="39">
        <f t="shared" si="123"/>
        <v>0</v>
      </c>
      <c r="V929" s="41">
        <f t="shared" si="128"/>
        <v>0</v>
      </c>
    </row>
    <row r="930" spans="2:22" x14ac:dyDescent="0.25">
      <c r="B930" s="31">
        <f t="shared" si="126"/>
        <v>141</v>
      </c>
      <c r="C930" s="48" t="str">
        <f t="shared" si="121"/>
        <v/>
      </c>
      <c r="D930" s="47" t="str">
        <f t="shared" si="122"/>
        <v/>
      </c>
      <c r="E930" s="31" t="str">
        <f t="shared" si="125"/>
        <v>141</v>
      </c>
      <c r="I930" s="31" t="str">
        <f t="shared" si="127"/>
        <v xml:space="preserve">0                                                                                                                                            </v>
      </c>
      <c r="P930" s="27"/>
      <c r="Q930" s="34"/>
      <c r="R930" s="36">
        <f t="shared" si="124"/>
        <v>0</v>
      </c>
      <c r="U930" s="39">
        <f t="shared" si="123"/>
        <v>0</v>
      </c>
      <c r="V930" s="41">
        <f t="shared" si="128"/>
        <v>0</v>
      </c>
    </row>
    <row r="931" spans="2:22" x14ac:dyDescent="0.25">
      <c r="B931" s="31">
        <f t="shared" si="126"/>
        <v>142</v>
      </c>
      <c r="C931" s="48" t="str">
        <f t="shared" ref="C931:C994" si="129">IF(A931=A930,C930,"")</f>
        <v/>
      </c>
      <c r="D931" s="47" t="str">
        <f t="shared" ref="D931:D994" si="130">IF(A931=A930,D930,"")</f>
        <v/>
      </c>
      <c r="E931" s="31" t="str">
        <f t="shared" si="125"/>
        <v>142</v>
      </c>
      <c r="I931" s="31" t="str">
        <f t="shared" si="127"/>
        <v xml:space="preserve">0                                                                                                                                             </v>
      </c>
      <c r="P931" s="27"/>
      <c r="Q931" s="34"/>
      <c r="R931" s="36">
        <f t="shared" si="124"/>
        <v>0</v>
      </c>
      <c r="U931" s="39">
        <f t="shared" si="123"/>
        <v>0</v>
      </c>
      <c r="V931" s="41">
        <f t="shared" si="128"/>
        <v>0</v>
      </c>
    </row>
    <row r="932" spans="2:22" x14ac:dyDescent="0.25">
      <c r="B932" s="31">
        <f t="shared" si="126"/>
        <v>143</v>
      </c>
      <c r="C932" s="48" t="str">
        <f t="shared" si="129"/>
        <v/>
      </c>
      <c r="D932" s="47" t="str">
        <f t="shared" si="130"/>
        <v/>
      </c>
      <c r="E932" s="31" t="str">
        <f t="shared" si="125"/>
        <v>143</v>
      </c>
      <c r="I932" s="31" t="str">
        <f t="shared" si="127"/>
        <v xml:space="preserve">0                                                                                                                                              </v>
      </c>
      <c r="P932" s="27"/>
      <c r="Q932" s="34"/>
      <c r="R932" s="36">
        <f t="shared" si="124"/>
        <v>0</v>
      </c>
      <c r="U932" s="39">
        <f t="shared" si="123"/>
        <v>0</v>
      </c>
      <c r="V932" s="41">
        <f t="shared" si="128"/>
        <v>0</v>
      </c>
    </row>
    <row r="933" spans="2:22" x14ac:dyDescent="0.25">
      <c r="B933" s="31">
        <f t="shared" si="126"/>
        <v>144</v>
      </c>
      <c r="C933" s="48" t="str">
        <f t="shared" si="129"/>
        <v/>
      </c>
      <c r="D933" s="47" t="str">
        <f t="shared" si="130"/>
        <v/>
      </c>
      <c r="E933" s="31" t="str">
        <f t="shared" si="125"/>
        <v>144</v>
      </c>
      <c r="I933" s="31" t="str">
        <f t="shared" si="127"/>
        <v xml:space="preserve">0                                                                                                                                               </v>
      </c>
      <c r="P933" s="27"/>
      <c r="Q933" s="34"/>
      <c r="R933" s="36">
        <f t="shared" si="124"/>
        <v>0</v>
      </c>
      <c r="U933" s="39">
        <f t="shared" si="123"/>
        <v>0</v>
      </c>
      <c r="V933" s="41">
        <f t="shared" si="128"/>
        <v>0</v>
      </c>
    </row>
    <row r="934" spans="2:22" x14ac:dyDescent="0.25">
      <c r="B934" s="31">
        <f t="shared" si="126"/>
        <v>145</v>
      </c>
      <c r="C934" s="48" t="str">
        <f t="shared" si="129"/>
        <v/>
      </c>
      <c r="D934" s="47" t="str">
        <f t="shared" si="130"/>
        <v/>
      </c>
      <c r="E934" s="31" t="str">
        <f t="shared" si="125"/>
        <v>145</v>
      </c>
      <c r="I934" s="31" t="str">
        <f t="shared" si="127"/>
        <v xml:space="preserve">0                                                                                                                                                </v>
      </c>
      <c r="P934" s="27"/>
      <c r="Q934" s="34"/>
      <c r="R934" s="36">
        <f t="shared" si="124"/>
        <v>0</v>
      </c>
      <c r="U934" s="39">
        <f t="shared" si="123"/>
        <v>0</v>
      </c>
      <c r="V934" s="41">
        <f t="shared" si="128"/>
        <v>0</v>
      </c>
    </row>
    <row r="935" spans="2:22" x14ac:dyDescent="0.25">
      <c r="B935" s="31">
        <f t="shared" si="126"/>
        <v>146</v>
      </c>
      <c r="C935" s="48" t="str">
        <f t="shared" si="129"/>
        <v/>
      </c>
      <c r="D935" s="47" t="str">
        <f t="shared" si="130"/>
        <v/>
      </c>
      <c r="E935" s="31" t="str">
        <f t="shared" si="125"/>
        <v>146</v>
      </c>
      <c r="I935" s="31" t="str">
        <f t="shared" si="127"/>
        <v xml:space="preserve">0                                                                                                                                                 </v>
      </c>
      <c r="P935" s="27"/>
      <c r="Q935" s="34"/>
      <c r="R935" s="36">
        <f t="shared" si="124"/>
        <v>0</v>
      </c>
      <c r="U935" s="39">
        <f t="shared" si="123"/>
        <v>0</v>
      </c>
      <c r="V935" s="41">
        <f t="shared" si="128"/>
        <v>0</v>
      </c>
    </row>
    <row r="936" spans="2:22" x14ac:dyDescent="0.25">
      <c r="B936" s="31">
        <f t="shared" si="126"/>
        <v>147</v>
      </c>
      <c r="C936" s="48" t="str">
        <f t="shared" si="129"/>
        <v/>
      </c>
      <c r="D936" s="47" t="str">
        <f t="shared" si="130"/>
        <v/>
      </c>
      <c r="E936" s="31" t="str">
        <f t="shared" si="125"/>
        <v>147</v>
      </c>
      <c r="I936" s="31" t="str">
        <f t="shared" si="127"/>
        <v xml:space="preserve">0                                                                                                                                                  </v>
      </c>
      <c r="P936" s="27"/>
      <c r="Q936" s="34"/>
      <c r="R936" s="36">
        <f t="shared" si="124"/>
        <v>0</v>
      </c>
      <c r="U936" s="39">
        <f t="shared" si="123"/>
        <v>0</v>
      </c>
      <c r="V936" s="41">
        <f t="shared" si="128"/>
        <v>0</v>
      </c>
    </row>
    <row r="937" spans="2:22" x14ac:dyDescent="0.25">
      <c r="B937" s="31">
        <f t="shared" si="126"/>
        <v>148</v>
      </c>
      <c r="C937" s="48" t="str">
        <f t="shared" si="129"/>
        <v/>
      </c>
      <c r="D937" s="47" t="str">
        <f t="shared" si="130"/>
        <v/>
      </c>
      <c r="E937" s="31" t="str">
        <f t="shared" si="125"/>
        <v>148</v>
      </c>
      <c r="I937" s="31" t="str">
        <f t="shared" si="127"/>
        <v xml:space="preserve">0                                                                                                                                                   </v>
      </c>
      <c r="P937" s="27"/>
      <c r="Q937" s="34"/>
      <c r="R937" s="36">
        <f t="shared" si="124"/>
        <v>0</v>
      </c>
      <c r="U937" s="39">
        <f t="shared" si="123"/>
        <v>0</v>
      </c>
      <c r="V937" s="41">
        <f t="shared" si="128"/>
        <v>0</v>
      </c>
    </row>
    <row r="938" spans="2:22" x14ac:dyDescent="0.25">
      <c r="B938" s="31">
        <f t="shared" si="126"/>
        <v>149</v>
      </c>
      <c r="C938" s="48" t="str">
        <f t="shared" si="129"/>
        <v/>
      </c>
      <c r="D938" s="47" t="str">
        <f t="shared" si="130"/>
        <v/>
      </c>
      <c r="E938" s="31" t="str">
        <f t="shared" si="125"/>
        <v>149</v>
      </c>
      <c r="I938" s="31" t="str">
        <f t="shared" si="127"/>
        <v xml:space="preserve">0                                                                                                                                                    </v>
      </c>
      <c r="P938" s="27"/>
      <c r="Q938" s="34"/>
      <c r="R938" s="36">
        <f t="shared" si="124"/>
        <v>0</v>
      </c>
      <c r="U938" s="39">
        <f t="shared" si="123"/>
        <v>0</v>
      </c>
      <c r="V938" s="41">
        <f t="shared" si="128"/>
        <v>0</v>
      </c>
    </row>
    <row r="939" spans="2:22" x14ac:dyDescent="0.25">
      <c r="B939" s="31">
        <f t="shared" si="126"/>
        <v>150</v>
      </c>
      <c r="C939" s="48" t="str">
        <f t="shared" si="129"/>
        <v/>
      </c>
      <c r="D939" s="47" t="str">
        <f t="shared" si="130"/>
        <v/>
      </c>
      <c r="E939" s="31" t="str">
        <f t="shared" si="125"/>
        <v>150</v>
      </c>
      <c r="I939" s="31" t="str">
        <f t="shared" si="127"/>
        <v xml:space="preserve">0                                                                                                                                                     </v>
      </c>
      <c r="P939" s="27"/>
      <c r="Q939" s="34"/>
      <c r="R939" s="36">
        <f t="shared" si="124"/>
        <v>0</v>
      </c>
      <c r="U939" s="39">
        <f t="shared" si="123"/>
        <v>0</v>
      </c>
      <c r="V939" s="41">
        <f t="shared" si="128"/>
        <v>0</v>
      </c>
    </row>
    <row r="940" spans="2:22" x14ac:dyDescent="0.25">
      <c r="B940" s="31">
        <f t="shared" si="126"/>
        <v>151</v>
      </c>
      <c r="C940" s="48" t="str">
        <f t="shared" si="129"/>
        <v/>
      </c>
      <c r="D940" s="47" t="str">
        <f t="shared" si="130"/>
        <v/>
      </c>
      <c r="E940" s="31" t="str">
        <f t="shared" si="125"/>
        <v>151</v>
      </c>
      <c r="I940" s="31" t="str">
        <f t="shared" si="127"/>
        <v xml:space="preserve">0                                                                                                                                                      </v>
      </c>
      <c r="P940" s="27"/>
      <c r="Q940" s="34"/>
      <c r="R940" s="36">
        <f t="shared" si="124"/>
        <v>0</v>
      </c>
      <c r="U940" s="39">
        <f t="shared" si="123"/>
        <v>0</v>
      </c>
      <c r="V940" s="41">
        <f t="shared" si="128"/>
        <v>0</v>
      </c>
    </row>
    <row r="941" spans="2:22" x14ac:dyDescent="0.25">
      <c r="B941" s="31">
        <f t="shared" si="126"/>
        <v>152</v>
      </c>
      <c r="C941" s="48" t="str">
        <f t="shared" si="129"/>
        <v/>
      </c>
      <c r="D941" s="47" t="str">
        <f t="shared" si="130"/>
        <v/>
      </c>
      <c r="E941" s="31" t="str">
        <f t="shared" si="125"/>
        <v>152</v>
      </c>
      <c r="I941" s="31" t="str">
        <f t="shared" si="127"/>
        <v xml:space="preserve">0                                                                                                                                                       </v>
      </c>
      <c r="P941" s="27"/>
      <c r="Q941" s="34"/>
      <c r="R941" s="36">
        <f t="shared" si="124"/>
        <v>0</v>
      </c>
      <c r="U941" s="39">
        <f t="shared" si="123"/>
        <v>0</v>
      </c>
      <c r="V941" s="41">
        <f t="shared" si="128"/>
        <v>0</v>
      </c>
    </row>
    <row r="942" spans="2:22" x14ac:dyDescent="0.25">
      <c r="B942" s="31">
        <f t="shared" si="126"/>
        <v>153</v>
      </c>
      <c r="C942" s="48" t="str">
        <f t="shared" si="129"/>
        <v/>
      </c>
      <c r="D942" s="47" t="str">
        <f t="shared" si="130"/>
        <v/>
      </c>
      <c r="E942" s="31" t="str">
        <f t="shared" si="125"/>
        <v>153</v>
      </c>
      <c r="I942" s="31" t="str">
        <f t="shared" si="127"/>
        <v xml:space="preserve">0                                                                                                                                                        </v>
      </c>
      <c r="P942" s="27"/>
      <c r="Q942" s="34"/>
      <c r="R942" s="36">
        <f t="shared" si="124"/>
        <v>0</v>
      </c>
      <c r="U942" s="39">
        <f t="shared" si="123"/>
        <v>0</v>
      </c>
      <c r="V942" s="41">
        <f t="shared" si="128"/>
        <v>0</v>
      </c>
    </row>
    <row r="943" spans="2:22" x14ac:dyDescent="0.25">
      <c r="B943" s="31">
        <f t="shared" si="126"/>
        <v>154</v>
      </c>
      <c r="C943" s="48" t="str">
        <f t="shared" si="129"/>
        <v/>
      </c>
      <c r="D943" s="47" t="str">
        <f t="shared" si="130"/>
        <v/>
      </c>
      <c r="E943" s="31" t="str">
        <f t="shared" si="125"/>
        <v>154</v>
      </c>
      <c r="I943" s="31" t="str">
        <f t="shared" si="127"/>
        <v xml:space="preserve">0                                                                                                                                                         </v>
      </c>
      <c r="P943" s="27"/>
      <c r="Q943" s="34"/>
      <c r="R943" s="36">
        <f t="shared" si="124"/>
        <v>0</v>
      </c>
      <c r="U943" s="39">
        <f t="shared" si="123"/>
        <v>0</v>
      </c>
      <c r="V943" s="41">
        <f t="shared" si="128"/>
        <v>0</v>
      </c>
    </row>
    <row r="944" spans="2:22" x14ac:dyDescent="0.25">
      <c r="B944" s="31">
        <f t="shared" si="126"/>
        <v>155</v>
      </c>
      <c r="C944" s="48" t="str">
        <f t="shared" si="129"/>
        <v/>
      </c>
      <c r="D944" s="47" t="str">
        <f t="shared" si="130"/>
        <v/>
      </c>
      <c r="E944" s="31" t="str">
        <f t="shared" si="125"/>
        <v>155</v>
      </c>
      <c r="I944" s="31" t="str">
        <f t="shared" si="127"/>
        <v xml:space="preserve">0                                                                                                                                                          </v>
      </c>
      <c r="P944" s="27"/>
      <c r="Q944" s="34"/>
      <c r="R944" s="36">
        <f t="shared" si="124"/>
        <v>0</v>
      </c>
      <c r="U944" s="39">
        <f t="shared" si="123"/>
        <v>0</v>
      </c>
      <c r="V944" s="41">
        <f t="shared" si="128"/>
        <v>0</v>
      </c>
    </row>
    <row r="945" spans="2:22" x14ac:dyDescent="0.25">
      <c r="B945" s="31">
        <f t="shared" si="126"/>
        <v>156</v>
      </c>
      <c r="C945" s="48" t="str">
        <f t="shared" si="129"/>
        <v/>
      </c>
      <c r="D945" s="47" t="str">
        <f t="shared" si="130"/>
        <v/>
      </c>
      <c r="E945" s="31" t="str">
        <f t="shared" si="125"/>
        <v>156</v>
      </c>
      <c r="I945" s="31" t="str">
        <f t="shared" si="127"/>
        <v xml:space="preserve">0                                                                                                                                                           </v>
      </c>
      <c r="P945" s="27"/>
      <c r="Q945" s="34"/>
      <c r="R945" s="36">
        <f t="shared" si="124"/>
        <v>0</v>
      </c>
      <c r="U945" s="39">
        <f t="shared" si="123"/>
        <v>0</v>
      </c>
      <c r="V945" s="41">
        <f t="shared" si="128"/>
        <v>0</v>
      </c>
    </row>
    <row r="946" spans="2:22" x14ac:dyDescent="0.25">
      <c r="B946" s="31">
        <f t="shared" si="126"/>
        <v>157</v>
      </c>
      <c r="C946" s="48" t="str">
        <f t="shared" si="129"/>
        <v/>
      </c>
      <c r="D946" s="47" t="str">
        <f t="shared" si="130"/>
        <v/>
      </c>
      <c r="E946" s="31" t="str">
        <f t="shared" si="125"/>
        <v>157</v>
      </c>
      <c r="I946" s="31" t="str">
        <f t="shared" si="127"/>
        <v xml:space="preserve">0                                                                                                                                                            </v>
      </c>
      <c r="P946" s="27"/>
      <c r="Q946" s="34"/>
      <c r="R946" s="36">
        <f t="shared" si="124"/>
        <v>0</v>
      </c>
      <c r="U946" s="39">
        <f t="shared" si="123"/>
        <v>0</v>
      </c>
      <c r="V946" s="41">
        <f t="shared" si="128"/>
        <v>0</v>
      </c>
    </row>
    <row r="947" spans="2:22" x14ac:dyDescent="0.25">
      <c r="B947" s="31">
        <f t="shared" si="126"/>
        <v>158</v>
      </c>
      <c r="C947" s="48" t="str">
        <f t="shared" si="129"/>
        <v/>
      </c>
      <c r="D947" s="47" t="str">
        <f t="shared" si="130"/>
        <v/>
      </c>
      <c r="E947" s="31" t="str">
        <f t="shared" si="125"/>
        <v>158</v>
      </c>
      <c r="I947" s="31" t="str">
        <f t="shared" si="127"/>
        <v xml:space="preserve">0                                                                                                                                                             </v>
      </c>
      <c r="P947" s="27"/>
      <c r="Q947" s="34"/>
      <c r="R947" s="36">
        <f t="shared" si="124"/>
        <v>0</v>
      </c>
      <c r="U947" s="39">
        <f t="shared" si="123"/>
        <v>0</v>
      </c>
      <c r="V947" s="41">
        <f t="shared" si="128"/>
        <v>0</v>
      </c>
    </row>
    <row r="948" spans="2:22" x14ac:dyDescent="0.25">
      <c r="B948" s="31">
        <f t="shared" si="126"/>
        <v>159</v>
      </c>
      <c r="C948" s="48" t="str">
        <f t="shared" si="129"/>
        <v/>
      </c>
      <c r="D948" s="47" t="str">
        <f t="shared" si="130"/>
        <v/>
      </c>
      <c r="E948" s="31" t="str">
        <f t="shared" si="125"/>
        <v>159</v>
      </c>
      <c r="I948" s="31" t="str">
        <f t="shared" si="127"/>
        <v xml:space="preserve">0                                                                                                                                                              </v>
      </c>
      <c r="P948" s="27"/>
      <c r="Q948" s="34"/>
      <c r="R948" s="36">
        <f t="shared" si="124"/>
        <v>0</v>
      </c>
      <c r="U948" s="39">
        <f t="shared" si="123"/>
        <v>0</v>
      </c>
      <c r="V948" s="41">
        <f t="shared" si="128"/>
        <v>0</v>
      </c>
    </row>
    <row r="949" spans="2:22" x14ac:dyDescent="0.25">
      <c r="B949" s="31">
        <f t="shared" si="126"/>
        <v>160</v>
      </c>
      <c r="C949" s="48" t="str">
        <f t="shared" si="129"/>
        <v/>
      </c>
      <c r="D949" s="47" t="str">
        <f t="shared" si="130"/>
        <v/>
      </c>
      <c r="E949" s="31" t="str">
        <f t="shared" si="125"/>
        <v>160</v>
      </c>
      <c r="I949" s="31" t="str">
        <f t="shared" si="127"/>
        <v xml:space="preserve">0                                                                                                                                                               </v>
      </c>
      <c r="P949" s="27"/>
      <c r="Q949" s="34"/>
      <c r="R949" s="36">
        <f t="shared" si="124"/>
        <v>0</v>
      </c>
      <c r="U949" s="39">
        <f t="shared" si="123"/>
        <v>0</v>
      </c>
      <c r="V949" s="41">
        <f t="shared" si="128"/>
        <v>0</v>
      </c>
    </row>
    <row r="950" spans="2:22" x14ac:dyDescent="0.25">
      <c r="B950" s="31">
        <f t="shared" si="126"/>
        <v>161</v>
      </c>
      <c r="C950" s="48" t="str">
        <f t="shared" si="129"/>
        <v/>
      </c>
      <c r="D950" s="47" t="str">
        <f t="shared" si="130"/>
        <v/>
      </c>
      <c r="E950" s="31" t="str">
        <f t="shared" si="125"/>
        <v>161</v>
      </c>
      <c r="I950" s="31" t="str">
        <f t="shared" si="127"/>
        <v xml:space="preserve">0                                                                                                                                                                </v>
      </c>
      <c r="P950" s="27"/>
      <c r="Q950" s="34"/>
      <c r="R950" s="36">
        <f t="shared" si="124"/>
        <v>0</v>
      </c>
      <c r="U950" s="39">
        <f t="shared" si="123"/>
        <v>0</v>
      </c>
      <c r="V950" s="41">
        <f t="shared" si="128"/>
        <v>0</v>
      </c>
    </row>
    <row r="951" spans="2:22" x14ac:dyDescent="0.25">
      <c r="B951" s="31">
        <f t="shared" si="126"/>
        <v>162</v>
      </c>
      <c r="C951" s="48" t="str">
        <f t="shared" si="129"/>
        <v/>
      </c>
      <c r="D951" s="47" t="str">
        <f t="shared" si="130"/>
        <v/>
      </c>
      <c r="E951" s="31" t="str">
        <f t="shared" si="125"/>
        <v>162</v>
      </c>
      <c r="I951" s="31" t="str">
        <f t="shared" si="127"/>
        <v xml:space="preserve">0                                                                                                                                                                 </v>
      </c>
      <c r="P951" s="27"/>
      <c r="Q951" s="34"/>
      <c r="R951" s="36">
        <f t="shared" si="124"/>
        <v>0</v>
      </c>
      <c r="U951" s="39">
        <f t="shared" si="123"/>
        <v>0</v>
      </c>
      <c r="V951" s="41">
        <f t="shared" si="128"/>
        <v>0</v>
      </c>
    </row>
    <row r="952" spans="2:22" x14ac:dyDescent="0.25">
      <c r="B952" s="31">
        <f t="shared" si="126"/>
        <v>163</v>
      </c>
      <c r="C952" s="48" t="str">
        <f t="shared" si="129"/>
        <v/>
      </c>
      <c r="D952" s="47" t="str">
        <f t="shared" si="130"/>
        <v/>
      </c>
      <c r="E952" s="31" t="str">
        <f t="shared" si="125"/>
        <v>163</v>
      </c>
      <c r="I952" s="31" t="str">
        <f t="shared" si="127"/>
        <v xml:space="preserve">0                                                                                                                                                                  </v>
      </c>
      <c r="P952" s="27"/>
      <c r="Q952" s="34"/>
      <c r="R952" s="36">
        <f t="shared" si="124"/>
        <v>0</v>
      </c>
      <c r="U952" s="39">
        <f t="shared" si="123"/>
        <v>0</v>
      </c>
      <c r="V952" s="41">
        <f t="shared" si="128"/>
        <v>0</v>
      </c>
    </row>
    <row r="953" spans="2:22" x14ac:dyDescent="0.25">
      <c r="B953" s="31">
        <f t="shared" si="126"/>
        <v>164</v>
      </c>
      <c r="C953" s="48" t="str">
        <f t="shared" si="129"/>
        <v/>
      </c>
      <c r="D953" s="47" t="str">
        <f t="shared" si="130"/>
        <v/>
      </c>
      <c r="E953" s="31" t="str">
        <f t="shared" si="125"/>
        <v>164</v>
      </c>
      <c r="I953" s="31" t="str">
        <f t="shared" si="127"/>
        <v xml:space="preserve">0                                                                                                                                                                   </v>
      </c>
      <c r="P953" s="27"/>
      <c r="Q953" s="34"/>
      <c r="R953" s="36">
        <f t="shared" si="124"/>
        <v>0</v>
      </c>
      <c r="U953" s="39">
        <f t="shared" si="123"/>
        <v>0</v>
      </c>
      <c r="V953" s="41">
        <f t="shared" si="128"/>
        <v>0</v>
      </c>
    </row>
    <row r="954" spans="2:22" x14ac:dyDescent="0.25">
      <c r="B954" s="31">
        <f t="shared" si="126"/>
        <v>165</v>
      </c>
      <c r="C954" s="48" t="str">
        <f t="shared" si="129"/>
        <v/>
      </c>
      <c r="D954" s="47" t="str">
        <f t="shared" si="130"/>
        <v/>
      </c>
      <c r="E954" s="31" t="str">
        <f t="shared" si="125"/>
        <v>165</v>
      </c>
      <c r="I954" s="31" t="str">
        <f t="shared" si="127"/>
        <v xml:space="preserve">0                                                                                                                                                                    </v>
      </c>
      <c r="P954" s="27"/>
      <c r="Q954" s="34"/>
      <c r="R954" s="36">
        <f t="shared" si="124"/>
        <v>0</v>
      </c>
      <c r="U954" s="39">
        <f t="shared" si="123"/>
        <v>0</v>
      </c>
      <c r="V954" s="41">
        <f t="shared" si="128"/>
        <v>0</v>
      </c>
    </row>
    <row r="955" spans="2:22" x14ac:dyDescent="0.25">
      <c r="B955" s="31">
        <f t="shared" si="126"/>
        <v>166</v>
      </c>
      <c r="C955" s="48" t="str">
        <f t="shared" si="129"/>
        <v/>
      </c>
      <c r="D955" s="47" t="str">
        <f t="shared" si="130"/>
        <v/>
      </c>
      <c r="E955" s="31" t="str">
        <f t="shared" si="125"/>
        <v>166</v>
      </c>
      <c r="I955" s="31" t="str">
        <f t="shared" si="127"/>
        <v xml:space="preserve">0                                                                                                                                                                     </v>
      </c>
      <c r="P955" s="27"/>
      <c r="Q955" s="34"/>
      <c r="R955" s="36">
        <f t="shared" si="124"/>
        <v>0</v>
      </c>
      <c r="U955" s="39">
        <f t="shared" si="123"/>
        <v>0</v>
      </c>
      <c r="V955" s="41">
        <f t="shared" si="128"/>
        <v>0</v>
      </c>
    </row>
    <row r="956" spans="2:22" x14ac:dyDescent="0.25">
      <c r="B956" s="31">
        <f t="shared" si="126"/>
        <v>167</v>
      </c>
      <c r="C956" s="48" t="str">
        <f t="shared" si="129"/>
        <v/>
      </c>
      <c r="D956" s="47" t="str">
        <f t="shared" si="130"/>
        <v/>
      </c>
      <c r="E956" s="31" t="str">
        <f t="shared" si="125"/>
        <v>167</v>
      </c>
      <c r="I956" s="31" t="str">
        <f t="shared" si="127"/>
        <v xml:space="preserve">0                                                                                                                                                                      </v>
      </c>
      <c r="P956" s="27"/>
      <c r="Q956" s="34"/>
      <c r="R956" s="36">
        <f t="shared" si="124"/>
        <v>0</v>
      </c>
      <c r="U956" s="39">
        <f t="shared" si="123"/>
        <v>0</v>
      </c>
      <c r="V956" s="41">
        <f t="shared" si="128"/>
        <v>0</v>
      </c>
    </row>
    <row r="957" spans="2:22" x14ac:dyDescent="0.25">
      <c r="B957" s="31">
        <f t="shared" si="126"/>
        <v>168</v>
      </c>
      <c r="C957" s="48" t="str">
        <f t="shared" si="129"/>
        <v/>
      </c>
      <c r="D957" s="47" t="str">
        <f t="shared" si="130"/>
        <v/>
      </c>
      <c r="E957" s="31" t="str">
        <f t="shared" si="125"/>
        <v>168</v>
      </c>
      <c r="I957" s="31" t="str">
        <f t="shared" si="127"/>
        <v xml:space="preserve">0                                                                                                                                                                       </v>
      </c>
      <c r="P957" s="27"/>
      <c r="Q957" s="34"/>
      <c r="R957" s="36">
        <f t="shared" si="124"/>
        <v>0</v>
      </c>
      <c r="U957" s="39">
        <f t="shared" si="123"/>
        <v>0</v>
      </c>
      <c r="V957" s="41">
        <f t="shared" si="128"/>
        <v>0</v>
      </c>
    </row>
    <row r="958" spans="2:22" x14ac:dyDescent="0.25">
      <c r="B958" s="31">
        <f t="shared" si="126"/>
        <v>169</v>
      </c>
      <c r="C958" s="48" t="str">
        <f t="shared" si="129"/>
        <v/>
      </c>
      <c r="D958" s="47" t="str">
        <f t="shared" si="130"/>
        <v/>
      </c>
      <c r="E958" s="31" t="str">
        <f t="shared" si="125"/>
        <v>169</v>
      </c>
      <c r="I958" s="31" t="str">
        <f t="shared" si="127"/>
        <v xml:space="preserve">0                                                                                                                                                                        </v>
      </c>
      <c r="P958" s="27"/>
      <c r="Q958" s="34"/>
      <c r="R958" s="36">
        <f t="shared" si="124"/>
        <v>0</v>
      </c>
      <c r="U958" s="39">
        <f t="shared" si="123"/>
        <v>0</v>
      </c>
      <c r="V958" s="41">
        <f t="shared" si="128"/>
        <v>0</v>
      </c>
    </row>
    <row r="959" spans="2:22" x14ac:dyDescent="0.25">
      <c r="B959" s="31">
        <f t="shared" si="126"/>
        <v>170</v>
      </c>
      <c r="C959" s="48" t="str">
        <f t="shared" si="129"/>
        <v/>
      </c>
      <c r="D959" s="47" t="str">
        <f t="shared" si="130"/>
        <v/>
      </c>
      <c r="E959" s="31" t="str">
        <f t="shared" si="125"/>
        <v>170</v>
      </c>
      <c r="I959" s="31" t="str">
        <f t="shared" si="127"/>
        <v xml:space="preserve">0                                                                                                                                                                         </v>
      </c>
      <c r="P959" s="27"/>
      <c r="Q959" s="34"/>
      <c r="R959" s="36">
        <f t="shared" si="124"/>
        <v>0</v>
      </c>
      <c r="U959" s="39">
        <f t="shared" si="123"/>
        <v>0</v>
      </c>
      <c r="V959" s="41">
        <f t="shared" si="128"/>
        <v>0</v>
      </c>
    </row>
    <row r="960" spans="2:22" x14ac:dyDescent="0.25">
      <c r="B960" s="31">
        <f t="shared" si="126"/>
        <v>171</v>
      </c>
      <c r="C960" s="48" t="str">
        <f t="shared" si="129"/>
        <v/>
      </c>
      <c r="D960" s="47" t="str">
        <f t="shared" si="130"/>
        <v/>
      </c>
      <c r="E960" s="31" t="str">
        <f t="shared" si="125"/>
        <v>171</v>
      </c>
      <c r="I960" s="31" t="str">
        <f t="shared" si="127"/>
        <v xml:space="preserve">0                                                                                                                                                                          </v>
      </c>
      <c r="P960" s="27"/>
      <c r="Q960" s="34"/>
      <c r="R960" s="36">
        <f t="shared" si="124"/>
        <v>0</v>
      </c>
      <c r="U960" s="39">
        <f t="shared" si="123"/>
        <v>0</v>
      </c>
      <c r="V960" s="41">
        <f t="shared" si="128"/>
        <v>0</v>
      </c>
    </row>
    <row r="961" spans="2:22" x14ac:dyDescent="0.25">
      <c r="B961" s="31">
        <f t="shared" si="126"/>
        <v>172</v>
      </c>
      <c r="C961" s="48" t="str">
        <f t="shared" si="129"/>
        <v/>
      </c>
      <c r="D961" s="47" t="str">
        <f t="shared" si="130"/>
        <v/>
      </c>
      <c r="E961" s="31" t="str">
        <f t="shared" si="125"/>
        <v>172</v>
      </c>
      <c r="I961" s="31" t="str">
        <f t="shared" si="127"/>
        <v xml:space="preserve">0                                                                                                                                                                           </v>
      </c>
      <c r="P961" s="27"/>
      <c r="Q961" s="34"/>
      <c r="R961" s="36">
        <f t="shared" si="124"/>
        <v>0</v>
      </c>
      <c r="U961" s="39">
        <f t="shared" si="123"/>
        <v>0</v>
      </c>
      <c r="V961" s="41">
        <f t="shared" si="128"/>
        <v>0</v>
      </c>
    </row>
    <row r="962" spans="2:22" x14ac:dyDescent="0.25">
      <c r="B962" s="31">
        <f t="shared" si="126"/>
        <v>173</v>
      </c>
      <c r="C962" s="48" t="str">
        <f t="shared" si="129"/>
        <v/>
      </c>
      <c r="D962" s="47" t="str">
        <f t="shared" si="130"/>
        <v/>
      </c>
      <c r="E962" s="31" t="str">
        <f t="shared" si="125"/>
        <v>173</v>
      </c>
      <c r="I962" s="31" t="str">
        <f t="shared" si="127"/>
        <v xml:space="preserve">0                                                                                                                                                                            </v>
      </c>
      <c r="P962" s="27"/>
      <c r="Q962" s="34"/>
      <c r="R962" s="36">
        <f t="shared" si="124"/>
        <v>0</v>
      </c>
      <c r="U962" s="39">
        <f t="shared" si="123"/>
        <v>0</v>
      </c>
      <c r="V962" s="41">
        <f t="shared" si="128"/>
        <v>0</v>
      </c>
    </row>
    <row r="963" spans="2:22" x14ac:dyDescent="0.25">
      <c r="B963" s="31">
        <f t="shared" si="126"/>
        <v>174</v>
      </c>
      <c r="C963" s="48" t="str">
        <f t="shared" si="129"/>
        <v/>
      </c>
      <c r="D963" s="47" t="str">
        <f t="shared" si="130"/>
        <v/>
      </c>
      <c r="E963" s="31" t="str">
        <f t="shared" si="125"/>
        <v>174</v>
      </c>
      <c r="I963" s="31" t="str">
        <f t="shared" si="127"/>
        <v xml:space="preserve">0                                                                                                                                                                             </v>
      </c>
      <c r="P963" s="27"/>
      <c r="Q963" s="34"/>
      <c r="R963" s="36">
        <f t="shared" si="124"/>
        <v>0</v>
      </c>
      <c r="U963" s="39">
        <f t="shared" si="123"/>
        <v>0</v>
      </c>
      <c r="V963" s="41">
        <f t="shared" si="128"/>
        <v>0</v>
      </c>
    </row>
    <row r="964" spans="2:22" x14ac:dyDescent="0.25">
      <c r="B964" s="31">
        <f t="shared" si="126"/>
        <v>175</v>
      </c>
      <c r="C964" s="48" t="str">
        <f t="shared" si="129"/>
        <v/>
      </c>
      <c r="D964" s="47" t="str">
        <f t="shared" si="130"/>
        <v/>
      </c>
      <c r="E964" s="31" t="str">
        <f t="shared" si="125"/>
        <v>175</v>
      </c>
      <c r="I964" s="31" t="str">
        <f t="shared" si="127"/>
        <v xml:space="preserve">0                                                                                                                                                                              </v>
      </c>
      <c r="P964" s="27"/>
      <c r="Q964" s="34"/>
      <c r="R964" s="36">
        <f t="shared" si="124"/>
        <v>0</v>
      </c>
      <c r="U964" s="39">
        <f t="shared" ref="U964:U1027" si="131">+T964*S964</f>
        <v>0</v>
      </c>
      <c r="V964" s="41">
        <f t="shared" si="128"/>
        <v>0</v>
      </c>
    </row>
    <row r="965" spans="2:22" x14ac:dyDescent="0.25">
      <c r="B965" s="31">
        <f t="shared" si="126"/>
        <v>176</v>
      </c>
      <c r="C965" s="48" t="str">
        <f t="shared" si="129"/>
        <v/>
      </c>
      <c r="D965" s="47" t="str">
        <f t="shared" si="130"/>
        <v/>
      </c>
      <c r="E965" s="31" t="str">
        <f t="shared" si="125"/>
        <v>176</v>
      </c>
      <c r="I965" s="31" t="str">
        <f t="shared" si="127"/>
        <v xml:space="preserve">0                                                                                                                                                                               </v>
      </c>
      <c r="P965" s="27"/>
      <c r="Q965" s="34"/>
      <c r="R965" s="36">
        <f t="shared" si="124"/>
        <v>0</v>
      </c>
      <c r="U965" s="39">
        <f t="shared" si="131"/>
        <v>0</v>
      </c>
      <c r="V965" s="41">
        <f t="shared" si="128"/>
        <v>0</v>
      </c>
    </row>
    <row r="966" spans="2:22" x14ac:dyDescent="0.25">
      <c r="B966" s="31">
        <f t="shared" si="126"/>
        <v>177</v>
      </c>
      <c r="C966" s="48" t="str">
        <f t="shared" si="129"/>
        <v/>
      </c>
      <c r="D966" s="47" t="str">
        <f t="shared" si="130"/>
        <v/>
      </c>
      <c r="E966" s="31" t="str">
        <f t="shared" si="125"/>
        <v>177</v>
      </c>
      <c r="I966" s="31" t="str">
        <f t="shared" si="127"/>
        <v xml:space="preserve">0                                                                                                                                                                                </v>
      </c>
      <c r="P966" s="27"/>
      <c r="Q966" s="34"/>
      <c r="R966" s="36">
        <f t="shared" si="124"/>
        <v>0</v>
      </c>
      <c r="U966" s="39">
        <f t="shared" si="131"/>
        <v>0</v>
      </c>
      <c r="V966" s="41">
        <f t="shared" si="128"/>
        <v>0</v>
      </c>
    </row>
    <row r="967" spans="2:22" x14ac:dyDescent="0.25">
      <c r="B967" s="31">
        <f t="shared" si="126"/>
        <v>178</v>
      </c>
      <c r="C967" s="48" t="str">
        <f t="shared" si="129"/>
        <v/>
      </c>
      <c r="D967" s="47" t="str">
        <f t="shared" si="130"/>
        <v/>
      </c>
      <c r="E967" s="31" t="str">
        <f t="shared" si="125"/>
        <v>178</v>
      </c>
      <c r="I967" s="31" t="str">
        <f t="shared" si="127"/>
        <v xml:space="preserve">0                                                                                                                                                                                 </v>
      </c>
      <c r="P967" s="27"/>
      <c r="Q967" s="34"/>
      <c r="R967" s="36">
        <f t="shared" si="124"/>
        <v>0</v>
      </c>
      <c r="U967" s="39">
        <f t="shared" si="131"/>
        <v>0</v>
      </c>
      <c r="V967" s="41">
        <f t="shared" si="128"/>
        <v>0</v>
      </c>
    </row>
    <row r="968" spans="2:22" x14ac:dyDescent="0.25">
      <c r="B968" s="31">
        <f t="shared" si="126"/>
        <v>179</v>
      </c>
      <c r="C968" s="48" t="str">
        <f t="shared" si="129"/>
        <v/>
      </c>
      <c r="D968" s="47" t="str">
        <f t="shared" si="130"/>
        <v/>
      </c>
      <c r="E968" s="31" t="str">
        <f t="shared" si="125"/>
        <v>179</v>
      </c>
      <c r="I968" s="31" t="str">
        <f t="shared" si="127"/>
        <v xml:space="preserve">0                                                                                                                                                                                  </v>
      </c>
      <c r="P968" s="27"/>
      <c r="Q968" s="34"/>
      <c r="R968" s="36">
        <f t="shared" si="124"/>
        <v>0</v>
      </c>
      <c r="U968" s="39">
        <f t="shared" si="131"/>
        <v>0</v>
      </c>
      <c r="V968" s="41">
        <f t="shared" si="128"/>
        <v>0</v>
      </c>
    </row>
    <row r="969" spans="2:22" x14ac:dyDescent="0.25">
      <c r="B969" s="31">
        <f t="shared" si="126"/>
        <v>180</v>
      </c>
      <c r="C969" s="48" t="str">
        <f t="shared" si="129"/>
        <v/>
      </c>
      <c r="D969" s="47" t="str">
        <f t="shared" si="130"/>
        <v/>
      </c>
      <c r="E969" s="31" t="str">
        <f t="shared" si="125"/>
        <v>180</v>
      </c>
      <c r="I969" s="31" t="str">
        <f t="shared" si="127"/>
        <v xml:space="preserve">0                                                                                                                                                                                   </v>
      </c>
      <c r="P969" s="27"/>
      <c r="Q969" s="34"/>
      <c r="R969" s="36">
        <f t="shared" si="124"/>
        <v>0</v>
      </c>
      <c r="U969" s="39">
        <f t="shared" si="131"/>
        <v>0</v>
      </c>
      <c r="V969" s="41">
        <f t="shared" si="128"/>
        <v>0</v>
      </c>
    </row>
    <row r="970" spans="2:22" x14ac:dyDescent="0.25">
      <c r="B970" s="31">
        <f t="shared" si="126"/>
        <v>181</v>
      </c>
      <c r="C970" s="48" t="str">
        <f t="shared" si="129"/>
        <v/>
      </c>
      <c r="D970" s="47" t="str">
        <f t="shared" si="130"/>
        <v/>
      </c>
      <c r="E970" s="31" t="str">
        <f t="shared" si="125"/>
        <v>181</v>
      </c>
      <c r="I970" s="31" t="str">
        <f t="shared" si="127"/>
        <v xml:space="preserve">0                                                                                                                                                                                    </v>
      </c>
      <c r="P970" s="27"/>
      <c r="Q970" s="34"/>
      <c r="R970" s="36">
        <f t="shared" si="124"/>
        <v>0</v>
      </c>
      <c r="U970" s="39">
        <f t="shared" si="131"/>
        <v>0</v>
      </c>
      <c r="V970" s="41">
        <f t="shared" si="128"/>
        <v>0</v>
      </c>
    </row>
    <row r="971" spans="2:22" x14ac:dyDescent="0.25">
      <c r="B971" s="31">
        <f t="shared" si="126"/>
        <v>182</v>
      </c>
      <c r="C971" s="48" t="str">
        <f t="shared" si="129"/>
        <v/>
      </c>
      <c r="D971" s="47" t="str">
        <f t="shared" si="130"/>
        <v/>
      </c>
      <c r="E971" s="31" t="str">
        <f t="shared" si="125"/>
        <v>182</v>
      </c>
      <c r="I971" s="31" t="str">
        <f t="shared" si="127"/>
        <v xml:space="preserve">0                                                                                                                                                                                     </v>
      </c>
      <c r="P971" s="27"/>
      <c r="Q971" s="34"/>
      <c r="R971" s="36">
        <f t="shared" si="124"/>
        <v>0</v>
      </c>
      <c r="U971" s="39">
        <f t="shared" si="131"/>
        <v>0</v>
      </c>
      <c r="V971" s="41">
        <f t="shared" si="128"/>
        <v>0</v>
      </c>
    </row>
    <row r="972" spans="2:22" x14ac:dyDescent="0.25">
      <c r="B972" s="31">
        <f t="shared" si="126"/>
        <v>183</v>
      </c>
      <c r="C972" s="48" t="str">
        <f t="shared" si="129"/>
        <v/>
      </c>
      <c r="D972" s="47" t="str">
        <f t="shared" si="130"/>
        <v/>
      </c>
      <c r="E972" s="31" t="str">
        <f t="shared" si="125"/>
        <v>183</v>
      </c>
      <c r="I972" s="31" t="str">
        <f t="shared" si="127"/>
        <v xml:space="preserve">0                                                                                                                                                                                      </v>
      </c>
      <c r="P972" s="27"/>
      <c r="Q972" s="34"/>
      <c r="R972" s="36">
        <f t="shared" si="124"/>
        <v>0</v>
      </c>
      <c r="U972" s="39">
        <f t="shared" si="131"/>
        <v>0</v>
      </c>
      <c r="V972" s="41">
        <f t="shared" si="128"/>
        <v>0</v>
      </c>
    </row>
    <row r="973" spans="2:22" x14ac:dyDescent="0.25">
      <c r="B973" s="31">
        <f t="shared" si="126"/>
        <v>184</v>
      </c>
      <c r="C973" s="48" t="str">
        <f t="shared" si="129"/>
        <v/>
      </c>
      <c r="D973" s="47" t="str">
        <f t="shared" si="130"/>
        <v/>
      </c>
      <c r="E973" s="31" t="str">
        <f t="shared" si="125"/>
        <v>184</v>
      </c>
      <c r="I973" s="31" t="str">
        <f t="shared" si="127"/>
        <v xml:space="preserve">0                                                                                                                                                                                       </v>
      </c>
      <c r="P973" s="27"/>
      <c r="Q973" s="34"/>
      <c r="R973" s="36">
        <f t="shared" si="124"/>
        <v>0</v>
      </c>
      <c r="U973" s="39">
        <f t="shared" si="131"/>
        <v>0</v>
      </c>
      <c r="V973" s="41">
        <f t="shared" si="128"/>
        <v>0</v>
      </c>
    </row>
    <row r="974" spans="2:22" x14ac:dyDescent="0.25">
      <c r="B974" s="31">
        <f t="shared" si="126"/>
        <v>185</v>
      </c>
      <c r="C974" s="48" t="str">
        <f t="shared" si="129"/>
        <v/>
      </c>
      <c r="D974" s="47" t="str">
        <f t="shared" si="130"/>
        <v/>
      </c>
      <c r="E974" s="31" t="str">
        <f t="shared" si="125"/>
        <v>185</v>
      </c>
      <c r="I974" s="31" t="str">
        <f t="shared" si="127"/>
        <v xml:space="preserve">0                                                                                                                                                                                        </v>
      </c>
      <c r="P974" s="27"/>
      <c r="Q974" s="34"/>
      <c r="R974" s="36">
        <f t="shared" si="124"/>
        <v>0</v>
      </c>
      <c r="U974" s="39">
        <f t="shared" si="131"/>
        <v>0</v>
      </c>
      <c r="V974" s="41">
        <f t="shared" si="128"/>
        <v>0</v>
      </c>
    </row>
    <row r="975" spans="2:22" x14ac:dyDescent="0.25">
      <c r="B975" s="31">
        <f t="shared" si="126"/>
        <v>186</v>
      </c>
      <c r="C975" s="48" t="str">
        <f t="shared" si="129"/>
        <v/>
      </c>
      <c r="D975" s="47" t="str">
        <f t="shared" si="130"/>
        <v/>
      </c>
      <c r="E975" s="31" t="str">
        <f t="shared" si="125"/>
        <v>186</v>
      </c>
      <c r="I975" s="31" t="str">
        <f t="shared" si="127"/>
        <v xml:space="preserve">0                                                                                                                                                                                         </v>
      </c>
      <c r="P975" s="27"/>
      <c r="Q975" s="34"/>
      <c r="R975" s="36">
        <f t="shared" ref="R975:R1038" si="132">Q975*P975</f>
        <v>0</v>
      </c>
      <c r="U975" s="39">
        <f t="shared" si="131"/>
        <v>0</v>
      </c>
      <c r="V975" s="41">
        <f t="shared" si="128"/>
        <v>0</v>
      </c>
    </row>
    <row r="976" spans="2:22" x14ac:dyDescent="0.25">
      <c r="B976" s="31">
        <f t="shared" si="126"/>
        <v>187</v>
      </c>
      <c r="C976" s="48" t="str">
        <f t="shared" si="129"/>
        <v/>
      </c>
      <c r="D976" s="47" t="str">
        <f t="shared" si="130"/>
        <v/>
      </c>
      <c r="E976" s="31" t="str">
        <f t="shared" si="125"/>
        <v>187</v>
      </c>
      <c r="I976" s="31" t="str">
        <f t="shared" si="127"/>
        <v xml:space="preserve">0                                                                                                                                                                                          </v>
      </c>
      <c r="P976" s="27"/>
      <c r="Q976" s="34"/>
      <c r="R976" s="36">
        <f t="shared" si="132"/>
        <v>0</v>
      </c>
      <c r="U976" s="39">
        <f t="shared" si="131"/>
        <v>0</v>
      </c>
      <c r="V976" s="41">
        <f t="shared" si="128"/>
        <v>0</v>
      </c>
    </row>
    <row r="977" spans="2:22" x14ac:dyDescent="0.25">
      <c r="B977" s="31">
        <f t="shared" si="126"/>
        <v>188</v>
      </c>
      <c r="C977" s="48" t="str">
        <f t="shared" si="129"/>
        <v/>
      </c>
      <c r="D977" s="47" t="str">
        <f t="shared" si="130"/>
        <v/>
      </c>
      <c r="E977" s="31" t="str">
        <f t="shared" ref="E977:E1040" si="133">CONCATENATE(A977,D977,B977)</f>
        <v>188</v>
      </c>
      <c r="I977" s="31" t="str">
        <f t="shared" si="127"/>
        <v xml:space="preserve">0                                                                                                                                                                                           </v>
      </c>
      <c r="P977" s="27"/>
      <c r="Q977" s="34"/>
      <c r="R977" s="36">
        <f t="shared" si="132"/>
        <v>0</v>
      </c>
      <c r="U977" s="39">
        <f t="shared" si="131"/>
        <v>0</v>
      </c>
      <c r="V977" s="41">
        <f t="shared" si="128"/>
        <v>0</v>
      </c>
    </row>
    <row r="978" spans="2:22" x14ac:dyDescent="0.25">
      <c r="B978" s="31">
        <f t="shared" si="126"/>
        <v>189</v>
      </c>
      <c r="C978" s="48" t="str">
        <f t="shared" si="129"/>
        <v/>
      </c>
      <c r="D978" s="47" t="str">
        <f t="shared" si="130"/>
        <v/>
      </c>
      <c r="E978" s="31" t="str">
        <f t="shared" si="133"/>
        <v>189</v>
      </c>
      <c r="I978" s="31" t="str">
        <f t="shared" si="127"/>
        <v xml:space="preserve">0                                                                                                                                                                                            </v>
      </c>
      <c r="P978" s="27"/>
      <c r="Q978" s="34"/>
      <c r="R978" s="36">
        <f t="shared" si="132"/>
        <v>0</v>
      </c>
      <c r="U978" s="39">
        <f t="shared" si="131"/>
        <v>0</v>
      </c>
      <c r="V978" s="41">
        <f t="shared" si="128"/>
        <v>0</v>
      </c>
    </row>
    <row r="979" spans="2:22" x14ac:dyDescent="0.25">
      <c r="B979" s="31">
        <f t="shared" si="126"/>
        <v>190</v>
      </c>
      <c r="C979" s="48" t="str">
        <f t="shared" si="129"/>
        <v/>
      </c>
      <c r="D979" s="47" t="str">
        <f t="shared" si="130"/>
        <v/>
      </c>
      <c r="E979" s="31" t="str">
        <f t="shared" si="133"/>
        <v>190</v>
      </c>
      <c r="I979" s="31" t="str">
        <f t="shared" si="127"/>
        <v xml:space="preserve">0                                                                                                                                                                                             </v>
      </c>
      <c r="P979" s="27"/>
      <c r="Q979" s="34"/>
      <c r="R979" s="36">
        <f t="shared" si="132"/>
        <v>0</v>
      </c>
      <c r="U979" s="39">
        <f t="shared" si="131"/>
        <v>0</v>
      </c>
      <c r="V979" s="41">
        <f t="shared" si="128"/>
        <v>0</v>
      </c>
    </row>
    <row r="980" spans="2:22" x14ac:dyDescent="0.25">
      <c r="B980" s="31">
        <f t="shared" si="126"/>
        <v>191</v>
      </c>
      <c r="C980" s="48" t="str">
        <f t="shared" si="129"/>
        <v/>
      </c>
      <c r="D980" s="47" t="str">
        <f t="shared" si="130"/>
        <v/>
      </c>
      <c r="E980" s="31" t="str">
        <f t="shared" si="133"/>
        <v>191</v>
      </c>
      <c r="I980" s="31" t="str">
        <f t="shared" si="127"/>
        <v xml:space="preserve">0                                                                                                                                                                                              </v>
      </c>
      <c r="P980" s="27"/>
      <c r="Q980" s="34"/>
      <c r="R980" s="36">
        <f t="shared" si="132"/>
        <v>0</v>
      </c>
      <c r="U980" s="39">
        <f t="shared" si="131"/>
        <v>0</v>
      </c>
      <c r="V980" s="41">
        <f t="shared" si="128"/>
        <v>0</v>
      </c>
    </row>
    <row r="981" spans="2:22" x14ac:dyDescent="0.25">
      <c r="B981" s="31">
        <f t="shared" si="126"/>
        <v>192</v>
      </c>
      <c r="C981" s="48" t="str">
        <f t="shared" si="129"/>
        <v/>
      </c>
      <c r="D981" s="47" t="str">
        <f t="shared" si="130"/>
        <v/>
      </c>
      <c r="E981" s="31" t="str">
        <f t="shared" si="133"/>
        <v>192</v>
      </c>
      <c r="I981" s="31" t="str">
        <f t="shared" si="127"/>
        <v xml:space="preserve">0                                                                                                                                                                                               </v>
      </c>
      <c r="P981" s="27"/>
      <c r="Q981" s="34"/>
      <c r="R981" s="36">
        <f t="shared" si="132"/>
        <v>0</v>
      </c>
      <c r="U981" s="39">
        <f t="shared" si="131"/>
        <v>0</v>
      </c>
      <c r="V981" s="41">
        <f t="shared" si="128"/>
        <v>0</v>
      </c>
    </row>
    <row r="982" spans="2:22" x14ac:dyDescent="0.25">
      <c r="B982" s="31">
        <f t="shared" si="126"/>
        <v>193</v>
      </c>
      <c r="C982" s="48" t="str">
        <f t="shared" si="129"/>
        <v/>
      </c>
      <c r="D982" s="47" t="str">
        <f t="shared" si="130"/>
        <v/>
      </c>
      <c r="E982" s="31" t="str">
        <f t="shared" si="133"/>
        <v>193</v>
      </c>
      <c r="I982" s="31" t="str">
        <f t="shared" si="127"/>
        <v xml:space="preserve">0                                                                                                                                                                                                </v>
      </c>
      <c r="P982" s="27"/>
      <c r="Q982" s="34"/>
      <c r="R982" s="36">
        <f t="shared" si="132"/>
        <v>0</v>
      </c>
      <c r="U982" s="39">
        <f t="shared" si="131"/>
        <v>0</v>
      </c>
      <c r="V982" s="41">
        <f t="shared" si="128"/>
        <v>0</v>
      </c>
    </row>
    <row r="983" spans="2:22" x14ac:dyDescent="0.25">
      <c r="B983" s="31">
        <f t="shared" si="126"/>
        <v>194</v>
      </c>
      <c r="C983" s="48" t="str">
        <f t="shared" si="129"/>
        <v/>
      </c>
      <c r="D983" s="47" t="str">
        <f t="shared" si="130"/>
        <v/>
      </c>
      <c r="E983" s="31" t="str">
        <f t="shared" si="133"/>
        <v>194</v>
      </c>
      <c r="I983" s="31" t="str">
        <f t="shared" si="127"/>
        <v xml:space="preserve">0                                                                                                                                                                                                 </v>
      </c>
      <c r="P983" s="27"/>
      <c r="Q983" s="34"/>
      <c r="R983" s="36">
        <f t="shared" si="132"/>
        <v>0</v>
      </c>
      <c r="U983" s="39">
        <f t="shared" si="131"/>
        <v>0</v>
      </c>
      <c r="V983" s="41">
        <f t="shared" si="128"/>
        <v>0</v>
      </c>
    </row>
    <row r="984" spans="2:22" x14ac:dyDescent="0.25">
      <c r="B984" s="31">
        <f t="shared" si="126"/>
        <v>195</v>
      </c>
      <c r="C984" s="48" t="str">
        <f t="shared" si="129"/>
        <v/>
      </c>
      <c r="D984" s="47" t="str">
        <f t="shared" si="130"/>
        <v/>
      </c>
      <c r="E984" s="31" t="str">
        <f t="shared" si="133"/>
        <v>195</v>
      </c>
      <c r="I984" s="31" t="str">
        <f t="shared" si="127"/>
        <v xml:space="preserve">0                                                                                                                                                                                                  </v>
      </c>
      <c r="P984" s="27"/>
      <c r="Q984" s="34"/>
      <c r="R984" s="36">
        <f t="shared" si="132"/>
        <v>0</v>
      </c>
      <c r="U984" s="39">
        <f t="shared" si="131"/>
        <v>0</v>
      </c>
      <c r="V984" s="41">
        <f t="shared" si="128"/>
        <v>0</v>
      </c>
    </row>
    <row r="985" spans="2:22" x14ac:dyDescent="0.25">
      <c r="B985" s="31">
        <f t="shared" si="126"/>
        <v>196</v>
      </c>
      <c r="C985" s="48" t="str">
        <f t="shared" si="129"/>
        <v/>
      </c>
      <c r="D985" s="47" t="str">
        <f t="shared" si="130"/>
        <v/>
      </c>
      <c r="E985" s="31" t="str">
        <f t="shared" si="133"/>
        <v>196</v>
      </c>
      <c r="I985" s="31" t="str">
        <f t="shared" si="127"/>
        <v xml:space="preserve">0                                                                                                                                                                                                   </v>
      </c>
      <c r="P985" s="27"/>
      <c r="Q985" s="34"/>
      <c r="R985" s="36">
        <f t="shared" si="132"/>
        <v>0</v>
      </c>
      <c r="U985" s="39">
        <f t="shared" si="131"/>
        <v>0</v>
      </c>
      <c r="V985" s="41">
        <f t="shared" si="128"/>
        <v>0</v>
      </c>
    </row>
    <row r="986" spans="2:22" x14ac:dyDescent="0.25">
      <c r="B986" s="31">
        <f t="shared" si="126"/>
        <v>197</v>
      </c>
      <c r="C986" s="48" t="str">
        <f t="shared" si="129"/>
        <v/>
      </c>
      <c r="D986" s="47" t="str">
        <f t="shared" si="130"/>
        <v/>
      </c>
      <c r="E986" s="31" t="str">
        <f t="shared" si="133"/>
        <v>197</v>
      </c>
      <c r="I986" s="31" t="str">
        <f t="shared" si="127"/>
        <v xml:space="preserve">0                                                                                                                                                                                                    </v>
      </c>
      <c r="P986" s="27"/>
      <c r="Q986" s="34"/>
      <c r="R986" s="36">
        <f t="shared" si="132"/>
        <v>0</v>
      </c>
      <c r="U986" s="39">
        <f t="shared" si="131"/>
        <v>0</v>
      </c>
      <c r="V986" s="41">
        <f t="shared" si="128"/>
        <v>0</v>
      </c>
    </row>
    <row r="987" spans="2:22" x14ac:dyDescent="0.25">
      <c r="B987" s="31">
        <f t="shared" si="126"/>
        <v>198</v>
      </c>
      <c r="C987" s="48" t="str">
        <f t="shared" si="129"/>
        <v/>
      </c>
      <c r="D987" s="47" t="str">
        <f t="shared" si="130"/>
        <v/>
      </c>
      <c r="E987" s="31" t="str">
        <f t="shared" si="133"/>
        <v>198</v>
      </c>
      <c r="I987" s="31" t="str">
        <f t="shared" si="127"/>
        <v xml:space="preserve">0                                                                                                                                                                                                     </v>
      </c>
      <c r="P987" s="27"/>
      <c r="Q987" s="34"/>
      <c r="R987" s="36">
        <f t="shared" si="132"/>
        <v>0</v>
      </c>
      <c r="U987" s="39">
        <f t="shared" si="131"/>
        <v>0</v>
      </c>
      <c r="V987" s="41">
        <f t="shared" si="128"/>
        <v>0</v>
      </c>
    </row>
    <row r="988" spans="2:22" x14ac:dyDescent="0.25">
      <c r="B988" s="31">
        <f t="shared" si="126"/>
        <v>199</v>
      </c>
      <c r="C988" s="48" t="str">
        <f t="shared" si="129"/>
        <v/>
      </c>
      <c r="D988" s="47" t="str">
        <f t="shared" si="130"/>
        <v/>
      </c>
      <c r="E988" s="31" t="str">
        <f t="shared" si="133"/>
        <v>199</v>
      </c>
      <c r="I988" s="31" t="str">
        <f t="shared" si="127"/>
        <v xml:space="preserve">0                                                                                                                                                                                                      </v>
      </c>
      <c r="P988" s="27"/>
      <c r="Q988" s="34"/>
      <c r="R988" s="36">
        <f t="shared" si="132"/>
        <v>0</v>
      </c>
      <c r="U988" s="39">
        <f t="shared" si="131"/>
        <v>0</v>
      </c>
      <c r="V988" s="41">
        <f t="shared" si="128"/>
        <v>0</v>
      </c>
    </row>
    <row r="989" spans="2:22" x14ac:dyDescent="0.25">
      <c r="B989" s="31">
        <f t="shared" si="126"/>
        <v>200</v>
      </c>
      <c r="C989" s="48" t="str">
        <f t="shared" si="129"/>
        <v/>
      </c>
      <c r="D989" s="47" t="str">
        <f t="shared" si="130"/>
        <v/>
      </c>
      <c r="E989" s="31" t="str">
        <f t="shared" si="133"/>
        <v>200</v>
      </c>
      <c r="I989" s="31" t="str">
        <f t="shared" si="127"/>
        <v xml:space="preserve">0                                                                                                                                                                                                       </v>
      </c>
      <c r="P989" s="27"/>
      <c r="Q989" s="34"/>
      <c r="R989" s="36">
        <f t="shared" si="132"/>
        <v>0</v>
      </c>
      <c r="U989" s="39">
        <f t="shared" si="131"/>
        <v>0</v>
      </c>
      <c r="V989" s="41">
        <f t="shared" si="128"/>
        <v>0</v>
      </c>
    </row>
    <row r="990" spans="2:22" x14ac:dyDescent="0.25">
      <c r="B990" s="31">
        <f t="shared" si="126"/>
        <v>201</v>
      </c>
      <c r="C990" s="48" t="str">
        <f t="shared" si="129"/>
        <v/>
      </c>
      <c r="D990" s="47" t="str">
        <f t="shared" si="130"/>
        <v/>
      </c>
      <c r="E990" s="31" t="str">
        <f t="shared" si="133"/>
        <v>201</v>
      </c>
      <c r="I990" s="31" t="str">
        <f t="shared" si="127"/>
        <v xml:space="preserve">0                                                                                                                                                                                                        </v>
      </c>
      <c r="P990" s="27"/>
      <c r="Q990" s="34"/>
      <c r="R990" s="36">
        <f t="shared" si="132"/>
        <v>0</v>
      </c>
      <c r="U990" s="39">
        <f t="shared" si="131"/>
        <v>0</v>
      </c>
      <c r="V990" s="41">
        <f t="shared" si="128"/>
        <v>0</v>
      </c>
    </row>
    <row r="991" spans="2:22" x14ac:dyDescent="0.25">
      <c r="B991" s="31">
        <f t="shared" ref="B991:B1054" si="134">IF(A991=A990,B990+1,1)</f>
        <v>202</v>
      </c>
      <c r="C991" s="48" t="str">
        <f t="shared" si="129"/>
        <v/>
      </c>
      <c r="D991" s="47" t="str">
        <f t="shared" si="130"/>
        <v/>
      </c>
      <c r="E991" s="31" t="str">
        <f t="shared" si="133"/>
        <v>202</v>
      </c>
      <c r="I991" s="31" t="str">
        <f t="shared" ref="I991:I1054" si="135">IF(A991=A990,CONCATENATE(I990," ",H991),H991)</f>
        <v xml:space="preserve">0                                                                                                                                                                                                         </v>
      </c>
      <c r="P991" s="27"/>
      <c r="Q991" s="34"/>
      <c r="R991" s="36">
        <f t="shared" si="132"/>
        <v>0</v>
      </c>
      <c r="U991" s="39">
        <f t="shared" si="131"/>
        <v>0</v>
      </c>
      <c r="V991" s="41">
        <f t="shared" ref="V991:V1054" si="136">IF(A991=A990,V990+U991,U991)</f>
        <v>0</v>
      </c>
    </row>
    <row r="992" spans="2:22" x14ac:dyDescent="0.25">
      <c r="B992" s="31">
        <f t="shared" si="134"/>
        <v>203</v>
      </c>
      <c r="C992" s="48" t="str">
        <f t="shared" si="129"/>
        <v/>
      </c>
      <c r="D992" s="47" t="str">
        <f t="shared" si="130"/>
        <v/>
      </c>
      <c r="E992" s="31" t="str">
        <f t="shared" si="133"/>
        <v>203</v>
      </c>
      <c r="I992" s="31" t="str">
        <f t="shared" si="135"/>
        <v xml:space="preserve">0                                                                                                                                                                                                          </v>
      </c>
      <c r="P992" s="27"/>
      <c r="Q992" s="34"/>
      <c r="R992" s="36">
        <f t="shared" si="132"/>
        <v>0</v>
      </c>
      <c r="U992" s="39">
        <f t="shared" si="131"/>
        <v>0</v>
      </c>
      <c r="V992" s="41">
        <f t="shared" si="136"/>
        <v>0</v>
      </c>
    </row>
    <row r="993" spans="2:22" x14ac:dyDescent="0.25">
      <c r="B993" s="31">
        <f t="shared" si="134"/>
        <v>204</v>
      </c>
      <c r="C993" s="48" t="str">
        <f t="shared" si="129"/>
        <v/>
      </c>
      <c r="D993" s="47" t="str">
        <f t="shared" si="130"/>
        <v/>
      </c>
      <c r="E993" s="31" t="str">
        <f t="shared" si="133"/>
        <v>204</v>
      </c>
      <c r="I993" s="31" t="str">
        <f t="shared" si="135"/>
        <v xml:space="preserve">0                                                                                                                                                                                                           </v>
      </c>
      <c r="P993" s="27"/>
      <c r="Q993" s="34"/>
      <c r="R993" s="36">
        <f t="shared" si="132"/>
        <v>0</v>
      </c>
      <c r="U993" s="39">
        <f t="shared" si="131"/>
        <v>0</v>
      </c>
      <c r="V993" s="41">
        <f t="shared" si="136"/>
        <v>0</v>
      </c>
    </row>
    <row r="994" spans="2:22" x14ac:dyDescent="0.25">
      <c r="B994" s="31">
        <f t="shared" si="134"/>
        <v>205</v>
      </c>
      <c r="C994" s="48" t="str">
        <f t="shared" si="129"/>
        <v/>
      </c>
      <c r="D994" s="47" t="str">
        <f t="shared" si="130"/>
        <v/>
      </c>
      <c r="E994" s="31" t="str">
        <f t="shared" si="133"/>
        <v>205</v>
      </c>
      <c r="I994" s="31" t="str">
        <f t="shared" si="135"/>
        <v xml:space="preserve">0                                                                                                                                                                                                            </v>
      </c>
      <c r="P994" s="27"/>
      <c r="Q994" s="34"/>
      <c r="R994" s="36">
        <f t="shared" si="132"/>
        <v>0</v>
      </c>
      <c r="U994" s="39">
        <f t="shared" si="131"/>
        <v>0</v>
      </c>
      <c r="V994" s="41">
        <f t="shared" si="136"/>
        <v>0</v>
      </c>
    </row>
    <row r="995" spans="2:22" x14ac:dyDescent="0.25">
      <c r="B995" s="31">
        <f t="shared" si="134"/>
        <v>206</v>
      </c>
      <c r="C995" s="48" t="str">
        <f t="shared" ref="C995:C1058" si="137">IF(A995=A994,C994,"")</f>
        <v/>
      </c>
      <c r="D995" s="47" t="str">
        <f t="shared" ref="D995:D1058" si="138">IF(A995=A994,D994,"")</f>
        <v/>
      </c>
      <c r="E995" s="31" t="str">
        <f t="shared" si="133"/>
        <v>206</v>
      </c>
      <c r="I995" s="31" t="str">
        <f t="shared" si="135"/>
        <v xml:space="preserve">0                                                                                                                                                                                                             </v>
      </c>
      <c r="P995" s="27"/>
      <c r="Q995" s="34"/>
      <c r="R995" s="36">
        <f t="shared" si="132"/>
        <v>0</v>
      </c>
      <c r="U995" s="39">
        <f t="shared" si="131"/>
        <v>0</v>
      </c>
      <c r="V995" s="41">
        <f t="shared" si="136"/>
        <v>0</v>
      </c>
    </row>
    <row r="996" spans="2:22" x14ac:dyDescent="0.25">
      <c r="B996" s="31">
        <f t="shared" si="134"/>
        <v>207</v>
      </c>
      <c r="C996" s="48" t="str">
        <f t="shared" si="137"/>
        <v/>
      </c>
      <c r="D996" s="47" t="str">
        <f t="shared" si="138"/>
        <v/>
      </c>
      <c r="E996" s="31" t="str">
        <f t="shared" si="133"/>
        <v>207</v>
      </c>
      <c r="I996" s="31" t="str">
        <f t="shared" si="135"/>
        <v xml:space="preserve">0                                                                                                                                                                                                              </v>
      </c>
      <c r="P996" s="27"/>
      <c r="Q996" s="34"/>
      <c r="R996" s="36">
        <f t="shared" si="132"/>
        <v>0</v>
      </c>
      <c r="U996" s="39">
        <f t="shared" si="131"/>
        <v>0</v>
      </c>
      <c r="V996" s="41">
        <f t="shared" si="136"/>
        <v>0</v>
      </c>
    </row>
    <row r="997" spans="2:22" x14ac:dyDescent="0.25">
      <c r="B997" s="31">
        <f t="shared" si="134"/>
        <v>208</v>
      </c>
      <c r="C997" s="48" t="str">
        <f t="shared" si="137"/>
        <v/>
      </c>
      <c r="D997" s="47" t="str">
        <f t="shared" si="138"/>
        <v/>
      </c>
      <c r="E997" s="31" t="str">
        <f t="shared" si="133"/>
        <v>208</v>
      </c>
      <c r="I997" s="31" t="str">
        <f t="shared" si="135"/>
        <v xml:space="preserve">0                                                                                                                                                                                                               </v>
      </c>
      <c r="P997" s="27"/>
      <c r="Q997" s="34"/>
      <c r="R997" s="36">
        <f t="shared" si="132"/>
        <v>0</v>
      </c>
      <c r="U997" s="39">
        <f t="shared" si="131"/>
        <v>0</v>
      </c>
      <c r="V997" s="41">
        <f t="shared" si="136"/>
        <v>0</v>
      </c>
    </row>
    <row r="998" spans="2:22" x14ac:dyDescent="0.25">
      <c r="B998" s="31">
        <f t="shared" si="134"/>
        <v>209</v>
      </c>
      <c r="C998" s="48" t="str">
        <f t="shared" si="137"/>
        <v/>
      </c>
      <c r="D998" s="47" t="str">
        <f t="shared" si="138"/>
        <v/>
      </c>
      <c r="E998" s="31" t="str">
        <f t="shared" si="133"/>
        <v>209</v>
      </c>
      <c r="I998" s="31" t="str">
        <f t="shared" si="135"/>
        <v xml:space="preserve">0                                                                                                                                                                                                                </v>
      </c>
      <c r="P998" s="27"/>
      <c r="Q998" s="34"/>
      <c r="R998" s="36">
        <f t="shared" si="132"/>
        <v>0</v>
      </c>
      <c r="U998" s="39">
        <f t="shared" si="131"/>
        <v>0</v>
      </c>
      <c r="V998" s="41">
        <f t="shared" si="136"/>
        <v>0</v>
      </c>
    </row>
    <row r="999" spans="2:22" x14ac:dyDescent="0.25">
      <c r="B999" s="31">
        <f t="shared" si="134"/>
        <v>210</v>
      </c>
      <c r="C999" s="48" t="str">
        <f t="shared" si="137"/>
        <v/>
      </c>
      <c r="D999" s="47" t="str">
        <f t="shared" si="138"/>
        <v/>
      </c>
      <c r="E999" s="31" t="str">
        <f t="shared" si="133"/>
        <v>210</v>
      </c>
      <c r="I999" s="31" t="str">
        <f t="shared" si="135"/>
        <v xml:space="preserve">0                                                                                                                                                                                                                 </v>
      </c>
      <c r="P999" s="27"/>
      <c r="Q999" s="34"/>
      <c r="R999" s="36">
        <f t="shared" si="132"/>
        <v>0</v>
      </c>
      <c r="U999" s="39">
        <f t="shared" si="131"/>
        <v>0</v>
      </c>
      <c r="V999" s="41">
        <f t="shared" si="136"/>
        <v>0</v>
      </c>
    </row>
    <row r="1000" spans="2:22" x14ac:dyDescent="0.25">
      <c r="B1000" s="31">
        <f t="shared" si="134"/>
        <v>211</v>
      </c>
      <c r="C1000" s="48" t="str">
        <f t="shared" si="137"/>
        <v/>
      </c>
      <c r="D1000" s="47" t="str">
        <f t="shared" si="138"/>
        <v/>
      </c>
      <c r="E1000" s="31" t="str">
        <f t="shared" si="133"/>
        <v>211</v>
      </c>
      <c r="I1000" s="31" t="str">
        <f t="shared" si="135"/>
        <v xml:space="preserve">0                                                                                                                                                                                                                  </v>
      </c>
      <c r="P1000" s="27"/>
      <c r="Q1000" s="34"/>
      <c r="R1000" s="36">
        <f t="shared" si="132"/>
        <v>0</v>
      </c>
      <c r="U1000" s="39">
        <f t="shared" si="131"/>
        <v>0</v>
      </c>
      <c r="V1000" s="41">
        <f t="shared" si="136"/>
        <v>0</v>
      </c>
    </row>
    <row r="1001" spans="2:22" x14ac:dyDescent="0.25">
      <c r="B1001" s="31">
        <f t="shared" si="134"/>
        <v>212</v>
      </c>
      <c r="C1001" s="48" t="str">
        <f t="shared" si="137"/>
        <v/>
      </c>
      <c r="D1001" s="47" t="str">
        <f t="shared" si="138"/>
        <v/>
      </c>
      <c r="E1001" s="31" t="str">
        <f t="shared" si="133"/>
        <v>212</v>
      </c>
      <c r="I1001" s="31" t="str">
        <f t="shared" si="135"/>
        <v xml:space="preserve">0                                                                                                                                                                                                                   </v>
      </c>
      <c r="P1001" s="27"/>
      <c r="Q1001" s="34"/>
      <c r="R1001" s="36">
        <f t="shared" si="132"/>
        <v>0</v>
      </c>
      <c r="U1001" s="39">
        <f t="shared" si="131"/>
        <v>0</v>
      </c>
      <c r="V1001" s="41">
        <f t="shared" si="136"/>
        <v>0</v>
      </c>
    </row>
    <row r="1002" spans="2:22" x14ac:dyDescent="0.25">
      <c r="B1002" s="31">
        <f t="shared" si="134"/>
        <v>213</v>
      </c>
      <c r="C1002" s="48" t="str">
        <f t="shared" si="137"/>
        <v/>
      </c>
      <c r="D1002" s="47" t="str">
        <f t="shared" si="138"/>
        <v/>
      </c>
      <c r="E1002" s="31" t="str">
        <f t="shared" si="133"/>
        <v>213</v>
      </c>
      <c r="I1002" s="31" t="str">
        <f t="shared" si="135"/>
        <v xml:space="preserve">0                                                                                                                                                                                                                    </v>
      </c>
      <c r="P1002" s="27"/>
      <c r="Q1002" s="34"/>
      <c r="R1002" s="36">
        <f t="shared" si="132"/>
        <v>0</v>
      </c>
      <c r="U1002" s="39">
        <f t="shared" si="131"/>
        <v>0</v>
      </c>
      <c r="V1002" s="41">
        <f t="shared" si="136"/>
        <v>0</v>
      </c>
    </row>
    <row r="1003" spans="2:22" x14ac:dyDescent="0.25">
      <c r="B1003" s="31">
        <f t="shared" si="134"/>
        <v>214</v>
      </c>
      <c r="C1003" s="48" t="str">
        <f t="shared" si="137"/>
        <v/>
      </c>
      <c r="D1003" s="47" t="str">
        <f t="shared" si="138"/>
        <v/>
      </c>
      <c r="E1003" s="31" t="str">
        <f t="shared" si="133"/>
        <v>214</v>
      </c>
      <c r="I1003" s="31" t="str">
        <f t="shared" si="135"/>
        <v xml:space="preserve">0                                                                                                                                                                                                                     </v>
      </c>
      <c r="P1003" s="27"/>
      <c r="Q1003" s="34"/>
      <c r="R1003" s="36">
        <f t="shared" si="132"/>
        <v>0</v>
      </c>
      <c r="U1003" s="39">
        <f t="shared" si="131"/>
        <v>0</v>
      </c>
      <c r="V1003" s="41">
        <f t="shared" si="136"/>
        <v>0</v>
      </c>
    </row>
    <row r="1004" spans="2:22" x14ac:dyDescent="0.25">
      <c r="B1004" s="31">
        <f t="shared" si="134"/>
        <v>215</v>
      </c>
      <c r="C1004" s="48" t="str">
        <f t="shared" si="137"/>
        <v/>
      </c>
      <c r="D1004" s="47" t="str">
        <f t="shared" si="138"/>
        <v/>
      </c>
      <c r="E1004" s="31" t="str">
        <f t="shared" si="133"/>
        <v>215</v>
      </c>
      <c r="I1004" s="31" t="str">
        <f t="shared" si="135"/>
        <v xml:space="preserve">0                                                                                                                                                                                                                      </v>
      </c>
      <c r="P1004" s="27"/>
      <c r="Q1004" s="34"/>
      <c r="R1004" s="36">
        <f t="shared" si="132"/>
        <v>0</v>
      </c>
      <c r="U1004" s="39">
        <f t="shared" si="131"/>
        <v>0</v>
      </c>
      <c r="V1004" s="41">
        <f t="shared" si="136"/>
        <v>0</v>
      </c>
    </row>
    <row r="1005" spans="2:22" x14ac:dyDescent="0.25">
      <c r="B1005" s="31">
        <f t="shared" si="134"/>
        <v>216</v>
      </c>
      <c r="C1005" s="48" t="str">
        <f t="shared" si="137"/>
        <v/>
      </c>
      <c r="D1005" s="47" t="str">
        <f t="shared" si="138"/>
        <v/>
      </c>
      <c r="E1005" s="31" t="str">
        <f t="shared" si="133"/>
        <v>216</v>
      </c>
      <c r="I1005" s="31" t="str">
        <f t="shared" si="135"/>
        <v xml:space="preserve">0                                                                                                                                                                                                                       </v>
      </c>
      <c r="P1005" s="27"/>
      <c r="Q1005" s="34"/>
      <c r="R1005" s="36">
        <f t="shared" si="132"/>
        <v>0</v>
      </c>
      <c r="U1005" s="39">
        <f t="shared" si="131"/>
        <v>0</v>
      </c>
      <c r="V1005" s="41">
        <f t="shared" si="136"/>
        <v>0</v>
      </c>
    </row>
    <row r="1006" spans="2:22" x14ac:dyDescent="0.25">
      <c r="B1006" s="31">
        <f t="shared" si="134"/>
        <v>217</v>
      </c>
      <c r="C1006" s="48" t="str">
        <f t="shared" si="137"/>
        <v/>
      </c>
      <c r="D1006" s="47" t="str">
        <f t="shared" si="138"/>
        <v/>
      </c>
      <c r="E1006" s="31" t="str">
        <f t="shared" si="133"/>
        <v>217</v>
      </c>
      <c r="I1006" s="31" t="str">
        <f t="shared" si="135"/>
        <v xml:space="preserve">0                                                                                                                                                                                                                        </v>
      </c>
      <c r="P1006" s="27"/>
      <c r="Q1006" s="34"/>
      <c r="R1006" s="36">
        <f t="shared" si="132"/>
        <v>0</v>
      </c>
      <c r="U1006" s="39">
        <f t="shared" si="131"/>
        <v>0</v>
      </c>
      <c r="V1006" s="41">
        <f t="shared" si="136"/>
        <v>0</v>
      </c>
    </row>
    <row r="1007" spans="2:22" x14ac:dyDescent="0.25">
      <c r="B1007" s="31">
        <f t="shared" si="134"/>
        <v>218</v>
      </c>
      <c r="C1007" s="48" t="str">
        <f t="shared" si="137"/>
        <v/>
      </c>
      <c r="D1007" s="47" t="str">
        <f t="shared" si="138"/>
        <v/>
      </c>
      <c r="E1007" s="31" t="str">
        <f t="shared" si="133"/>
        <v>218</v>
      </c>
      <c r="I1007" s="31" t="str">
        <f t="shared" si="135"/>
        <v xml:space="preserve">0                                                                                                                                                                                                                         </v>
      </c>
      <c r="P1007" s="27"/>
      <c r="Q1007" s="34"/>
      <c r="R1007" s="36">
        <f t="shared" si="132"/>
        <v>0</v>
      </c>
      <c r="U1007" s="39">
        <f t="shared" si="131"/>
        <v>0</v>
      </c>
      <c r="V1007" s="41">
        <f t="shared" si="136"/>
        <v>0</v>
      </c>
    </row>
    <row r="1008" spans="2:22" x14ac:dyDescent="0.25">
      <c r="B1008" s="31">
        <f t="shared" si="134"/>
        <v>219</v>
      </c>
      <c r="C1008" s="48" t="str">
        <f t="shared" si="137"/>
        <v/>
      </c>
      <c r="D1008" s="47" t="str">
        <f t="shared" si="138"/>
        <v/>
      </c>
      <c r="E1008" s="31" t="str">
        <f t="shared" si="133"/>
        <v>219</v>
      </c>
      <c r="I1008" s="31" t="str">
        <f t="shared" si="135"/>
        <v xml:space="preserve">0                                                                                                                                                                                                                          </v>
      </c>
      <c r="P1008" s="27"/>
      <c r="Q1008" s="34"/>
      <c r="R1008" s="36">
        <f t="shared" si="132"/>
        <v>0</v>
      </c>
      <c r="U1008" s="39">
        <f t="shared" si="131"/>
        <v>0</v>
      </c>
      <c r="V1008" s="41">
        <f t="shared" si="136"/>
        <v>0</v>
      </c>
    </row>
    <row r="1009" spans="2:22" x14ac:dyDescent="0.25">
      <c r="B1009" s="31">
        <f t="shared" si="134"/>
        <v>220</v>
      </c>
      <c r="C1009" s="48" t="str">
        <f t="shared" si="137"/>
        <v/>
      </c>
      <c r="D1009" s="47" t="str">
        <f t="shared" si="138"/>
        <v/>
      </c>
      <c r="E1009" s="31" t="str">
        <f t="shared" si="133"/>
        <v>220</v>
      </c>
      <c r="I1009" s="31" t="str">
        <f t="shared" si="135"/>
        <v xml:space="preserve">0                                                                                                                                                                                                                           </v>
      </c>
      <c r="P1009" s="27"/>
      <c r="Q1009" s="34"/>
      <c r="R1009" s="36">
        <f t="shared" si="132"/>
        <v>0</v>
      </c>
      <c r="U1009" s="39">
        <f t="shared" si="131"/>
        <v>0</v>
      </c>
      <c r="V1009" s="41">
        <f t="shared" si="136"/>
        <v>0</v>
      </c>
    </row>
    <row r="1010" spans="2:22" x14ac:dyDescent="0.25">
      <c r="B1010" s="31">
        <f t="shared" si="134"/>
        <v>221</v>
      </c>
      <c r="C1010" s="48" t="str">
        <f t="shared" si="137"/>
        <v/>
      </c>
      <c r="D1010" s="47" t="str">
        <f t="shared" si="138"/>
        <v/>
      </c>
      <c r="E1010" s="31" t="str">
        <f t="shared" si="133"/>
        <v>221</v>
      </c>
      <c r="I1010" s="31" t="str">
        <f t="shared" si="135"/>
        <v xml:space="preserve">0                                                                                                                                                                                                                            </v>
      </c>
      <c r="P1010" s="27"/>
      <c r="Q1010" s="34"/>
      <c r="R1010" s="36">
        <f t="shared" si="132"/>
        <v>0</v>
      </c>
      <c r="U1010" s="39">
        <f t="shared" si="131"/>
        <v>0</v>
      </c>
      <c r="V1010" s="41">
        <f t="shared" si="136"/>
        <v>0</v>
      </c>
    </row>
    <row r="1011" spans="2:22" x14ac:dyDescent="0.25">
      <c r="B1011" s="31">
        <f t="shared" si="134"/>
        <v>222</v>
      </c>
      <c r="C1011" s="48" t="str">
        <f t="shared" si="137"/>
        <v/>
      </c>
      <c r="D1011" s="47" t="str">
        <f t="shared" si="138"/>
        <v/>
      </c>
      <c r="E1011" s="31" t="str">
        <f t="shared" si="133"/>
        <v>222</v>
      </c>
      <c r="I1011" s="31" t="str">
        <f t="shared" si="135"/>
        <v xml:space="preserve">0                                                                                                                                                                                                                             </v>
      </c>
      <c r="P1011" s="27"/>
      <c r="Q1011" s="34"/>
      <c r="R1011" s="36">
        <f t="shared" si="132"/>
        <v>0</v>
      </c>
      <c r="U1011" s="39">
        <f t="shared" si="131"/>
        <v>0</v>
      </c>
      <c r="V1011" s="41">
        <f t="shared" si="136"/>
        <v>0</v>
      </c>
    </row>
    <row r="1012" spans="2:22" x14ac:dyDescent="0.25">
      <c r="B1012" s="31">
        <f t="shared" si="134"/>
        <v>223</v>
      </c>
      <c r="C1012" s="48" t="str">
        <f t="shared" si="137"/>
        <v/>
      </c>
      <c r="D1012" s="47" t="str">
        <f t="shared" si="138"/>
        <v/>
      </c>
      <c r="E1012" s="31" t="str">
        <f t="shared" si="133"/>
        <v>223</v>
      </c>
      <c r="I1012" s="31" t="str">
        <f t="shared" si="135"/>
        <v xml:space="preserve">0                                                                                                                                                                                                                              </v>
      </c>
      <c r="P1012" s="27"/>
      <c r="Q1012" s="34"/>
      <c r="R1012" s="36">
        <f t="shared" si="132"/>
        <v>0</v>
      </c>
      <c r="U1012" s="39">
        <f t="shared" si="131"/>
        <v>0</v>
      </c>
      <c r="V1012" s="41">
        <f t="shared" si="136"/>
        <v>0</v>
      </c>
    </row>
    <row r="1013" spans="2:22" x14ac:dyDescent="0.25">
      <c r="B1013" s="31">
        <f t="shared" si="134"/>
        <v>224</v>
      </c>
      <c r="C1013" s="48" t="str">
        <f t="shared" si="137"/>
        <v/>
      </c>
      <c r="D1013" s="47" t="str">
        <f t="shared" si="138"/>
        <v/>
      </c>
      <c r="E1013" s="31" t="str">
        <f t="shared" si="133"/>
        <v>224</v>
      </c>
      <c r="I1013" s="31" t="str">
        <f t="shared" si="135"/>
        <v xml:space="preserve">0                                                                                                                                                                                                                               </v>
      </c>
      <c r="P1013" s="27"/>
      <c r="Q1013" s="34"/>
      <c r="R1013" s="36">
        <f t="shared" si="132"/>
        <v>0</v>
      </c>
      <c r="U1013" s="39">
        <f t="shared" si="131"/>
        <v>0</v>
      </c>
      <c r="V1013" s="41">
        <f t="shared" si="136"/>
        <v>0</v>
      </c>
    </row>
    <row r="1014" spans="2:22" x14ac:dyDescent="0.25">
      <c r="B1014" s="31">
        <f t="shared" si="134"/>
        <v>225</v>
      </c>
      <c r="C1014" s="48" t="str">
        <f t="shared" si="137"/>
        <v/>
      </c>
      <c r="D1014" s="47" t="str">
        <f t="shared" si="138"/>
        <v/>
      </c>
      <c r="E1014" s="31" t="str">
        <f t="shared" si="133"/>
        <v>225</v>
      </c>
      <c r="I1014" s="31" t="str">
        <f t="shared" si="135"/>
        <v xml:space="preserve">0                                                                                                                                                                                                                                </v>
      </c>
      <c r="P1014" s="27"/>
      <c r="Q1014" s="34"/>
      <c r="R1014" s="36">
        <f t="shared" si="132"/>
        <v>0</v>
      </c>
      <c r="U1014" s="39">
        <f t="shared" si="131"/>
        <v>0</v>
      </c>
      <c r="V1014" s="41">
        <f t="shared" si="136"/>
        <v>0</v>
      </c>
    </row>
    <row r="1015" spans="2:22" x14ac:dyDescent="0.25">
      <c r="B1015" s="31">
        <f t="shared" si="134"/>
        <v>226</v>
      </c>
      <c r="C1015" s="48" t="str">
        <f t="shared" si="137"/>
        <v/>
      </c>
      <c r="D1015" s="47" t="str">
        <f t="shared" si="138"/>
        <v/>
      </c>
      <c r="E1015" s="31" t="str">
        <f t="shared" si="133"/>
        <v>226</v>
      </c>
      <c r="I1015" s="31" t="str">
        <f t="shared" si="135"/>
        <v xml:space="preserve">0                                                                                                                                                                                                                                 </v>
      </c>
      <c r="Q1015" s="34"/>
      <c r="R1015" s="36">
        <f t="shared" si="132"/>
        <v>0</v>
      </c>
      <c r="U1015" s="39">
        <f t="shared" si="131"/>
        <v>0</v>
      </c>
      <c r="V1015" s="41">
        <f t="shared" si="136"/>
        <v>0</v>
      </c>
    </row>
    <row r="1016" spans="2:22" x14ac:dyDescent="0.25">
      <c r="B1016" s="31">
        <f t="shared" si="134"/>
        <v>227</v>
      </c>
      <c r="C1016" s="48" t="str">
        <f t="shared" si="137"/>
        <v/>
      </c>
      <c r="D1016" s="47" t="str">
        <f t="shared" si="138"/>
        <v/>
      </c>
      <c r="E1016" s="31" t="str">
        <f t="shared" si="133"/>
        <v>227</v>
      </c>
      <c r="I1016" s="31" t="str">
        <f t="shared" si="135"/>
        <v xml:space="preserve">0                                                                                                                                                                                                                                  </v>
      </c>
      <c r="Q1016" s="34"/>
      <c r="R1016" s="36">
        <f t="shared" si="132"/>
        <v>0</v>
      </c>
      <c r="U1016" s="39">
        <f t="shared" si="131"/>
        <v>0</v>
      </c>
      <c r="V1016" s="41">
        <f t="shared" si="136"/>
        <v>0</v>
      </c>
    </row>
    <row r="1017" spans="2:22" x14ac:dyDescent="0.25">
      <c r="B1017" s="31">
        <f t="shared" si="134"/>
        <v>228</v>
      </c>
      <c r="C1017" s="48" t="str">
        <f t="shared" si="137"/>
        <v/>
      </c>
      <c r="D1017" s="47" t="str">
        <f t="shared" si="138"/>
        <v/>
      </c>
      <c r="E1017" s="31" t="str">
        <f t="shared" si="133"/>
        <v>228</v>
      </c>
      <c r="I1017" s="31" t="str">
        <f t="shared" si="135"/>
        <v xml:space="preserve">0                                                                                                                                                                                                                                   </v>
      </c>
      <c r="Q1017" s="34"/>
      <c r="R1017" s="36">
        <f t="shared" si="132"/>
        <v>0</v>
      </c>
      <c r="U1017" s="39">
        <f t="shared" si="131"/>
        <v>0</v>
      </c>
      <c r="V1017" s="41">
        <f t="shared" si="136"/>
        <v>0</v>
      </c>
    </row>
    <row r="1018" spans="2:22" x14ac:dyDescent="0.25">
      <c r="B1018" s="31">
        <f t="shared" si="134"/>
        <v>229</v>
      </c>
      <c r="C1018" s="48" t="str">
        <f t="shared" si="137"/>
        <v/>
      </c>
      <c r="D1018" s="47" t="str">
        <f t="shared" si="138"/>
        <v/>
      </c>
      <c r="E1018" s="31" t="str">
        <f t="shared" si="133"/>
        <v>229</v>
      </c>
      <c r="I1018" s="31" t="str">
        <f t="shared" si="135"/>
        <v xml:space="preserve">0                                                                                                                                                                                                                                    </v>
      </c>
      <c r="Q1018" s="34"/>
      <c r="R1018" s="36">
        <f t="shared" si="132"/>
        <v>0</v>
      </c>
      <c r="U1018" s="39">
        <f t="shared" si="131"/>
        <v>0</v>
      </c>
      <c r="V1018" s="41">
        <f t="shared" si="136"/>
        <v>0</v>
      </c>
    </row>
    <row r="1019" spans="2:22" x14ac:dyDescent="0.25">
      <c r="B1019" s="31">
        <f t="shared" si="134"/>
        <v>230</v>
      </c>
      <c r="C1019" s="48" t="str">
        <f t="shared" si="137"/>
        <v/>
      </c>
      <c r="D1019" s="47" t="str">
        <f t="shared" si="138"/>
        <v/>
      </c>
      <c r="E1019" s="31" t="str">
        <f t="shared" si="133"/>
        <v>230</v>
      </c>
      <c r="I1019" s="31" t="str">
        <f t="shared" si="135"/>
        <v xml:space="preserve">0                                                                                                                                                                                                                                     </v>
      </c>
      <c r="Q1019" s="34"/>
      <c r="R1019" s="36">
        <f t="shared" si="132"/>
        <v>0</v>
      </c>
      <c r="U1019" s="39">
        <f t="shared" si="131"/>
        <v>0</v>
      </c>
      <c r="V1019" s="41">
        <f t="shared" si="136"/>
        <v>0</v>
      </c>
    </row>
    <row r="1020" spans="2:22" x14ac:dyDescent="0.25">
      <c r="B1020" s="31">
        <f t="shared" si="134"/>
        <v>231</v>
      </c>
      <c r="C1020" s="48" t="str">
        <f t="shared" si="137"/>
        <v/>
      </c>
      <c r="D1020" s="47" t="str">
        <f t="shared" si="138"/>
        <v/>
      </c>
      <c r="E1020" s="31" t="str">
        <f t="shared" si="133"/>
        <v>231</v>
      </c>
      <c r="I1020" s="31" t="str">
        <f t="shared" si="135"/>
        <v xml:space="preserve">0                                                                                                                                                                                                                                      </v>
      </c>
      <c r="Q1020" s="34"/>
      <c r="R1020" s="36">
        <f t="shared" si="132"/>
        <v>0</v>
      </c>
      <c r="U1020" s="39">
        <f t="shared" si="131"/>
        <v>0</v>
      </c>
      <c r="V1020" s="41">
        <f t="shared" si="136"/>
        <v>0</v>
      </c>
    </row>
    <row r="1021" spans="2:22" x14ac:dyDescent="0.25">
      <c r="B1021" s="31">
        <f t="shared" si="134"/>
        <v>232</v>
      </c>
      <c r="C1021" s="48" t="str">
        <f t="shared" si="137"/>
        <v/>
      </c>
      <c r="D1021" s="47" t="str">
        <f t="shared" si="138"/>
        <v/>
      </c>
      <c r="E1021" s="31" t="str">
        <f t="shared" si="133"/>
        <v>232</v>
      </c>
      <c r="I1021" s="31" t="str">
        <f t="shared" si="135"/>
        <v xml:space="preserve">0                                                                                                                                                                                                                                       </v>
      </c>
      <c r="Q1021" s="34"/>
      <c r="R1021" s="36">
        <f t="shared" si="132"/>
        <v>0</v>
      </c>
      <c r="U1021" s="39">
        <f t="shared" si="131"/>
        <v>0</v>
      </c>
      <c r="V1021" s="41">
        <f t="shared" si="136"/>
        <v>0</v>
      </c>
    </row>
    <row r="1022" spans="2:22" x14ac:dyDescent="0.25">
      <c r="B1022" s="31">
        <f t="shared" si="134"/>
        <v>233</v>
      </c>
      <c r="C1022" s="48" t="str">
        <f t="shared" si="137"/>
        <v/>
      </c>
      <c r="D1022" s="47" t="str">
        <f t="shared" si="138"/>
        <v/>
      </c>
      <c r="E1022" s="31" t="str">
        <f t="shared" si="133"/>
        <v>233</v>
      </c>
      <c r="I1022" s="31" t="str">
        <f t="shared" si="135"/>
        <v xml:space="preserve">0                                                                                                                                                                                                                                        </v>
      </c>
      <c r="Q1022" s="34"/>
      <c r="R1022" s="36">
        <f t="shared" si="132"/>
        <v>0</v>
      </c>
      <c r="U1022" s="39">
        <f t="shared" si="131"/>
        <v>0</v>
      </c>
      <c r="V1022" s="41">
        <f t="shared" si="136"/>
        <v>0</v>
      </c>
    </row>
    <row r="1023" spans="2:22" x14ac:dyDescent="0.25">
      <c r="B1023" s="31">
        <f t="shared" si="134"/>
        <v>234</v>
      </c>
      <c r="C1023" s="48" t="str">
        <f t="shared" si="137"/>
        <v/>
      </c>
      <c r="D1023" s="47" t="str">
        <f t="shared" si="138"/>
        <v/>
      </c>
      <c r="E1023" s="31" t="str">
        <f t="shared" si="133"/>
        <v>234</v>
      </c>
      <c r="I1023" s="31" t="str">
        <f t="shared" si="135"/>
        <v xml:space="preserve">0                                                                                                                                                                                                                                         </v>
      </c>
      <c r="Q1023" s="34"/>
      <c r="R1023" s="36">
        <f t="shared" si="132"/>
        <v>0</v>
      </c>
      <c r="U1023" s="39">
        <f t="shared" si="131"/>
        <v>0</v>
      </c>
      <c r="V1023" s="41">
        <f t="shared" si="136"/>
        <v>0</v>
      </c>
    </row>
    <row r="1024" spans="2:22" x14ac:dyDescent="0.25">
      <c r="B1024" s="31">
        <f t="shared" si="134"/>
        <v>235</v>
      </c>
      <c r="C1024" s="48" t="str">
        <f t="shared" si="137"/>
        <v/>
      </c>
      <c r="D1024" s="47" t="str">
        <f t="shared" si="138"/>
        <v/>
      </c>
      <c r="E1024" s="31" t="str">
        <f t="shared" si="133"/>
        <v>235</v>
      </c>
      <c r="I1024" s="31" t="str">
        <f t="shared" si="135"/>
        <v xml:space="preserve">0                                                                                                                                                                                                                                          </v>
      </c>
      <c r="Q1024" s="34"/>
      <c r="R1024" s="36">
        <f t="shared" si="132"/>
        <v>0</v>
      </c>
      <c r="U1024" s="39">
        <f t="shared" si="131"/>
        <v>0</v>
      </c>
      <c r="V1024" s="41">
        <f t="shared" si="136"/>
        <v>0</v>
      </c>
    </row>
    <row r="1025" spans="2:22" x14ac:dyDescent="0.25">
      <c r="B1025" s="31">
        <f t="shared" si="134"/>
        <v>236</v>
      </c>
      <c r="C1025" s="48" t="str">
        <f t="shared" si="137"/>
        <v/>
      </c>
      <c r="D1025" s="47" t="str">
        <f t="shared" si="138"/>
        <v/>
      </c>
      <c r="E1025" s="31" t="str">
        <f t="shared" si="133"/>
        <v>236</v>
      </c>
      <c r="I1025" s="31" t="str">
        <f t="shared" si="135"/>
        <v xml:space="preserve">0                                                                                                                                                                                                                                           </v>
      </c>
      <c r="Q1025" s="34"/>
      <c r="R1025" s="36">
        <f t="shared" si="132"/>
        <v>0</v>
      </c>
      <c r="U1025" s="39">
        <f t="shared" si="131"/>
        <v>0</v>
      </c>
      <c r="V1025" s="41">
        <f t="shared" si="136"/>
        <v>0</v>
      </c>
    </row>
    <row r="1026" spans="2:22" x14ac:dyDescent="0.25">
      <c r="B1026" s="31">
        <f t="shared" si="134"/>
        <v>237</v>
      </c>
      <c r="C1026" s="48" t="str">
        <f t="shared" si="137"/>
        <v/>
      </c>
      <c r="D1026" s="47" t="str">
        <f t="shared" si="138"/>
        <v/>
      </c>
      <c r="E1026" s="31" t="str">
        <f t="shared" si="133"/>
        <v>237</v>
      </c>
      <c r="I1026" s="31" t="str">
        <f t="shared" si="135"/>
        <v xml:space="preserve">0                                                                                                                                                                                                                                            </v>
      </c>
      <c r="Q1026" s="34"/>
      <c r="R1026" s="36">
        <f t="shared" si="132"/>
        <v>0</v>
      </c>
      <c r="U1026" s="39">
        <f t="shared" si="131"/>
        <v>0</v>
      </c>
      <c r="V1026" s="41">
        <f t="shared" si="136"/>
        <v>0</v>
      </c>
    </row>
    <row r="1027" spans="2:22" x14ac:dyDescent="0.25">
      <c r="B1027" s="31">
        <f t="shared" si="134"/>
        <v>238</v>
      </c>
      <c r="C1027" s="48" t="str">
        <f t="shared" si="137"/>
        <v/>
      </c>
      <c r="D1027" s="47" t="str">
        <f t="shared" si="138"/>
        <v/>
      </c>
      <c r="E1027" s="31" t="str">
        <f t="shared" si="133"/>
        <v>238</v>
      </c>
      <c r="I1027" s="31" t="str">
        <f t="shared" si="135"/>
        <v xml:space="preserve">0                                                                                                                                                                                                                                             </v>
      </c>
      <c r="Q1027" s="34"/>
      <c r="R1027" s="36">
        <f t="shared" si="132"/>
        <v>0</v>
      </c>
      <c r="U1027" s="39">
        <f t="shared" si="131"/>
        <v>0</v>
      </c>
      <c r="V1027" s="41">
        <f t="shared" si="136"/>
        <v>0</v>
      </c>
    </row>
    <row r="1028" spans="2:22" x14ac:dyDescent="0.25">
      <c r="B1028" s="31">
        <f t="shared" si="134"/>
        <v>239</v>
      </c>
      <c r="C1028" s="48" t="str">
        <f t="shared" si="137"/>
        <v/>
      </c>
      <c r="D1028" s="47" t="str">
        <f t="shared" si="138"/>
        <v/>
      </c>
      <c r="E1028" s="31" t="str">
        <f t="shared" si="133"/>
        <v>239</v>
      </c>
      <c r="I1028" s="31" t="str">
        <f t="shared" si="135"/>
        <v xml:space="preserve">0                                                                                                                                                                                                                                              </v>
      </c>
      <c r="Q1028" s="34"/>
      <c r="R1028" s="36">
        <f t="shared" si="132"/>
        <v>0</v>
      </c>
      <c r="U1028" s="39">
        <f t="shared" ref="U1028:U1085" si="139">+T1028*S1028</f>
        <v>0</v>
      </c>
      <c r="V1028" s="41">
        <f t="shared" si="136"/>
        <v>0</v>
      </c>
    </row>
    <row r="1029" spans="2:22" x14ac:dyDescent="0.25">
      <c r="B1029" s="31">
        <f t="shared" si="134"/>
        <v>240</v>
      </c>
      <c r="C1029" s="48" t="str">
        <f t="shared" si="137"/>
        <v/>
      </c>
      <c r="D1029" s="47" t="str">
        <f t="shared" si="138"/>
        <v/>
      </c>
      <c r="E1029" s="31" t="str">
        <f t="shared" si="133"/>
        <v>240</v>
      </c>
      <c r="I1029" s="31" t="str">
        <f t="shared" si="135"/>
        <v xml:space="preserve">0                                                                                                                                                                                                                                               </v>
      </c>
      <c r="Q1029" s="34"/>
      <c r="R1029" s="36">
        <f t="shared" si="132"/>
        <v>0</v>
      </c>
      <c r="U1029" s="39">
        <f t="shared" si="139"/>
        <v>0</v>
      </c>
      <c r="V1029" s="41">
        <f t="shared" si="136"/>
        <v>0</v>
      </c>
    </row>
    <row r="1030" spans="2:22" x14ac:dyDescent="0.25">
      <c r="B1030" s="31">
        <f t="shared" si="134"/>
        <v>241</v>
      </c>
      <c r="C1030" s="48" t="str">
        <f t="shared" si="137"/>
        <v/>
      </c>
      <c r="D1030" s="47" t="str">
        <f t="shared" si="138"/>
        <v/>
      </c>
      <c r="E1030" s="31" t="str">
        <f t="shared" si="133"/>
        <v>241</v>
      </c>
      <c r="I1030" s="31" t="str">
        <f t="shared" si="135"/>
        <v xml:space="preserve">0                                                                                                                                                                                                                                                </v>
      </c>
      <c r="Q1030" s="34"/>
      <c r="R1030" s="36">
        <f t="shared" si="132"/>
        <v>0</v>
      </c>
      <c r="U1030" s="39">
        <f t="shared" si="139"/>
        <v>0</v>
      </c>
      <c r="V1030" s="41">
        <f t="shared" si="136"/>
        <v>0</v>
      </c>
    </row>
    <row r="1031" spans="2:22" x14ac:dyDescent="0.25">
      <c r="B1031" s="31">
        <f t="shared" si="134"/>
        <v>242</v>
      </c>
      <c r="C1031" s="48" t="str">
        <f t="shared" si="137"/>
        <v/>
      </c>
      <c r="D1031" s="47" t="str">
        <f t="shared" si="138"/>
        <v/>
      </c>
      <c r="E1031" s="31" t="str">
        <f t="shared" si="133"/>
        <v>242</v>
      </c>
      <c r="I1031" s="31" t="str">
        <f t="shared" si="135"/>
        <v xml:space="preserve">0                                                                                                                                                                                                                                                 </v>
      </c>
      <c r="Q1031" s="34"/>
      <c r="R1031" s="36">
        <f t="shared" si="132"/>
        <v>0</v>
      </c>
      <c r="U1031" s="39">
        <f t="shared" si="139"/>
        <v>0</v>
      </c>
      <c r="V1031" s="41">
        <f t="shared" si="136"/>
        <v>0</v>
      </c>
    </row>
    <row r="1032" spans="2:22" x14ac:dyDescent="0.25">
      <c r="B1032" s="31">
        <f t="shared" si="134"/>
        <v>243</v>
      </c>
      <c r="C1032" s="48" t="str">
        <f t="shared" si="137"/>
        <v/>
      </c>
      <c r="D1032" s="47" t="str">
        <f t="shared" si="138"/>
        <v/>
      </c>
      <c r="E1032" s="31" t="str">
        <f t="shared" si="133"/>
        <v>243</v>
      </c>
      <c r="I1032" s="31" t="str">
        <f t="shared" si="135"/>
        <v xml:space="preserve">0                                                                                                                                                                                                                                                  </v>
      </c>
      <c r="Q1032" s="34"/>
      <c r="R1032" s="36">
        <f t="shared" si="132"/>
        <v>0</v>
      </c>
      <c r="U1032" s="39">
        <f t="shared" si="139"/>
        <v>0</v>
      </c>
      <c r="V1032" s="41">
        <f t="shared" si="136"/>
        <v>0</v>
      </c>
    </row>
    <row r="1033" spans="2:22" x14ac:dyDescent="0.25">
      <c r="B1033" s="31">
        <f t="shared" si="134"/>
        <v>244</v>
      </c>
      <c r="C1033" s="48" t="str">
        <f t="shared" si="137"/>
        <v/>
      </c>
      <c r="D1033" s="47" t="str">
        <f t="shared" si="138"/>
        <v/>
      </c>
      <c r="E1033" s="31" t="str">
        <f t="shared" si="133"/>
        <v>244</v>
      </c>
      <c r="I1033" s="31" t="str">
        <f t="shared" si="135"/>
        <v xml:space="preserve">0                                                                                                                                                                                                                                                   </v>
      </c>
      <c r="Q1033" s="34"/>
      <c r="R1033" s="36">
        <f t="shared" si="132"/>
        <v>0</v>
      </c>
      <c r="U1033" s="39">
        <f t="shared" si="139"/>
        <v>0</v>
      </c>
      <c r="V1033" s="41">
        <f t="shared" si="136"/>
        <v>0</v>
      </c>
    </row>
    <row r="1034" spans="2:22" x14ac:dyDescent="0.25">
      <c r="B1034" s="31">
        <f t="shared" si="134"/>
        <v>245</v>
      </c>
      <c r="C1034" s="48" t="str">
        <f t="shared" si="137"/>
        <v/>
      </c>
      <c r="D1034" s="47" t="str">
        <f t="shared" si="138"/>
        <v/>
      </c>
      <c r="E1034" s="31" t="str">
        <f t="shared" si="133"/>
        <v>245</v>
      </c>
      <c r="I1034" s="31" t="str">
        <f t="shared" si="135"/>
        <v xml:space="preserve">0                                                                                                                                                                                                                                                    </v>
      </c>
      <c r="Q1034" s="34"/>
      <c r="R1034" s="36">
        <f t="shared" si="132"/>
        <v>0</v>
      </c>
      <c r="U1034" s="39">
        <f t="shared" si="139"/>
        <v>0</v>
      </c>
      <c r="V1034" s="41">
        <f t="shared" si="136"/>
        <v>0</v>
      </c>
    </row>
    <row r="1035" spans="2:22" x14ac:dyDescent="0.25">
      <c r="B1035" s="31">
        <f t="shared" si="134"/>
        <v>246</v>
      </c>
      <c r="C1035" s="48" t="str">
        <f t="shared" si="137"/>
        <v/>
      </c>
      <c r="D1035" s="47" t="str">
        <f t="shared" si="138"/>
        <v/>
      </c>
      <c r="E1035" s="31" t="str">
        <f t="shared" si="133"/>
        <v>246</v>
      </c>
      <c r="I1035" s="31" t="str">
        <f t="shared" si="135"/>
        <v xml:space="preserve">0                                                                                                                                                                                                                                                     </v>
      </c>
      <c r="Q1035" s="34"/>
      <c r="R1035" s="36">
        <f t="shared" si="132"/>
        <v>0</v>
      </c>
      <c r="U1035" s="39">
        <f t="shared" si="139"/>
        <v>0</v>
      </c>
      <c r="V1035" s="41">
        <f t="shared" si="136"/>
        <v>0</v>
      </c>
    </row>
    <row r="1036" spans="2:22" x14ac:dyDescent="0.25">
      <c r="B1036" s="31">
        <f t="shared" si="134"/>
        <v>247</v>
      </c>
      <c r="C1036" s="48" t="str">
        <f t="shared" si="137"/>
        <v/>
      </c>
      <c r="D1036" s="47" t="str">
        <f t="shared" si="138"/>
        <v/>
      </c>
      <c r="E1036" s="31" t="str">
        <f t="shared" si="133"/>
        <v>247</v>
      </c>
      <c r="I1036" s="31" t="str">
        <f t="shared" si="135"/>
        <v xml:space="preserve">0                                                                                                                                                                                                                                                      </v>
      </c>
      <c r="Q1036" s="34"/>
      <c r="R1036" s="36">
        <f t="shared" si="132"/>
        <v>0</v>
      </c>
      <c r="U1036" s="39">
        <f t="shared" si="139"/>
        <v>0</v>
      </c>
      <c r="V1036" s="41">
        <f t="shared" si="136"/>
        <v>0</v>
      </c>
    </row>
    <row r="1037" spans="2:22" x14ac:dyDescent="0.25">
      <c r="B1037" s="31">
        <f t="shared" si="134"/>
        <v>248</v>
      </c>
      <c r="C1037" s="48" t="str">
        <f t="shared" si="137"/>
        <v/>
      </c>
      <c r="D1037" s="47" t="str">
        <f t="shared" si="138"/>
        <v/>
      </c>
      <c r="E1037" s="31" t="str">
        <f t="shared" si="133"/>
        <v>248</v>
      </c>
      <c r="I1037" s="31" t="str">
        <f t="shared" si="135"/>
        <v xml:space="preserve">0                                                                                                                                                                                                                                                       </v>
      </c>
      <c r="Q1037" s="34"/>
      <c r="R1037" s="36">
        <f t="shared" si="132"/>
        <v>0</v>
      </c>
      <c r="U1037" s="39">
        <f t="shared" si="139"/>
        <v>0</v>
      </c>
      <c r="V1037" s="41">
        <f t="shared" si="136"/>
        <v>0</v>
      </c>
    </row>
    <row r="1038" spans="2:22" x14ac:dyDescent="0.25">
      <c r="B1038" s="31">
        <f t="shared" si="134"/>
        <v>249</v>
      </c>
      <c r="C1038" s="48" t="str">
        <f t="shared" si="137"/>
        <v/>
      </c>
      <c r="D1038" s="47" t="str">
        <f t="shared" si="138"/>
        <v/>
      </c>
      <c r="E1038" s="31" t="str">
        <f t="shared" si="133"/>
        <v>249</v>
      </c>
      <c r="I1038" s="31" t="str">
        <f t="shared" si="135"/>
        <v xml:space="preserve">0                                                                                                                                                                                                                                                        </v>
      </c>
      <c r="Q1038" s="34"/>
      <c r="R1038" s="36">
        <f t="shared" si="132"/>
        <v>0</v>
      </c>
      <c r="U1038" s="39">
        <f t="shared" si="139"/>
        <v>0</v>
      </c>
      <c r="V1038" s="41">
        <f t="shared" si="136"/>
        <v>0</v>
      </c>
    </row>
    <row r="1039" spans="2:22" x14ac:dyDescent="0.25">
      <c r="B1039" s="31">
        <f t="shared" si="134"/>
        <v>250</v>
      </c>
      <c r="C1039" s="48" t="str">
        <f t="shared" si="137"/>
        <v/>
      </c>
      <c r="D1039" s="47" t="str">
        <f t="shared" si="138"/>
        <v/>
      </c>
      <c r="E1039" s="31" t="str">
        <f t="shared" si="133"/>
        <v>250</v>
      </c>
      <c r="I1039" s="31" t="str">
        <f t="shared" si="135"/>
        <v xml:space="preserve">0                                                                                                                                                                                                                                                         </v>
      </c>
      <c r="Q1039" s="34"/>
      <c r="R1039" s="36">
        <f t="shared" ref="R1039:R1085" si="140">Q1039*P1039</f>
        <v>0</v>
      </c>
      <c r="U1039" s="39">
        <f t="shared" si="139"/>
        <v>0</v>
      </c>
      <c r="V1039" s="41">
        <f t="shared" si="136"/>
        <v>0</v>
      </c>
    </row>
    <row r="1040" spans="2:22" x14ac:dyDescent="0.25">
      <c r="B1040" s="31">
        <f t="shared" si="134"/>
        <v>251</v>
      </c>
      <c r="C1040" s="48" t="str">
        <f t="shared" si="137"/>
        <v/>
      </c>
      <c r="D1040" s="47" t="str">
        <f t="shared" si="138"/>
        <v/>
      </c>
      <c r="E1040" s="31" t="str">
        <f t="shared" si="133"/>
        <v>251</v>
      </c>
      <c r="I1040" s="31" t="str">
        <f t="shared" si="135"/>
        <v xml:space="preserve">0                                                                                                                                                                                                                                                          </v>
      </c>
      <c r="Q1040" s="34"/>
      <c r="R1040" s="36">
        <f t="shared" si="140"/>
        <v>0</v>
      </c>
      <c r="U1040" s="39">
        <f t="shared" si="139"/>
        <v>0</v>
      </c>
      <c r="V1040" s="41">
        <f t="shared" si="136"/>
        <v>0</v>
      </c>
    </row>
    <row r="1041" spans="2:22" x14ac:dyDescent="0.25">
      <c r="B1041" s="31">
        <f t="shared" si="134"/>
        <v>252</v>
      </c>
      <c r="C1041" s="48" t="str">
        <f t="shared" si="137"/>
        <v/>
      </c>
      <c r="D1041" s="47" t="str">
        <f t="shared" si="138"/>
        <v/>
      </c>
      <c r="E1041" s="31" t="str">
        <f t="shared" ref="E1041:E1066" si="141">CONCATENATE(A1041,D1041,B1041)</f>
        <v>252</v>
      </c>
      <c r="I1041" s="31" t="str">
        <f t="shared" si="135"/>
        <v xml:space="preserve">0                                                                                                                                                                                                                                                           </v>
      </c>
      <c r="Q1041" s="34"/>
      <c r="R1041" s="36">
        <f t="shared" si="140"/>
        <v>0</v>
      </c>
      <c r="U1041" s="39">
        <f t="shared" si="139"/>
        <v>0</v>
      </c>
      <c r="V1041" s="41">
        <f t="shared" si="136"/>
        <v>0</v>
      </c>
    </row>
    <row r="1042" spans="2:22" x14ac:dyDescent="0.25">
      <c r="B1042" s="31">
        <f t="shared" si="134"/>
        <v>253</v>
      </c>
      <c r="C1042" s="48" t="str">
        <f t="shared" si="137"/>
        <v/>
      </c>
      <c r="D1042" s="47" t="str">
        <f t="shared" si="138"/>
        <v/>
      </c>
      <c r="E1042" s="31" t="str">
        <f t="shared" si="141"/>
        <v>253</v>
      </c>
      <c r="I1042" s="31" t="str">
        <f t="shared" si="135"/>
        <v xml:space="preserve">0                                                                                                                                                                                                                                                            </v>
      </c>
      <c r="Q1042" s="34"/>
      <c r="R1042" s="36">
        <f t="shared" si="140"/>
        <v>0</v>
      </c>
      <c r="U1042" s="39">
        <f t="shared" si="139"/>
        <v>0</v>
      </c>
      <c r="V1042" s="41">
        <f t="shared" si="136"/>
        <v>0</v>
      </c>
    </row>
    <row r="1043" spans="2:22" x14ac:dyDescent="0.25">
      <c r="B1043" s="31">
        <f t="shared" si="134"/>
        <v>254</v>
      </c>
      <c r="C1043" s="48" t="str">
        <f t="shared" si="137"/>
        <v/>
      </c>
      <c r="D1043" s="47" t="str">
        <f t="shared" si="138"/>
        <v/>
      </c>
      <c r="E1043" s="31" t="str">
        <f t="shared" si="141"/>
        <v>254</v>
      </c>
      <c r="I1043" s="31" t="str">
        <f t="shared" si="135"/>
        <v xml:space="preserve">0                                                                                                                                                                                                                                                             </v>
      </c>
      <c r="Q1043" s="34"/>
      <c r="R1043" s="36">
        <f t="shared" si="140"/>
        <v>0</v>
      </c>
      <c r="U1043" s="39">
        <f t="shared" si="139"/>
        <v>0</v>
      </c>
      <c r="V1043" s="41">
        <f t="shared" si="136"/>
        <v>0</v>
      </c>
    </row>
    <row r="1044" spans="2:22" x14ac:dyDescent="0.25">
      <c r="B1044" s="31">
        <f t="shared" si="134"/>
        <v>255</v>
      </c>
      <c r="C1044" s="48" t="str">
        <f t="shared" si="137"/>
        <v/>
      </c>
      <c r="D1044" s="47" t="str">
        <f t="shared" si="138"/>
        <v/>
      </c>
      <c r="E1044" s="31" t="str">
        <f t="shared" si="141"/>
        <v>255</v>
      </c>
      <c r="I1044" s="31" t="str">
        <f t="shared" si="135"/>
        <v xml:space="preserve">0                                                                                                                                                                                                                                                              </v>
      </c>
      <c r="Q1044" s="34"/>
      <c r="R1044" s="36">
        <f t="shared" si="140"/>
        <v>0</v>
      </c>
      <c r="U1044" s="39">
        <f t="shared" si="139"/>
        <v>0</v>
      </c>
      <c r="V1044" s="41">
        <f t="shared" si="136"/>
        <v>0</v>
      </c>
    </row>
    <row r="1045" spans="2:22" x14ac:dyDescent="0.25">
      <c r="B1045" s="31">
        <f t="shared" si="134"/>
        <v>256</v>
      </c>
      <c r="C1045" s="48" t="str">
        <f t="shared" si="137"/>
        <v/>
      </c>
      <c r="D1045" s="47" t="str">
        <f t="shared" si="138"/>
        <v/>
      </c>
      <c r="E1045" s="31" t="str">
        <f t="shared" si="141"/>
        <v>256</v>
      </c>
      <c r="I1045" s="31" t="str">
        <f t="shared" si="135"/>
        <v xml:space="preserve">0                                                                                                                                                                                                                                                               </v>
      </c>
      <c r="Q1045" s="34"/>
      <c r="R1045" s="36">
        <f t="shared" si="140"/>
        <v>0</v>
      </c>
      <c r="U1045" s="39">
        <f t="shared" si="139"/>
        <v>0</v>
      </c>
      <c r="V1045" s="41">
        <f t="shared" si="136"/>
        <v>0</v>
      </c>
    </row>
    <row r="1046" spans="2:22" x14ac:dyDescent="0.25">
      <c r="B1046" s="31">
        <f t="shared" si="134"/>
        <v>257</v>
      </c>
      <c r="C1046" s="48" t="str">
        <f t="shared" si="137"/>
        <v/>
      </c>
      <c r="D1046" s="47" t="str">
        <f t="shared" si="138"/>
        <v/>
      </c>
      <c r="E1046" s="31" t="str">
        <f t="shared" si="141"/>
        <v>257</v>
      </c>
      <c r="I1046" s="31" t="str">
        <f t="shared" si="135"/>
        <v xml:space="preserve">0                                                                                                                                                                                                                                                                </v>
      </c>
      <c r="Q1046" s="34"/>
      <c r="R1046" s="36">
        <f t="shared" si="140"/>
        <v>0</v>
      </c>
      <c r="U1046" s="39">
        <f t="shared" si="139"/>
        <v>0</v>
      </c>
      <c r="V1046" s="41">
        <f t="shared" si="136"/>
        <v>0</v>
      </c>
    </row>
    <row r="1047" spans="2:22" x14ac:dyDescent="0.25">
      <c r="B1047" s="31">
        <f t="shared" si="134"/>
        <v>258</v>
      </c>
      <c r="C1047" s="48" t="str">
        <f t="shared" si="137"/>
        <v/>
      </c>
      <c r="D1047" s="47" t="str">
        <f t="shared" si="138"/>
        <v/>
      </c>
      <c r="E1047" s="31" t="str">
        <f t="shared" si="141"/>
        <v>258</v>
      </c>
      <c r="I1047" s="31" t="str">
        <f t="shared" si="135"/>
        <v xml:space="preserve">0                                                                                                                                                                                                                                                                 </v>
      </c>
      <c r="Q1047" s="34"/>
      <c r="R1047" s="36">
        <f t="shared" si="140"/>
        <v>0</v>
      </c>
      <c r="U1047" s="39">
        <f t="shared" si="139"/>
        <v>0</v>
      </c>
      <c r="V1047" s="41">
        <f t="shared" si="136"/>
        <v>0</v>
      </c>
    </row>
    <row r="1048" spans="2:22" x14ac:dyDescent="0.25">
      <c r="B1048" s="31">
        <f t="shared" si="134"/>
        <v>259</v>
      </c>
      <c r="C1048" s="48" t="str">
        <f t="shared" si="137"/>
        <v/>
      </c>
      <c r="D1048" s="47" t="str">
        <f t="shared" si="138"/>
        <v/>
      </c>
      <c r="E1048" s="31" t="str">
        <f t="shared" si="141"/>
        <v>259</v>
      </c>
      <c r="I1048" s="31" t="str">
        <f t="shared" si="135"/>
        <v xml:space="preserve">0                                                                                                                                                                                                                                                                  </v>
      </c>
      <c r="Q1048" s="34"/>
      <c r="R1048" s="36">
        <f t="shared" si="140"/>
        <v>0</v>
      </c>
      <c r="U1048" s="39">
        <f t="shared" si="139"/>
        <v>0</v>
      </c>
      <c r="V1048" s="41">
        <f t="shared" si="136"/>
        <v>0</v>
      </c>
    </row>
    <row r="1049" spans="2:22" x14ac:dyDescent="0.25">
      <c r="B1049" s="31">
        <f t="shared" si="134"/>
        <v>260</v>
      </c>
      <c r="C1049" s="48" t="str">
        <f t="shared" si="137"/>
        <v/>
      </c>
      <c r="D1049" s="47" t="str">
        <f t="shared" si="138"/>
        <v/>
      </c>
      <c r="E1049" s="31" t="str">
        <f t="shared" si="141"/>
        <v>260</v>
      </c>
      <c r="I1049" s="31" t="str">
        <f t="shared" si="135"/>
        <v xml:space="preserve">0                                                                                                                                                                                                                                                                   </v>
      </c>
      <c r="Q1049" s="34"/>
      <c r="R1049" s="36">
        <f t="shared" si="140"/>
        <v>0</v>
      </c>
      <c r="U1049" s="39">
        <f t="shared" si="139"/>
        <v>0</v>
      </c>
      <c r="V1049" s="41">
        <f t="shared" si="136"/>
        <v>0</v>
      </c>
    </row>
    <row r="1050" spans="2:22" x14ac:dyDescent="0.25">
      <c r="B1050" s="31">
        <f t="shared" si="134"/>
        <v>261</v>
      </c>
      <c r="C1050" s="48" t="str">
        <f t="shared" si="137"/>
        <v/>
      </c>
      <c r="D1050" s="47" t="str">
        <f t="shared" si="138"/>
        <v/>
      </c>
      <c r="E1050" s="31" t="str">
        <f t="shared" si="141"/>
        <v>261</v>
      </c>
      <c r="I1050" s="31" t="str">
        <f t="shared" si="135"/>
        <v xml:space="preserve">0                                                                                                                                                                                                                                                                    </v>
      </c>
      <c r="Q1050" s="34"/>
      <c r="R1050" s="36">
        <f t="shared" si="140"/>
        <v>0</v>
      </c>
      <c r="U1050" s="39">
        <f t="shared" si="139"/>
        <v>0</v>
      </c>
      <c r="V1050" s="41">
        <f t="shared" si="136"/>
        <v>0</v>
      </c>
    </row>
    <row r="1051" spans="2:22" x14ac:dyDescent="0.25">
      <c r="B1051" s="31">
        <f t="shared" si="134"/>
        <v>262</v>
      </c>
      <c r="C1051" s="48" t="str">
        <f t="shared" si="137"/>
        <v/>
      </c>
      <c r="D1051" s="47" t="str">
        <f t="shared" si="138"/>
        <v/>
      </c>
      <c r="E1051" s="31" t="str">
        <f t="shared" si="141"/>
        <v>262</v>
      </c>
      <c r="I1051" s="31" t="str">
        <f t="shared" si="135"/>
        <v xml:space="preserve">0                                                                                                                                                                                                                                                                     </v>
      </c>
      <c r="Q1051" s="34"/>
      <c r="R1051" s="36">
        <f t="shared" si="140"/>
        <v>0</v>
      </c>
      <c r="U1051" s="39">
        <f t="shared" si="139"/>
        <v>0</v>
      </c>
      <c r="V1051" s="41">
        <f t="shared" si="136"/>
        <v>0</v>
      </c>
    </row>
    <row r="1052" spans="2:22" x14ac:dyDescent="0.25">
      <c r="B1052" s="31">
        <f t="shared" si="134"/>
        <v>263</v>
      </c>
      <c r="C1052" s="48" t="str">
        <f t="shared" si="137"/>
        <v/>
      </c>
      <c r="D1052" s="47" t="str">
        <f t="shared" si="138"/>
        <v/>
      </c>
      <c r="E1052" s="31" t="str">
        <f t="shared" si="141"/>
        <v>263</v>
      </c>
      <c r="I1052" s="31" t="str">
        <f t="shared" si="135"/>
        <v xml:space="preserve">0                                                                                                                                                                                                                                                                      </v>
      </c>
      <c r="Q1052" s="34"/>
      <c r="R1052" s="36">
        <f t="shared" si="140"/>
        <v>0</v>
      </c>
      <c r="U1052" s="39">
        <f t="shared" si="139"/>
        <v>0</v>
      </c>
      <c r="V1052" s="41">
        <f t="shared" si="136"/>
        <v>0</v>
      </c>
    </row>
    <row r="1053" spans="2:22" x14ac:dyDescent="0.25">
      <c r="B1053" s="31">
        <f t="shared" si="134"/>
        <v>264</v>
      </c>
      <c r="C1053" s="48" t="str">
        <f t="shared" si="137"/>
        <v/>
      </c>
      <c r="D1053" s="47" t="str">
        <f t="shared" si="138"/>
        <v/>
      </c>
      <c r="E1053" s="31" t="str">
        <f t="shared" si="141"/>
        <v>264</v>
      </c>
      <c r="I1053" s="31" t="str">
        <f t="shared" si="135"/>
        <v xml:space="preserve">0                                                                                                                                                                                                                                                                       </v>
      </c>
      <c r="Q1053" s="34"/>
      <c r="R1053" s="36">
        <f t="shared" si="140"/>
        <v>0</v>
      </c>
      <c r="U1053" s="39">
        <f t="shared" si="139"/>
        <v>0</v>
      </c>
      <c r="V1053" s="41">
        <f t="shared" si="136"/>
        <v>0</v>
      </c>
    </row>
    <row r="1054" spans="2:22" x14ac:dyDescent="0.25">
      <c r="B1054" s="31">
        <f t="shared" si="134"/>
        <v>265</v>
      </c>
      <c r="C1054" s="48" t="str">
        <f t="shared" si="137"/>
        <v/>
      </c>
      <c r="D1054" s="47" t="str">
        <f t="shared" si="138"/>
        <v/>
      </c>
      <c r="E1054" s="31" t="str">
        <f t="shared" si="141"/>
        <v>265</v>
      </c>
      <c r="I1054" s="31" t="str">
        <f t="shared" si="135"/>
        <v xml:space="preserve">0                                                                                                                                                                                                                                                                        </v>
      </c>
      <c r="Q1054" s="34"/>
      <c r="R1054" s="36">
        <f t="shared" si="140"/>
        <v>0</v>
      </c>
      <c r="U1054" s="39">
        <f t="shared" si="139"/>
        <v>0</v>
      </c>
      <c r="V1054" s="41">
        <f t="shared" si="136"/>
        <v>0</v>
      </c>
    </row>
    <row r="1055" spans="2:22" x14ac:dyDescent="0.25">
      <c r="B1055" s="31">
        <f t="shared" ref="B1055:B1066" si="142">IF(A1055=A1054,B1054+1,1)</f>
        <v>266</v>
      </c>
      <c r="C1055" s="48" t="str">
        <f t="shared" si="137"/>
        <v/>
      </c>
      <c r="D1055" s="47" t="str">
        <f t="shared" si="138"/>
        <v/>
      </c>
      <c r="E1055" s="31" t="str">
        <f t="shared" si="141"/>
        <v>266</v>
      </c>
      <c r="I1055" s="31" t="str">
        <f t="shared" ref="I1055:I1066" si="143">IF(A1055=A1054,CONCATENATE(I1054," ",H1055),H1055)</f>
        <v xml:space="preserve">0                                                                                                                                                                                                                                                                         </v>
      </c>
      <c r="Q1055" s="34"/>
      <c r="R1055" s="36">
        <f t="shared" si="140"/>
        <v>0</v>
      </c>
      <c r="U1055" s="39">
        <f t="shared" si="139"/>
        <v>0</v>
      </c>
      <c r="V1055" s="41">
        <f t="shared" ref="V1055:V1066" si="144">IF(A1055=A1054,V1054+U1055,U1055)</f>
        <v>0</v>
      </c>
    </row>
    <row r="1056" spans="2:22" x14ac:dyDescent="0.25">
      <c r="B1056" s="31">
        <f t="shared" si="142"/>
        <v>267</v>
      </c>
      <c r="C1056" s="48" t="str">
        <f t="shared" si="137"/>
        <v/>
      </c>
      <c r="D1056" s="47" t="str">
        <f t="shared" si="138"/>
        <v/>
      </c>
      <c r="E1056" s="31" t="str">
        <f t="shared" si="141"/>
        <v>267</v>
      </c>
      <c r="I1056" s="31" t="str">
        <f t="shared" si="143"/>
        <v xml:space="preserve">0                                                                                                                                                                                                                                                                          </v>
      </c>
      <c r="Q1056" s="34"/>
      <c r="R1056" s="36">
        <f t="shared" si="140"/>
        <v>0</v>
      </c>
      <c r="U1056" s="39">
        <f t="shared" si="139"/>
        <v>0</v>
      </c>
      <c r="V1056" s="41">
        <f t="shared" si="144"/>
        <v>0</v>
      </c>
    </row>
    <row r="1057" spans="1:22" x14ac:dyDescent="0.25">
      <c r="B1057" s="31">
        <f t="shared" si="142"/>
        <v>268</v>
      </c>
      <c r="C1057" s="48" t="str">
        <f t="shared" si="137"/>
        <v/>
      </c>
      <c r="D1057" s="47" t="str">
        <f t="shared" si="138"/>
        <v/>
      </c>
      <c r="E1057" s="31" t="str">
        <f t="shared" si="141"/>
        <v>268</v>
      </c>
      <c r="I1057" s="31" t="str">
        <f t="shared" si="143"/>
        <v xml:space="preserve">0                                                                                                                                                                                                                                                                           </v>
      </c>
      <c r="Q1057" s="34"/>
      <c r="R1057" s="36">
        <f t="shared" si="140"/>
        <v>0</v>
      </c>
      <c r="U1057" s="39">
        <f t="shared" si="139"/>
        <v>0</v>
      </c>
      <c r="V1057" s="41">
        <f t="shared" si="144"/>
        <v>0</v>
      </c>
    </row>
    <row r="1058" spans="1:22" x14ac:dyDescent="0.25">
      <c r="B1058" s="31">
        <f t="shared" si="142"/>
        <v>269</v>
      </c>
      <c r="C1058" s="48" t="str">
        <f t="shared" si="137"/>
        <v/>
      </c>
      <c r="D1058" s="47" t="str">
        <f t="shared" si="138"/>
        <v/>
      </c>
      <c r="E1058" s="31" t="str">
        <f t="shared" si="141"/>
        <v>269</v>
      </c>
      <c r="I1058" s="31" t="str">
        <f t="shared" si="143"/>
        <v xml:space="preserve">0                                                                                                                                                                                                                                                                            </v>
      </c>
      <c r="Q1058" s="34"/>
      <c r="R1058" s="36">
        <f t="shared" si="140"/>
        <v>0</v>
      </c>
      <c r="U1058" s="39">
        <f t="shared" si="139"/>
        <v>0</v>
      </c>
      <c r="V1058" s="41">
        <f t="shared" si="144"/>
        <v>0</v>
      </c>
    </row>
    <row r="1059" spans="1:22" x14ac:dyDescent="0.25">
      <c r="B1059" s="31">
        <f t="shared" si="142"/>
        <v>270</v>
      </c>
      <c r="C1059" s="48" t="str">
        <f t="shared" ref="C1059:C1085" si="145">IF(A1059=A1058,C1058,"")</f>
        <v/>
      </c>
      <c r="D1059" s="47" t="str">
        <f t="shared" ref="D1059:D1085" si="146">IF(A1059=A1058,D1058,"")</f>
        <v/>
      </c>
      <c r="E1059" s="31" t="str">
        <f t="shared" si="141"/>
        <v>270</v>
      </c>
      <c r="I1059" s="31" t="str">
        <f t="shared" si="143"/>
        <v xml:space="preserve">0                                                                                                                                                                                                                                                                             </v>
      </c>
      <c r="Q1059" s="34"/>
      <c r="R1059" s="36">
        <f t="shared" si="140"/>
        <v>0</v>
      </c>
      <c r="U1059" s="39">
        <f t="shared" si="139"/>
        <v>0</v>
      </c>
      <c r="V1059" s="41">
        <f t="shared" si="144"/>
        <v>0</v>
      </c>
    </row>
    <row r="1060" spans="1:22" x14ac:dyDescent="0.25">
      <c r="B1060" s="31">
        <f t="shared" si="142"/>
        <v>271</v>
      </c>
      <c r="C1060" s="48" t="str">
        <f t="shared" si="145"/>
        <v/>
      </c>
      <c r="D1060" s="47" t="str">
        <f t="shared" si="146"/>
        <v/>
      </c>
      <c r="E1060" s="31" t="str">
        <f t="shared" si="141"/>
        <v>271</v>
      </c>
      <c r="I1060" s="31" t="str">
        <f t="shared" si="143"/>
        <v xml:space="preserve">0                                                                                                                                                                                                                                                                              </v>
      </c>
      <c r="Q1060" s="34"/>
      <c r="R1060" s="36">
        <f t="shared" si="140"/>
        <v>0</v>
      </c>
      <c r="U1060" s="39">
        <f t="shared" si="139"/>
        <v>0</v>
      </c>
      <c r="V1060" s="41">
        <f t="shared" si="144"/>
        <v>0</v>
      </c>
    </row>
    <row r="1061" spans="1:22" x14ac:dyDescent="0.25">
      <c r="B1061" s="31">
        <f t="shared" si="142"/>
        <v>272</v>
      </c>
      <c r="C1061" s="48" t="str">
        <f t="shared" si="145"/>
        <v/>
      </c>
      <c r="D1061" s="47" t="str">
        <f t="shared" si="146"/>
        <v/>
      </c>
      <c r="E1061" s="31" t="str">
        <f t="shared" si="141"/>
        <v>272</v>
      </c>
      <c r="I1061" s="31" t="str">
        <f t="shared" si="143"/>
        <v xml:space="preserve">0                                                                                                                                                                                                                                                                               </v>
      </c>
      <c r="Q1061" s="34"/>
      <c r="R1061" s="36">
        <f t="shared" si="140"/>
        <v>0</v>
      </c>
      <c r="U1061" s="39">
        <f t="shared" si="139"/>
        <v>0</v>
      </c>
      <c r="V1061" s="41">
        <f t="shared" si="144"/>
        <v>0</v>
      </c>
    </row>
    <row r="1062" spans="1:22" x14ac:dyDescent="0.25">
      <c r="B1062" s="31">
        <f t="shared" si="142"/>
        <v>273</v>
      </c>
      <c r="C1062" s="48" t="str">
        <f t="shared" si="145"/>
        <v/>
      </c>
      <c r="D1062" s="47" t="str">
        <f t="shared" si="146"/>
        <v/>
      </c>
      <c r="E1062" s="31" t="str">
        <f t="shared" si="141"/>
        <v>273</v>
      </c>
      <c r="I1062" s="31" t="str">
        <f t="shared" si="143"/>
        <v xml:space="preserve">0                                                                                                                                                                                                                                                                                </v>
      </c>
      <c r="Q1062" s="34"/>
      <c r="R1062" s="36">
        <f t="shared" si="140"/>
        <v>0</v>
      </c>
      <c r="U1062" s="39">
        <f t="shared" si="139"/>
        <v>0</v>
      </c>
      <c r="V1062" s="41">
        <f t="shared" si="144"/>
        <v>0</v>
      </c>
    </row>
    <row r="1063" spans="1:22" x14ac:dyDescent="0.25">
      <c r="B1063" s="31">
        <f t="shared" si="142"/>
        <v>274</v>
      </c>
      <c r="C1063" s="48" t="str">
        <f t="shared" si="145"/>
        <v/>
      </c>
      <c r="D1063" s="47" t="str">
        <f t="shared" si="146"/>
        <v/>
      </c>
      <c r="E1063" s="31" t="str">
        <f t="shared" si="141"/>
        <v>274</v>
      </c>
      <c r="I1063" s="31" t="str">
        <f t="shared" si="143"/>
        <v xml:space="preserve">0                                                                                                                                                                                                                                                                                 </v>
      </c>
      <c r="Q1063" s="34"/>
      <c r="R1063" s="36">
        <f t="shared" si="140"/>
        <v>0</v>
      </c>
      <c r="U1063" s="39">
        <f t="shared" si="139"/>
        <v>0</v>
      </c>
      <c r="V1063" s="41">
        <f t="shared" si="144"/>
        <v>0</v>
      </c>
    </row>
    <row r="1064" spans="1:22" x14ac:dyDescent="0.25">
      <c r="B1064" s="31">
        <f t="shared" si="142"/>
        <v>275</v>
      </c>
      <c r="C1064" s="48" t="str">
        <f t="shared" si="145"/>
        <v/>
      </c>
      <c r="D1064" s="47" t="str">
        <f t="shared" si="146"/>
        <v/>
      </c>
      <c r="E1064" s="31" t="str">
        <f t="shared" si="141"/>
        <v>275</v>
      </c>
      <c r="I1064" s="31" t="str">
        <f t="shared" si="143"/>
        <v xml:space="preserve">0                                                                                                                                                                                                                                                                                  </v>
      </c>
      <c r="Q1064" s="34"/>
      <c r="R1064" s="36">
        <f t="shared" si="140"/>
        <v>0</v>
      </c>
      <c r="U1064" s="39">
        <f t="shared" si="139"/>
        <v>0</v>
      </c>
      <c r="V1064" s="41">
        <f t="shared" si="144"/>
        <v>0</v>
      </c>
    </row>
    <row r="1065" spans="1:22" x14ac:dyDescent="0.25">
      <c r="B1065" s="31">
        <f t="shared" si="142"/>
        <v>276</v>
      </c>
      <c r="C1065" s="48" t="str">
        <f t="shared" si="145"/>
        <v/>
      </c>
      <c r="D1065" s="47" t="str">
        <f t="shared" si="146"/>
        <v/>
      </c>
      <c r="E1065" s="31" t="str">
        <f t="shared" si="141"/>
        <v>276</v>
      </c>
      <c r="I1065" s="31" t="str">
        <f t="shared" si="143"/>
        <v xml:space="preserve">0                                                                                                                                                                                                                                                                                   </v>
      </c>
      <c r="Q1065" s="34"/>
      <c r="R1065" s="36">
        <f t="shared" si="140"/>
        <v>0</v>
      </c>
      <c r="U1065" s="39">
        <f t="shared" si="139"/>
        <v>0</v>
      </c>
      <c r="V1065" s="41">
        <f t="shared" si="144"/>
        <v>0</v>
      </c>
    </row>
    <row r="1066" spans="1:22" x14ac:dyDescent="0.25">
      <c r="B1066" s="31">
        <f t="shared" si="142"/>
        <v>277</v>
      </c>
      <c r="C1066" s="48" t="str">
        <f t="shared" si="145"/>
        <v/>
      </c>
      <c r="D1066" s="47" t="str">
        <f t="shared" si="146"/>
        <v/>
      </c>
      <c r="E1066" s="31" t="str">
        <f t="shared" si="141"/>
        <v>277</v>
      </c>
      <c r="I1066" s="31" t="str">
        <f t="shared" si="143"/>
        <v xml:space="preserve">0                                                                                                                                                                                                                                                                                    </v>
      </c>
      <c r="Q1066" s="34"/>
      <c r="R1066" s="36">
        <f t="shared" si="140"/>
        <v>0</v>
      </c>
      <c r="U1066" s="39">
        <f t="shared" si="139"/>
        <v>0</v>
      </c>
      <c r="V1066" s="41">
        <f t="shared" si="144"/>
        <v>0</v>
      </c>
    </row>
    <row r="1067" spans="1:22" x14ac:dyDescent="0.25">
      <c r="A1067" s="6"/>
      <c r="B1067" s="31"/>
      <c r="C1067" s="48" t="str">
        <f t="shared" si="145"/>
        <v/>
      </c>
      <c r="D1067" s="47" t="str">
        <f t="shared" si="146"/>
        <v/>
      </c>
      <c r="E1067" s="31"/>
      <c r="F1067" s="6"/>
      <c r="G1067" s="6"/>
      <c r="I1067" s="31"/>
      <c r="Q1067" s="34">
        <v>14520</v>
      </c>
      <c r="R1067" s="36">
        <f t="shared" si="140"/>
        <v>0</v>
      </c>
      <c r="U1067" s="39">
        <f t="shared" si="139"/>
        <v>0</v>
      </c>
      <c r="V1067" s="41">
        <f>IF(A1070=A1066,V1066+U1067,U1067)</f>
        <v>0</v>
      </c>
    </row>
    <row r="1068" spans="1:22" x14ac:dyDescent="0.25">
      <c r="A1068" s="6"/>
      <c r="B1068" s="31"/>
      <c r="C1068" s="48" t="str">
        <f t="shared" si="145"/>
        <v/>
      </c>
      <c r="D1068" s="47" t="str">
        <f t="shared" si="146"/>
        <v/>
      </c>
      <c r="E1068" s="31"/>
      <c r="F1068" s="6"/>
      <c r="G1068" s="6"/>
      <c r="I1068" s="31"/>
      <c r="Q1068" s="34">
        <v>22000</v>
      </c>
      <c r="R1068" s="36">
        <f t="shared" si="140"/>
        <v>0</v>
      </c>
      <c r="U1068" s="39">
        <f t="shared" si="139"/>
        <v>0</v>
      </c>
      <c r="V1068" s="41">
        <f>IF(A1068=A1070,V1067+U1068,U1068)</f>
        <v>0</v>
      </c>
    </row>
    <row r="1069" spans="1:22" x14ac:dyDescent="0.25">
      <c r="A1069" s="6"/>
      <c r="B1069" s="31"/>
      <c r="C1069" s="48" t="str">
        <f t="shared" si="145"/>
        <v/>
      </c>
      <c r="D1069" s="47" t="str">
        <f t="shared" si="146"/>
        <v/>
      </c>
      <c r="E1069" s="31"/>
      <c r="F1069" s="6"/>
      <c r="G1069" s="6"/>
      <c r="I1069" s="31"/>
      <c r="Q1069" s="34">
        <v>63800</v>
      </c>
      <c r="R1069" s="36">
        <f t="shared" si="140"/>
        <v>0</v>
      </c>
      <c r="U1069" s="39">
        <f t="shared" si="139"/>
        <v>0</v>
      </c>
      <c r="V1069" s="41">
        <f>IF(A1069=A1068,V1068+U1069,U1069)</f>
        <v>0</v>
      </c>
    </row>
    <row r="1070" spans="1:22" x14ac:dyDescent="0.25">
      <c r="A1070" s="6"/>
      <c r="B1070" s="31"/>
      <c r="C1070" s="48" t="str">
        <f t="shared" si="145"/>
        <v/>
      </c>
      <c r="D1070" s="47" t="str">
        <f t="shared" si="146"/>
        <v/>
      </c>
      <c r="E1070" s="31"/>
      <c r="F1070" s="6"/>
      <c r="G1070" s="6"/>
      <c r="I1070" s="31"/>
      <c r="Q1070" s="34">
        <v>70000</v>
      </c>
      <c r="R1070" s="36">
        <f t="shared" si="140"/>
        <v>0</v>
      </c>
      <c r="S1070" s="6">
        <v>1</v>
      </c>
      <c r="T1070" s="7">
        <v>60000</v>
      </c>
      <c r="U1070" s="39">
        <f t="shared" si="139"/>
        <v>60000</v>
      </c>
      <c r="V1070" s="41" t="e">
        <f>IF(#REF!=A1069,V1069+U1070,U1070)</f>
        <v>#REF!</v>
      </c>
    </row>
    <row r="1071" spans="1:22" x14ac:dyDescent="0.25">
      <c r="B1071" s="31"/>
      <c r="C1071" s="48" t="str">
        <f t="shared" si="145"/>
        <v/>
      </c>
      <c r="D1071" s="47" t="str">
        <f t="shared" si="146"/>
        <v/>
      </c>
      <c r="E1071" s="31"/>
      <c r="I1071" s="31"/>
      <c r="Q1071" s="34"/>
      <c r="R1071" s="36">
        <f t="shared" si="140"/>
        <v>0</v>
      </c>
      <c r="U1071" s="39">
        <f t="shared" si="139"/>
        <v>0</v>
      </c>
      <c r="V1071" s="41" t="e">
        <f>IF(A1071=#REF!,V1070+U1071,U1071)</f>
        <v>#REF!</v>
      </c>
    </row>
    <row r="1072" spans="1:22" x14ac:dyDescent="0.25">
      <c r="B1072" s="31"/>
      <c r="C1072" s="48" t="str">
        <f t="shared" si="145"/>
        <v/>
      </c>
      <c r="D1072" s="47" t="str">
        <f t="shared" si="146"/>
        <v/>
      </c>
      <c r="E1072" s="31"/>
      <c r="I1072" s="31"/>
      <c r="Q1072" s="34"/>
      <c r="R1072" s="36">
        <f t="shared" si="140"/>
        <v>0</v>
      </c>
      <c r="U1072" s="39">
        <f t="shared" si="139"/>
        <v>0</v>
      </c>
      <c r="V1072" s="41" t="e">
        <f t="shared" ref="V1072:V1085" si="147">IF(A1072=A1071,V1071+U1072,U1072)</f>
        <v>#REF!</v>
      </c>
    </row>
    <row r="1073" spans="2:22" x14ac:dyDescent="0.25">
      <c r="B1073" s="31"/>
      <c r="C1073" s="48" t="str">
        <f t="shared" si="145"/>
        <v/>
      </c>
      <c r="D1073" s="47" t="str">
        <f t="shared" si="146"/>
        <v/>
      </c>
      <c r="E1073" s="31"/>
      <c r="I1073" s="31"/>
      <c r="Q1073" s="34"/>
      <c r="R1073" s="36">
        <f t="shared" si="140"/>
        <v>0</v>
      </c>
      <c r="U1073" s="39">
        <f t="shared" si="139"/>
        <v>0</v>
      </c>
      <c r="V1073" s="41" t="e">
        <f t="shared" si="147"/>
        <v>#REF!</v>
      </c>
    </row>
    <row r="1074" spans="2:22" x14ac:dyDescent="0.25">
      <c r="B1074" s="31"/>
      <c r="C1074" s="48" t="str">
        <f t="shared" si="145"/>
        <v/>
      </c>
      <c r="D1074" s="47" t="str">
        <f t="shared" si="146"/>
        <v/>
      </c>
      <c r="E1074" s="31"/>
      <c r="I1074" s="31"/>
      <c r="Q1074" s="34"/>
      <c r="R1074" s="36">
        <f t="shared" si="140"/>
        <v>0</v>
      </c>
      <c r="U1074" s="39">
        <f t="shared" si="139"/>
        <v>0</v>
      </c>
      <c r="V1074" s="41" t="e">
        <f t="shared" si="147"/>
        <v>#REF!</v>
      </c>
    </row>
    <row r="1075" spans="2:22" x14ac:dyDescent="0.25">
      <c r="B1075" s="31"/>
      <c r="C1075" s="48" t="str">
        <f t="shared" si="145"/>
        <v/>
      </c>
      <c r="D1075" s="47" t="str">
        <f t="shared" si="146"/>
        <v/>
      </c>
      <c r="E1075" s="31"/>
      <c r="I1075" s="31"/>
      <c r="Q1075" s="34"/>
      <c r="R1075" s="36">
        <f t="shared" si="140"/>
        <v>0</v>
      </c>
      <c r="U1075" s="39">
        <f t="shared" si="139"/>
        <v>0</v>
      </c>
      <c r="V1075" s="41" t="e">
        <f t="shared" si="147"/>
        <v>#REF!</v>
      </c>
    </row>
    <row r="1076" spans="2:22" x14ac:dyDescent="0.25">
      <c r="B1076" s="31"/>
      <c r="C1076" s="48" t="str">
        <f t="shared" si="145"/>
        <v/>
      </c>
      <c r="D1076" s="47" t="str">
        <f t="shared" si="146"/>
        <v/>
      </c>
      <c r="E1076" s="31"/>
      <c r="I1076" s="31"/>
      <c r="Q1076" s="34"/>
      <c r="R1076" s="36">
        <f t="shared" si="140"/>
        <v>0</v>
      </c>
      <c r="U1076" s="39">
        <f t="shared" si="139"/>
        <v>0</v>
      </c>
      <c r="V1076" s="41" t="e">
        <f t="shared" si="147"/>
        <v>#REF!</v>
      </c>
    </row>
    <row r="1077" spans="2:22" x14ac:dyDescent="0.25">
      <c r="B1077" s="31"/>
      <c r="C1077" s="48" t="str">
        <f t="shared" si="145"/>
        <v/>
      </c>
      <c r="D1077" s="47" t="str">
        <f t="shared" si="146"/>
        <v/>
      </c>
      <c r="E1077" s="31"/>
      <c r="I1077" s="31"/>
      <c r="Q1077" s="34"/>
      <c r="R1077" s="36">
        <f t="shared" si="140"/>
        <v>0</v>
      </c>
      <c r="U1077" s="39">
        <f t="shared" si="139"/>
        <v>0</v>
      </c>
      <c r="V1077" s="41" t="e">
        <f t="shared" si="147"/>
        <v>#REF!</v>
      </c>
    </row>
    <row r="1078" spans="2:22" x14ac:dyDescent="0.25">
      <c r="B1078" s="31"/>
      <c r="C1078" s="48" t="str">
        <f t="shared" si="145"/>
        <v/>
      </c>
      <c r="D1078" s="47" t="str">
        <f t="shared" si="146"/>
        <v/>
      </c>
      <c r="E1078" s="31"/>
      <c r="I1078" s="31"/>
      <c r="Q1078" s="34"/>
      <c r="R1078" s="36">
        <f t="shared" si="140"/>
        <v>0</v>
      </c>
      <c r="U1078" s="39">
        <f t="shared" si="139"/>
        <v>0</v>
      </c>
      <c r="V1078" s="41" t="e">
        <f t="shared" si="147"/>
        <v>#REF!</v>
      </c>
    </row>
    <row r="1079" spans="2:22" x14ac:dyDescent="0.25">
      <c r="B1079" s="31"/>
      <c r="C1079" s="48" t="str">
        <f t="shared" si="145"/>
        <v/>
      </c>
      <c r="D1079" s="47" t="str">
        <f t="shared" si="146"/>
        <v/>
      </c>
      <c r="E1079" s="31"/>
      <c r="I1079" s="31"/>
      <c r="Q1079" s="34"/>
      <c r="R1079" s="36">
        <f t="shared" si="140"/>
        <v>0</v>
      </c>
      <c r="U1079" s="39">
        <f t="shared" si="139"/>
        <v>0</v>
      </c>
      <c r="V1079" s="41" t="e">
        <f t="shared" si="147"/>
        <v>#REF!</v>
      </c>
    </row>
    <row r="1080" spans="2:22" x14ac:dyDescent="0.25">
      <c r="B1080" s="31"/>
      <c r="C1080" s="48" t="str">
        <f t="shared" si="145"/>
        <v/>
      </c>
      <c r="D1080" s="47" t="str">
        <f t="shared" si="146"/>
        <v/>
      </c>
      <c r="E1080" s="31"/>
      <c r="I1080" s="31"/>
      <c r="Q1080" s="34"/>
      <c r="R1080" s="36">
        <f t="shared" si="140"/>
        <v>0</v>
      </c>
      <c r="U1080" s="39">
        <f t="shared" si="139"/>
        <v>0</v>
      </c>
      <c r="V1080" s="41" t="e">
        <f t="shared" si="147"/>
        <v>#REF!</v>
      </c>
    </row>
    <row r="1081" spans="2:22" x14ac:dyDescent="0.25">
      <c r="B1081" s="31"/>
      <c r="C1081" s="48" t="str">
        <f t="shared" si="145"/>
        <v/>
      </c>
      <c r="D1081" s="47" t="str">
        <f t="shared" si="146"/>
        <v/>
      </c>
      <c r="E1081" s="31"/>
      <c r="I1081" s="31"/>
      <c r="Q1081" s="34"/>
      <c r="R1081" s="36">
        <f t="shared" si="140"/>
        <v>0</v>
      </c>
      <c r="U1081" s="39">
        <f t="shared" si="139"/>
        <v>0</v>
      </c>
      <c r="V1081" s="41" t="e">
        <f t="shared" si="147"/>
        <v>#REF!</v>
      </c>
    </row>
    <row r="1082" spans="2:22" x14ac:dyDescent="0.25">
      <c r="B1082" s="31"/>
      <c r="C1082" s="48" t="str">
        <f t="shared" si="145"/>
        <v/>
      </c>
      <c r="D1082" s="47" t="str">
        <f t="shared" si="146"/>
        <v/>
      </c>
      <c r="E1082" s="31"/>
      <c r="I1082" s="31"/>
      <c r="Q1082" s="34"/>
      <c r="R1082" s="36">
        <f t="shared" si="140"/>
        <v>0</v>
      </c>
      <c r="U1082" s="39">
        <f t="shared" si="139"/>
        <v>0</v>
      </c>
      <c r="V1082" s="41" t="e">
        <f t="shared" si="147"/>
        <v>#REF!</v>
      </c>
    </row>
    <row r="1083" spans="2:22" x14ac:dyDescent="0.25">
      <c r="B1083" s="31"/>
      <c r="C1083" s="48" t="str">
        <f t="shared" si="145"/>
        <v/>
      </c>
      <c r="D1083" s="47" t="str">
        <f t="shared" si="146"/>
        <v/>
      </c>
      <c r="E1083" s="31"/>
      <c r="I1083" s="31"/>
      <c r="Q1083" s="34"/>
      <c r="R1083" s="36">
        <f t="shared" si="140"/>
        <v>0</v>
      </c>
      <c r="U1083" s="39">
        <f t="shared" si="139"/>
        <v>0</v>
      </c>
      <c r="V1083" s="41" t="e">
        <f t="shared" si="147"/>
        <v>#REF!</v>
      </c>
    </row>
    <row r="1084" spans="2:22" x14ac:dyDescent="0.25">
      <c r="B1084" s="31"/>
      <c r="C1084" s="48" t="str">
        <f t="shared" si="145"/>
        <v/>
      </c>
      <c r="D1084" s="47" t="str">
        <f t="shared" si="146"/>
        <v/>
      </c>
      <c r="E1084" s="31"/>
      <c r="I1084" s="31"/>
      <c r="Q1084" s="34">
        <f>M1084*(1+O1084)+N1084</f>
        <v>0</v>
      </c>
      <c r="R1084" s="36">
        <f t="shared" si="140"/>
        <v>0</v>
      </c>
      <c r="U1084" s="39">
        <f t="shared" si="139"/>
        <v>0</v>
      </c>
      <c r="V1084" s="41" t="e">
        <f t="shared" si="147"/>
        <v>#REF!</v>
      </c>
    </row>
    <row r="1085" spans="2:22" x14ac:dyDescent="0.25">
      <c r="B1085" s="31"/>
      <c r="C1085" s="48" t="str">
        <f t="shared" si="145"/>
        <v/>
      </c>
      <c r="D1085" s="47" t="str">
        <f t="shared" si="146"/>
        <v/>
      </c>
      <c r="E1085" s="31"/>
      <c r="I1085" s="31"/>
      <c r="Q1085" s="34">
        <f>M1085*(1+O1085)+N1085</f>
        <v>0</v>
      </c>
      <c r="R1085" s="36">
        <f t="shared" si="140"/>
        <v>0</v>
      </c>
      <c r="U1085" s="39">
        <f t="shared" si="139"/>
        <v>0</v>
      </c>
      <c r="V1085" s="41" t="e">
        <f t="shared" si="147"/>
        <v>#REF!</v>
      </c>
    </row>
    <row r="1086" spans="2:22" x14ac:dyDescent="0.25">
      <c r="C1086" s="48" t="e">
        <f>IF(A1086=#REF!,#REF!,"")</f>
        <v>#REF!</v>
      </c>
      <c r="D1086" s="47" t="e">
        <f>IF(A1086=#REF!,#REF!,"")</f>
        <v>#REF!</v>
      </c>
      <c r="U1086" s="39">
        <f t="shared" ref="U1086:U1105" si="148">+T1086*S1086</f>
        <v>0</v>
      </c>
    </row>
    <row r="1087" spans="2:22" x14ac:dyDescent="0.25">
      <c r="C1087" s="48" t="e">
        <f t="shared" ref="C1087:C1092" si="149">IF(A1087=A1086,C1086,"")</f>
        <v>#REF!</v>
      </c>
      <c r="D1087" s="47" t="e">
        <f t="shared" ref="D1087:D1092" si="150">IF(A1087=A1086,D1086,"")</f>
        <v>#REF!</v>
      </c>
      <c r="U1087" s="39">
        <f t="shared" si="148"/>
        <v>0</v>
      </c>
    </row>
    <row r="1088" spans="2:22" x14ac:dyDescent="0.25">
      <c r="C1088" s="48" t="e">
        <f t="shared" si="149"/>
        <v>#REF!</v>
      </c>
      <c r="D1088" s="47" t="e">
        <f t="shared" si="150"/>
        <v>#REF!</v>
      </c>
      <c r="U1088" s="39">
        <f t="shared" si="148"/>
        <v>0</v>
      </c>
    </row>
    <row r="1089" spans="3:21" x14ac:dyDescent="0.25">
      <c r="C1089" s="48" t="e">
        <f t="shared" si="149"/>
        <v>#REF!</v>
      </c>
      <c r="D1089" s="47" t="e">
        <f t="shared" si="150"/>
        <v>#REF!</v>
      </c>
      <c r="U1089" s="39">
        <f t="shared" si="148"/>
        <v>0</v>
      </c>
    </row>
    <row r="1090" spans="3:21" x14ac:dyDescent="0.25">
      <c r="C1090" s="48" t="e">
        <f t="shared" si="149"/>
        <v>#REF!</v>
      </c>
      <c r="D1090" s="47" t="e">
        <f t="shared" si="150"/>
        <v>#REF!</v>
      </c>
      <c r="U1090" s="39">
        <f t="shared" si="148"/>
        <v>0</v>
      </c>
    </row>
    <row r="1091" spans="3:21" x14ac:dyDescent="0.25">
      <c r="C1091" s="48" t="e">
        <f t="shared" si="149"/>
        <v>#REF!</v>
      </c>
      <c r="D1091" s="47" t="e">
        <f t="shared" si="150"/>
        <v>#REF!</v>
      </c>
      <c r="U1091" s="39">
        <f t="shared" si="148"/>
        <v>0</v>
      </c>
    </row>
    <row r="1092" spans="3:21" x14ac:dyDescent="0.25">
      <c r="C1092" s="48" t="e">
        <f t="shared" si="149"/>
        <v>#REF!</v>
      </c>
      <c r="D1092" s="47" t="e">
        <f t="shared" si="150"/>
        <v>#REF!</v>
      </c>
      <c r="U1092" s="39">
        <f t="shared" si="148"/>
        <v>0</v>
      </c>
    </row>
    <row r="1093" spans="3:21" x14ac:dyDescent="0.25">
      <c r="C1093" s="48" t="e">
        <f t="shared" ref="C1093:C1152" si="151">IF(A1093=A1092,C1092,"")</f>
        <v>#REF!</v>
      </c>
      <c r="D1093" s="47" t="e">
        <f t="shared" ref="D1093:D1152" si="152">IF(A1093=A1092,D1092,"")</f>
        <v>#REF!</v>
      </c>
      <c r="U1093" s="39">
        <f t="shared" si="148"/>
        <v>0</v>
      </c>
    </row>
    <row r="1094" spans="3:21" x14ac:dyDescent="0.25">
      <c r="C1094" s="48" t="e">
        <f t="shared" si="151"/>
        <v>#REF!</v>
      </c>
      <c r="D1094" s="47" t="e">
        <f t="shared" si="152"/>
        <v>#REF!</v>
      </c>
      <c r="U1094" s="39">
        <f t="shared" si="148"/>
        <v>0</v>
      </c>
    </row>
    <row r="1095" spans="3:21" x14ac:dyDescent="0.25">
      <c r="C1095" s="48" t="e">
        <f t="shared" si="151"/>
        <v>#REF!</v>
      </c>
      <c r="D1095" s="47" t="e">
        <f t="shared" si="152"/>
        <v>#REF!</v>
      </c>
      <c r="U1095" s="39">
        <f t="shared" si="148"/>
        <v>0</v>
      </c>
    </row>
    <row r="1096" spans="3:21" x14ac:dyDescent="0.25">
      <c r="C1096" s="48" t="e">
        <f t="shared" si="151"/>
        <v>#REF!</v>
      </c>
      <c r="D1096" s="47" t="e">
        <f t="shared" si="152"/>
        <v>#REF!</v>
      </c>
      <c r="U1096" s="39">
        <f t="shared" si="148"/>
        <v>0</v>
      </c>
    </row>
    <row r="1097" spans="3:21" x14ac:dyDescent="0.25">
      <c r="C1097" s="48" t="e">
        <f t="shared" si="151"/>
        <v>#REF!</v>
      </c>
      <c r="D1097" s="47" t="e">
        <f t="shared" si="152"/>
        <v>#REF!</v>
      </c>
      <c r="U1097" s="39">
        <f t="shared" si="148"/>
        <v>0</v>
      </c>
    </row>
    <row r="1098" spans="3:21" x14ac:dyDescent="0.25">
      <c r="C1098" s="48" t="e">
        <f t="shared" si="151"/>
        <v>#REF!</v>
      </c>
      <c r="D1098" s="47" t="e">
        <f t="shared" si="152"/>
        <v>#REF!</v>
      </c>
      <c r="U1098" s="39">
        <f t="shared" si="148"/>
        <v>0</v>
      </c>
    </row>
    <row r="1099" spans="3:21" x14ac:dyDescent="0.25">
      <c r="C1099" s="48" t="e">
        <f t="shared" si="151"/>
        <v>#REF!</v>
      </c>
      <c r="D1099" s="47" t="e">
        <f t="shared" si="152"/>
        <v>#REF!</v>
      </c>
      <c r="U1099" s="39">
        <f t="shared" si="148"/>
        <v>0</v>
      </c>
    </row>
    <row r="1100" spans="3:21" x14ac:dyDescent="0.25">
      <c r="C1100" s="48" t="e">
        <f t="shared" si="151"/>
        <v>#REF!</v>
      </c>
      <c r="D1100" s="47" t="e">
        <f t="shared" si="152"/>
        <v>#REF!</v>
      </c>
      <c r="U1100" s="39">
        <f t="shared" si="148"/>
        <v>0</v>
      </c>
    </row>
    <row r="1101" spans="3:21" x14ac:dyDescent="0.25">
      <c r="C1101" s="48" t="e">
        <f t="shared" si="151"/>
        <v>#REF!</v>
      </c>
      <c r="D1101" s="47" t="e">
        <f t="shared" si="152"/>
        <v>#REF!</v>
      </c>
      <c r="U1101" s="39">
        <f t="shared" si="148"/>
        <v>0</v>
      </c>
    </row>
    <row r="1102" spans="3:21" x14ac:dyDescent="0.25">
      <c r="C1102" s="48" t="e">
        <f t="shared" si="151"/>
        <v>#REF!</v>
      </c>
      <c r="D1102" s="47" t="e">
        <f t="shared" si="152"/>
        <v>#REF!</v>
      </c>
      <c r="U1102" s="39">
        <f t="shared" si="148"/>
        <v>0</v>
      </c>
    </row>
    <row r="1103" spans="3:21" x14ac:dyDescent="0.25">
      <c r="C1103" s="48" t="e">
        <f t="shared" si="151"/>
        <v>#REF!</v>
      </c>
      <c r="D1103" s="47" t="e">
        <f t="shared" si="152"/>
        <v>#REF!</v>
      </c>
      <c r="U1103" s="39">
        <f t="shared" si="148"/>
        <v>0</v>
      </c>
    </row>
    <row r="1104" spans="3:21" x14ac:dyDescent="0.25">
      <c r="C1104" s="48" t="e">
        <f t="shared" si="151"/>
        <v>#REF!</v>
      </c>
      <c r="D1104" s="47" t="e">
        <f t="shared" si="152"/>
        <v>#REF!</v>
      </c>
      <c r="U1104" s="39">
        <f t="shared" si="148"/>
        <v>0</v>
      </c>
    </row>
    <row r="1105" spans="1:21" x14ac:dyDescent="0.25">
      <c r="C1105" s="48" t="e">
        <f t="shared" si="151"/>
        <v>#REF!</v>
      </c>
      <c r="D1105" s="47" t="e">
        <f t="shared" si="152"/>
        <v>#REF!</v>
      </c>
      <c r="U1105" s="39">
        <f t="shared" si="148"/>
        <v>0</v>
      </c>
    </row>
    <row r="1106" spans="1:21" x14ac:dyDescent="0.25">
      <c r="C1106" s="48" t="e">
        <f t="shared" si="151"/>
        <v>#REF!</v>
      </c>
      <c r="D1106" s="47" t="e">
        <f t="shared" si="152"/>
        <v>#REF!</v>
      </c>
    </row>
    <row r="1107" spans="1:21" x14ac:dyDescent="0.25">
      <c r="C1107" s="48" t="e">
        <f t="shared" si="151"/>
        <v>#REF!</v>
      </c>
      <c r="D1107" s="47" t="e">
        <f t="shared" si="152"/>
        <v>#REF!</v>
      </c>
    </row>
    <row r="1108" spans="1:21" x14ac:dyDescent="0.25">
      <c r="C1108" s="48" t="e">
        <f t="shared" si="151"/>
        <v>#REF!</v>
      </c>
      <c r="D1108" s="47" t="e">
        <f t="shared" si="152"/>
        <v>#REF!</v>
      </c>
    </row>
    <row r="1109" spans="1:21" x14ac:dyDescent="0.25">
      <c r="C1109" s="48" t="e">
        <f t="shared" si="151"/>
        <v>#REF!</v>
      </c>
      <c r="D1109" s="47" t="e">
        <f t="shared" si="152"/>
        <v>#REF!</v>
      </c>
    </row>
    <row r="1110" spans="1:21" x14ac:dyDescent="0.25">
      <c r="C1110" s="48" t="e">
        <f t="shared" si="151"/>
        <v>#REF!</v>
      </c>
      <c r="D1110" s="47" t="e">
        <f t="shared" si="152"/>
        <v>#REF!</v>
      </c>
    </row>
    <row r="1111" spans="1:21" x14ac:dyDescent="0.25">
      <c r="C1111" s="48" t="e">
        <f t="shared" si="151"/>
        <v>#REF!</v>
      </c>
      <c r="D1111" s="47" t="e">
        <f t="shared" si="152"/>
        <v>#REF!</v>
      </c>
    </row>
    <row r="1112" spans="1:21" x14ac:dyDescent="0.25">
      <c r="C1112" s="48" t="e">
        <f t="shared" si="151"/>
        <v>#REF!</v>
      </c>
      <c r="D1112" s="47" t="e">
        <f t="shared" si="152"/>
        <v>#REF!</v>
      </c>
    </row>
    <row r="1113" spans="1:21" x14ac:dyDescent="0.25">
      <c r="C1113" s="48" t="e">
        <f t="shared" si="151"/>
        <v>#REF!</v>
      </c>
      <c r="D1113" s="47" t="e">
        <f t="shared" si="152"/>
        <v>#REF!</v>
      </c>
    </row>
    <row r="1114" spans="1:21" x14ac:dyDescent="0.25">
      <c r="C1114" s="48" t="e">
        <f t="shared" si="151"/>
        <v>#REF!</v>
      </c>
      <c r="D1114" s="47" t="e">
        <f t="shared" si="152"/>
        <v>#REF!</v>
      </c>
    </row>
    <row r="1115" spans="1:21" x14ac:dyDescent="0.25">
      <c r="C1115" s="48" t="e">
        <f t="shared" si="151"/>
        <v>#REF!</v>
      </c>
      <c r="D1115" s="47" t="e">
        <f t="shared" si="152"/>
        <v>#REF!</v>
      </c>
    </row>
    <row r="1116" spans="1:21" x14ac:dyDescent="0.25">
      <c r="C1116" s="48" t="e">
        <f t="shared" si="151"/>
        <v>#REF!</v>
      </c>
      <c r="D1116" s="47" t="e">
        <f t="shared" si="152"/>
        <v>#REF!</v>
      </c>
    </row>
    <row r="1117" spans="1:21" x14ac:dyDescent="0.25">
      <c r="C1117" s="48" t="e">
        <f t="shared" si="151"/>
        <v>#REF!</v>
      </c>
      <c r="D1117" s="47" t="e">
        <f t="shared" si="152"/>
        <v>#REF!</v>
      </c>
    </row>
    <row r="1118" spans="1:21" x14ac:dyDescent="0.25">
      <c r="C1118" s="48" t="e">
        <f t="shared" si="151"/>
        <v>#REF!</v>
      </c>
      <c r="D1118" s="47" t="e">
        <f t="shared" si="152"/>
        <v>#REF!</v>
      </c>
    </row>
    <row r="1119" spans="1:21" x14ac:dyDescent="0.25">
      <c r="C1119" s="48" t="e">
        <f t="shared" si="151"/>
        <v>#REF!</v>
      </c>
      <c r="D1119" s="47" t="e">
        <f t="shared" si="152"/>
        <v>#REF!</v>
      </c>
    </row>
    <row r="1120" spans="1:21" x14ac:dyDescent="0.25">
      <c r="A1120" s="47">
        <v>2317</v>
      </c>
      <c r="C1120" s="48" t="str">
        <f t="shared" si="151"/>
        <v/>
      </c>
      <c r="D1120" s="47" t="str">
        <f t="shared" si="152"/>
        <v/>
      </c>
    </row>
    <row r="1121" spans="3:4" x14ac:dyDescent="0.25">
      <c r="C1121" s="48" t="str">
        <f t="shared" si="151"/>
        <v/>
      </c>
      <c r="D1121" s="47" t="str">
        <f t="shared" si="152"/>
        <v/>
      </c>
    </row>
    <row r="1122" spans="3:4" x14ac:dyDescent="0.25">
      <c r="C1122" s="48" t="str">
        <f t="shared" si="151"/>
        <v/>
      </c>
      <c r="D1122" s="47" t="str">
        <f t="shared" si="152"/>
        <v/>
      </c>
    </row>
    <row r="1123" spans="3:4" x14ac:dyDescent="0.25">
      <c r="C1123" s="48" t="str">
        <f t="shared" si="151"/>
        <v/>
      </c>
      <c r="D1123" s="47" t="str">
        <f t="shared" si="152"/>
        <v/>
      </c>
    </row>
    <row r="1124" spans="3:4" x14ac:dyDescent="0.25">
      <c r="C1124" s="48" t="str">
        <f t="shared" si="151"/>
        <v/>
      </c>
      <c r="D1124" s="47" t="str">
        <f t="shared" si="152"/>
        <v/>
      </c>
    </row>
    <row r="1125" spans="3:4" x14ac:dyDescent="0.25">
      <c r="C1125" s="48" t="str">
        <f t="shared" si="151"/>
        <v/>
      </c>
      <c r="D1125" s="47" t="str">
        <f t="shared" si="152"/>
        <v/>
      </c>
    </row>
    <row r="1126" spans="3:4" x14ac:dyDescent="0.25">
      <c r="C1126" s="48" t="str">
        <f t="shared" si="151"/>
        <v/>
      </c>
      <c r="D1126" s="47" t="str">
        <f t="shared" si="152"/>
        <v/>
      </c>
    </row>
    <row r="1127" spans="3:4" x14ac:dyDescent="0.25">
      <c r="C1127" s="48" t="str">
        <f t="shared" si="151"/>
        <v/>
      </c>
      <c r="D1127" s="47" t="str">
        <f t="shared" si="152"/>
        <v/>
      </c>
    </row>
    <row r="1128" spans="3:4" x14ac:dyDescent="0.25">
      <c r="C1128" s="48" t="str">
        <f t="shared" si="151"/>
        <v/>
      </c>
      <c r="D1128" s="47" t="str">
        <f t="shared" si="152"/>
        <v/>
      </c>
    </row>
    <row r="1129" spans="3:4" x14ac:dyDescent="0.25">
      <c r="C1129" s="48" t="str">
        <f t="shared" si="151"/>
        <v/>
      </c>
      <c r="D1129" s="47" t="str">
        <f t="shared" si="152"/>
        <v/>
      </c>
    </row>
    <row r="1130" spans="3:4" x14ac:dyDescent="0.25">
      <c r="C1130" s="48" t="str">
        <f t="shared" si="151"/>
        <v/>
      </c>
      <c r="D1130" s="47" t="str">
        <f t="shared" si="152"/>
        <v/>
      </c>
    </row>
    <row r="1131" spans="3:4" x14ac:dyDescent="0.25">
      <c r="C1131" s="48" t="str">
        <f t="shared" si="151"/>
        <v/>
      </c>
      <c r="D1131" s="47" t="str">
        <f t="shared" si="152"/>
        <v/>
      </c>
    </row>
    <row r="1132" spans="3:4" x14ac:dyDescent="0.25">
      <c r="C1132" s="48" t="str">
        <f t="shared" si="151"/>
        <v/>
      </c>
      <c r="D1132" s="47" t="str">
        <f t="shared" si="152"/>
        <v/>
      </c>
    </row>
    <row r="1133" spans="3:4" x14ac:dyDescent="0.25">
      <c r="C1133" s="48" t="str">
        <f t="shared" si="151"/>
        <v/>
      </c>
      <c r="D1133" s="47" t="str">
        <f t="shared" si="152"/>
        <v/>
      </c>
    </row>
    <row r="1134" spans="3:4" x14ac:dyDescent="0.25">
      <c r="C1134" s="48" t="str">
        <f t="shared" si="151"/>
        <v/>
      </c>
      <c r="D1134" s="47" t="str">
        <f t="shared" si="152"/>
        <v/>
      </c>
    </row>
    <row r="1135" spans="3:4" x14ac:dyDescent="0.25">
      <c r="C1135" s="48" t="str">
        <f t="shared" si="151"/>
        <v/>
      </c>
      <c r="D1135" s="47" t="str">
        <f t="shared" si="152"/>
        <v/>
      </c>
    </row>
    <row r="1136" spans="3:4" x14ac:dyDescent="0.25">
      <c r="C1136" s="48" t="str">
        <f t="shared" si="151"/>
        <v/>
      </c>
      <c r="D1136" s="47" t="str">
        <f t="shared" si="152"/>
        <v/>
      </c>
    </row>
    <row r="1137" spans="3:4" x14ac:dyDescent="0.25">
      <c r="C1137" s="48" t="str">
        <f t="shared" si="151"/>
        <v/>
      </c>
      <c r="D1137" s="47" t="str">
        <f t="shared" si="152"/>
        <v/>
      </c>
    </row>
    <row r="1138" spans="3:4" x14ac:dyDescent="0.25">
      <c r="C1138" s="48" t="str">
        <f t="shared" si="151"/>
        <v/>
      </c>
      <c r="D1138" s="47" t="str">
        <f t="shared" si="152"/>
        <v/>
      </c>
    </row>
    <row r="1139" spans="3:4" x14ac:dyDescent="0.25">
      <c r="C1139" s="48" t="str">
        <f t="shared" si="151"/>
        <v/>
      </c>
      <c r="D1139" s="47" t="str">
        <f t="shared" si="152"/>
        <v/>
      </c>
    </row>
    <row r="1140" spans="3:4" x14ac:dyDescent="0.25">
      <c r="C1140" s="48" t="str">
        <f t="shared" si="151"/>
        <v/>
      </c>
      <c r="D1140" s="47" t="str">
        <f t="shared" si="152"/>
        <v/>
      </c>
    </row>
    <row r="1141" spans="3:4" x14ac:dyDescent="0.25">
      <c r="C1141" s="48" t="str">
        <f t="shared" si="151"/>
        <v/>
      </c>
      <c r="D1141" s="47" t="str">
        <f t="shared" si="152"/>
        <v/>
      </c>
    </row>
    <row r="1142" spans="3:4" x14ac:dyDescent="0.25">
      <c r="C1142" s="48" t="str">
        <f t="shared" si="151"/>
        <v/>
      </c>
      <c r="D1142" s="47" t="str">
        <f t="shared" si="152"/>
        <v/>
      </c>
    </row>
    <row r="1143" spans="3:4" x14ac:dyDescent="0.25">
      <c r="C1143" s="48" t="str">
        <f t="shared" si="151"/>
        <v/>
      </c>
      <c r="D1143" s="47" t="str">
        <f t="shared" si="152"/>
        <v/>
      </c>
    </row>
    <row r="1144" spans="3:4" x14ac:dyDescent="0.25">
      <c r="C1144" s="48" t="str">
        <f t="shared" si="151"/>
        <v/>
      </c>
      <c r="D1144" s="47" t="str">
        <f t="shared" si="152"/>
        <v/>
      </c>
    </row>
    <row r="1145" spans="3:4" x14ac:dyDescent="0.25">
      <c r="C1145" s="48" t="str">
        <f t="shared" si="151"/>
        <v/>
      </c>
      <c r="D1145" s="47" t="str">
        <f t="shared" si="152"/>
        <v/>
      </c>
    </row>
    <row r="1146" spans="3:4" x14ac:dyDescent="0.25">
      <c r="C1146" s="48" t="str">
        <f t="shared" si="151"/>
        <v/>
      </c>
      <c r="D1146" s="47" t="str">
        <f t="shared" si="152"/>
        <v/>
      </c>
    </row>
    <row r="1147" spans="3:4" x14ac:dyDescent="0.25">
      <c r="C1147" s="48" t="str">
        <f t="shared" si="151"/>
        <v/>
      </c>
      <c r="D1147" s="47" t="str">
        <f t="shared" si="152"/>
        <v/>
      </c>
    </row>
    <row r="1148" spans="3:4" x14ac:dyDescent="0.25">
      <c r="C1148" s="48" t="str">
        <f t="shared" si="151"/>
        <v/>
      </c>
      <c r="D1148" s="47" t="str">
        <f t="shared" si="152"/>
        <v/>
      </c>
    </row>
    <row r="1149" spans="3:4" x14ac:dyDescent="0.25">
      <c r="C1149" s="48" t="str">
        <f t="shared" si="151"/>
        <v/>
      </c>
      <c r="D1149" s="47" t="str">
        <f t="shared" si="152"/>
        <v/>
      </c>
    </row>
    <row r="1150" spans="3:4" x14ac:dyDescent="0.25">
      <c r="C1150" s="48" t="str">
        <f t="shared" si="151"/>
        <v/>
      </c>
      <c r="D1150" s="47" t="str">
        <f t="shared" si="152"/>
        <v/>
      </c>
    </row>
    <row r="1151" spans="3:4" x14ac:dyDescent="0.25">
      <c r="C1151" s="48" t="str">
        <f t="shared" si="151"/>
        <v/>
      </c>
      <c r="D1151" s="47" t="str">
        <f t="shared" si="152"/>
        <v/>
      </c>
    </row>
    <row r="1152" spans="3:4" x14ac:dyDescent="0.25">
      <c r="C1152" s="48" t="str">
        <f t="shared" si="151"/>
        <v/>
      </c>
      <c r="D1152" s="47" t="str">
        <f t="shared" si="152"/>
        <v/>
      </c>
    </row>
  </sheetData>
  <autoFilter ref="A3:V1085"/>
  <pageMargins left="0.75" right="0.75" top="1" bottom="1" header="0.5" footer="0.5"/>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B3599"/>
  <sheetViews>
    <sheetView zoomScaleNormal="100" zoomScalePageLayoutView="125" workbookViewId="0">
      <selection activeCell="H12" sqref="G12:H12"/>
    </sheetView>
  </sheetViews>
  <sheetFormatPr baseColWidth="10" defaultColWidth="10.875" defaultRowHeight="15.75" x14ac:dyDescent="0.25"/>
  <cols>
    <col min="1" max="1" width="11.125" style="6" customWidth="1"/>
    <col min="2" max="2" width="35.625" style="6" customWidth="1"/>
    <col min="3" max="3" width="8.375" style="6" customWidth="1"/>
    <col min="4" max="4" width="13.25" style="6" customWidth="1"/>
    <col min="5" max="5" width="13.875" style="6" customWidth="1"/>
    <col min="6" max="16384" width="10.875" style="6"/>
  </cols>
  <sheetData>
    <row r="1" spans="1:5" ht="24.95" customHeight="1" thickBot="1" x14ac:dyDescent="0.3">
      <c r="A1" s="58" t="s">
        <v>48</v>
      </c>
      <c r="B1" s="58"/>
      <c r="C1" s="58"/>
      <c r="D1" s="58"/>
      <c r="E1" s="58"/>
    </row>
    <row r="2" spans="1:5" ht="8.1" customHeight="1" thickTop="1" x14ac:dyDescent="0.25"/>
    <row r="3" spans="1:5" ht="17.100000000000001" customHeight="1" x14ac:dyDescent="0.25">
      <c r="A3" t="s">
        <v>38</v>
      </c>
      <c r="C3" s="51" t="s">
        <v>512</v>
      </c>
      <c r="D3" s="6">
        <v>224</v>
      </c>
    </row>
    <row r="4" spans="1:5" x14ac:dyDescent="0.25">
      <c r="A4" t="s">
        <v>39</v>
      </c>
      <c r="B4"/>
      <c r="C4" s="52" t="s">
        <v>18</v>
      </c>
      <c r="D4" s="8" t="e">
        <f>VLOOKUP(D3,'Carga Presup.'!A5:U664,3,0)</f>
        <v>#N/A</v>
      </c>
      <c r="E4"/>
    </row>
    <row r="5" spans="1:5" ht="4.5" customHeight="1" thickBot="1" x14ac:dyDescent="0.3">
      <c r="A5" s="9"/>
      <c r="B5" s="9"/>
      <c r="C5" s="9"/>
      <c r="D5" s="9"/>
      <c r="E5" s="9"/>
    </row>
    <row r="6" spans="1:5" ht="3.95" customHeight="1" thickTop="1" x14ac:dyDescent="0.25">
      <c r="A6"/>
      <c r="B6"/>
      <c r="C6"/>
      <c r="D6"/>
      <c r="E6"/>
    </row>
    <row r="7" spans="1:5" x14ac:dyDescent="0.25">
      <c r="A7" s="10" t="s">
        <v>465</v>
      </c>
      <c r="B7" t="str">
        <f>VLOOKUP(D3,'Carga Presup.'!A5:U7262,4,0)</f>
        <v>Luciano Napoli</v>
      </c>
      <c r="C7"/>
      <c r="D7"/>
      <c r="E7"/>
    </row>
    <row r="8" spans="1:5" ht="15" customHeight="1" x14ac:dyDescent="0.25">
      <c r="A8" s="10" t="s">
        <v>466</v>
      </c>
      <c r="B8" t="str">
        <f>VLOOKUP(D3,'Carga Presup.'!A5:U7262,7,0)</f>
        <v>Peugeot 307</v>
      </c>
      <c r="C8" s="10" t="s">
        <v>40</v>
      </c>
      <c r="D8">
        <f>VLOOKUP(D3,'Carga Presup.'!A5:V7261,6,0)</f>
        <v>0</v>
      </c>
      <c r="E8"/>
    </row>
    <row r="9" spans="1:5" ht="3.95" customHeight="1" thickBot="1" x14ac:dyDescent="0.3">
      <c r="A9" s="9"/>
      <c r="B9" s="9"/>
      <c r="C9" s="9"/>
      <c r="D9" s="9"/>
      <c r="E9" s="9"/>
    </row>
    <row r="10" spans="1:5" ht="9" customHeight="1" thickTop="1" x14ac:dyDescent="0.25">
      <c r="A10"/>
      <c r="B10"/>
      <c r="C10"/>
      <c r="D10"/>
      <c r="E10"/>
    </row>
    <row r="11" spans="1:5" x14ac:dyDescent="0.25">
      <c r="A11" s="11" t="s">
        <v>467</v>
      </c>
      <c r="B11" s="56" t="str">
        <f>VLOOKUP(CONCATENATE(D3,B7,COUNT(A18:A39)),'Carga Presup.'!E5:V69261,5,0)</f>
        <v xml:space="preserve">Desarmar suspension de ambos lados. Sacar ambos amortiguadores completos. Reparar con cazoletas nuevas. Armado total. Regulacion de convergencia. </v>
      </c>
      <c r="C11" s="56"/>
      <c r="D11" s="56"/>
      <c r="E11" s="56"/>
    </row>
    <row r="12" spans="1:5" x14ac:dyDescent="0.25">
      <c r="A12"/>
      <c r="B12" s="56"/>
      <c r="C12" s="56"/>
      <c r="D12" s="56"/>
      <c r="E12" s="56"/>
    </row>
    <row r="13" spans="1:5" x14ac:dyDescent="0.25">
      <c r="A13"/>
      <c r="B13" s="56"/>
      <c r="C13" s="56"/>
      <c r="D13" s="56"/>
      <c r="E13" s="56"/>
    </row>
    <row r="14" spans="1:5" ht="57" customHeight="1" thickBot="1" x14ac:dyDescent="0.3">
      <c r="A14" s="12"/>
      <c r="B14" s="57"/>
      <c r="C14" s="57"/>
      <c r="D14" s="57"/>
      <c r="E14" s="57"/>
    </row>
    <row r="15" spans="1:5" ht="6" customHeight="1" x14ac:dyDescent="0.25">
      <c r="A15"/>
      <c r="B15"/>
      <c r="C15"/>
      <c r="D15"/>
      <c r="E15"/>
    </row>
    <row r="16" spans="1:5" x14ac:dyDescent="0.25">
      <c r="A16" s="60" t="s">
        <v>10</v>
      </c>
      <c r="B16" s="60"/>
      <c r="C16" s="11" t="s">
        <v>37</v>
      </c>
      <c r="D16" s="11" t="s">
        <v>12</v>
      </c>
      <c r="E16" s="11" t="s">
        <v>13</v>
      </c>
    </row>
    <row r="17" spans="1:7" ht="18" customHeight="1" x14ac:dyDescent="0.25">
      <c r="A17" s="43">
        <v>5</v>
      </c>
      <c r="B17" t="s">
        <v>44</v>
      </c>
      <c r="C17" s="13">
        <v>1</v>
      </c>
      <c r="D17" s="14">
        <f>VLOOKUP(CONCATENATE(D3,B7,COUNT(A18:A39)),'Carga Presup.'!E5:V69261,18,0)</f>
        <v>150000</v>
      </c>
      <c r="E17" s="14">
        <f t="shared" ref="E17:E35" si="0">IFERROR(D17*C17,"")</f>
        <v>150000</v>
      </c>
    </row>
    <row r="18" spans="1:7" ht="18" customHeight="1" x14ac:dyDescent="0.25">
      <c r="A18" s="43">
        <f>IFERROR(VLOOKUP(CONCATENATE(D3,B7,1),'Carga Presup.'!E5:V69261,6,0),"")</f>
        <v>0</v>
      </c>
      <c r="B18" t="str">
        <f>IFERROR(VLOOKUP(CONCATENATE(D3,B7,1),'Carga Presup.'!E5:V69261,7,0),"")</f>
        <v>Cazoletas</v>
      </c>
      <c r="C18" s="13">
        <f>IFERROR(VLOOKUP(CONCATENATE(D3,B7,1),'Carga Presup.'!E5:V69261,12,0),"")</f>
        <v>2</v>
      </c>
      <c r="D18" s="14">
        <f>IFERROR(VLOOKUP(CONCATENATE(D3,B7,1),'Carga Presup.'!E5:V69261,13,0),"")</f>
        <v>43000</v>
      </c>
      <c r="E18" s="14">
        <f t="shared" si="0"/>
        <v>86000</v>
      </c>
    </row>
    <row r="19" spans="1:7" ht="18" customHeight="1" x14ac:dyDescent="0.25">
      <c r="A19" s="43">
        <f>IFERROR(VLOOKUP(CONCATENATE(D3,B7,2),'Carga Presup.'!E5:V69261,6,0),"")</f>
        <v>0</v>
      </c>
      <c r="B19">
        <f>IFERROR(VLOOKUP(CONCATENATE(D3,B7,2),'Carga Presup.'!E5:V69261,7,0),"")</f>
        <v>0</v>
      </c>
      <c r="C19" s="13">
        <f>IFERROR(VLOOKUP(CONCATENATE(D3,B7,2),'Carga Presup.'!E5:V69261,12,0),"")</f>
        <v>0</v>
      </c>
      <c r="D19" s="14">
        <f>IFERROR(VLOOKUP(CONCATENATE(D3,B7,2),'Carga Presup.'!E5:V69261,13,0),"")</f>
        <v>0</v>
      </c>
      <c r="E19" s="14">
        <f t="shared" si="0"/>
        <v>0</v>
      </c>
    </row>
    <row r="20" spans="1:7" ht="18" customHeight="1" x14ac:dyDescent="0.25">
      <c r="A20" s="43" t="str">
        <f>IFERROR(VLOOKUP(CONCATENATE($D$3,$B$7,3),'Carga Presup.'!$E$5:$V$69261,6,0),"")</f>
        <v/>
      </c>
      <c r="B20" t="str">
        <f>IFERROR(VLOOKUP(CONCATENATE(D3,B7,3),'Carga Presup.'!E6:V69262,7,0),"")</f>
        <v/>
      </c>
      <c r="C20" s="13" t="str">
        <f>IFERROR(VLOOKUP(CONCATENATE(D3,B7,3),'Carga Presup.'!E5:V69261,12,0),"")</f>
        <v/>
      </c>
      <c r="D20" s="14" t="str">
        <f>IFERROR(VLOOKUP(CONCATENATE($D$3,$B$7,3),'Carga Presup.'!$E$5:$V$69261,13,0),"")</f>
        <v/>
      </c>
      <c r="E20" s="14" t="str">
        <f t="shared" si="0"/>
        <v/>
      </c>
    </row>
    <row r="21" spans="1:7" ht="18" customHeight="1" x14ac:dyDescent="0.25">
      <c r="A21" s="43" t="str">
        <f>IFERROR(VLOOKUP(CONCATENATE($D$3,$B$7,4),'Carga Presup.'!$E$5:$V$69261,6,0),"")</f>
        <v/>
      </c>
      <c r="B21" t="str">
        <f>IFERROR(VLOOKUP(CONCATENATE($D$3,$B$7,4),'Carga Presup.'!$E$5:$V$69261,7,0),"")</f>
        <v/>
      </c>
      <c r="C21" s="13" t="str">
        <f>IFERROR(VLOOKUP(CONCATENATE($D$3,$B$7,4),'Carga Presup.'!$E$5:$V$69261,12,0),"")</f>
        <v/>
      </c>
      <c r="D21" s="14" t="str">
        <f>IFERROR(VLOOKUP(CONCATENATE($D$3,$B$7,4),'Carga Presup.'!$E$5:$V$69261,13,0),"")</f>
        <v/>
      </c>
      <c r="E21" s="14" t="str">
        <f>IFERROR(D21*C21,"")</f>
        <v/>
      </c>
    </row>
    <row r="22" spans="1:7" ht="18" customHeight="1" x14ac:dyDescent="0.25">
      <c r="A22" s="43" t="str">
        <f>IFERROR(VLOOKUP(CONCATENATE($D$3,$B$7,5),'Carga Presup.'!$E$5:$V$69261,6,0),"")</f>
        <v/>
      </c>
      <c r="B22" t="str">
        <f>IFERROR(VLOOKUP(CONCATENATE($D$3,$B$7,5),'Carga Presup.'!$E$5:$V$69261,7,0),"")</f>
        <v/>
      </c>
      <c r="C22" s="13" t="str">
        <f>IFERROR(VLOOKUP(CONCATENATE($D$3,$B$7,5),'Carga Presup.'!$E$5:$V$69261,12,0),"")</f>
        <v/>
      </c>
      <c r="D22" s="14" t="str">
        <f>IFERROR(VLOOKUP(CONCATENATE($D$3,$B$7,5),'Carga Presup.'!$E$5:$V$69261,13,0),"")</f>
        <v/>
      </c>
      <c r="E22" s="14" t="str">
        <f t="shared" si="0"/>
        <v/>
      </c>
    </row>
    <row r="23" spans="1:7" ht="18" customHeight="1" x14ac:dyDescent="0.25">
      <c r="A23" s="43" t="str">
        <f>IFERROR(VLOOKUP(CONCATENATE($D$3,$B$7,6),'Carga Presup.'!$E$5:$V$69261,6,0),"")</f>
        <v/>
      </c>
      <c r="B23" t="str">
        <f>IFERROR(VLOOKUP(CONCATENATE($D$3,$B$7,6),'Carga Presup.'!$E$5:$V$69261,7,0),"")</f>
        <v/>
      </c>
      <c r="C23" s="13" t="str">
        <f>IFERROR(VLOOKUP(CONCATENATE($D$3,$B$7,6),'Carga Presup.'!$E$5:$V$69261,12,0),"")</f>
        <v/>
      </c>
      <c r="D23" s="14" t="str">
        <f>IFERROR(VLOOKUP(CONCATENATE($D$3,$B$7,6),'Carga Presup.'!$E$5:$V$69261,13,0),"")</f>
        <v/>
      </c>
      <c r="E23" s="14" t="str">
        <f t="shared" si="0"/>
        <v/>
      </c>
    </row>
    <row r="24" spans="1:7" ht="18" customHeight="1" x14ac:dyDescent="0.25">
      <c r="A24" s="43" t="str">
        <f>IFERROR(VLOOKUP(CONCATENATE($D$3,$B$7,7),'Carga Presup.'!$E$5:$V$69261,6,0),"")</f>
        <v/>
      </c>
      <c r="B24" t="str">
        <f>IFERROR(VLOOKUP(CONCATENATE($D$3,$B$7,7),'Carga Presup.'!$E$5:$V$69261,7,0),"")</f>
        <v/>
      </c>
      <c r="C24" s="13" t="str">
        <f>IFERROR(VLOOKUP(CONCATENATE($D$3,$B$7,7),'Carga Presup.'!$E$5:$V$69261,12,0),"")</f>
        <v/>
      </c>
      <c r="D24" s="14" t="str">
        <f>IFERROR(VLOOKUP(CONCATENATE($D$3,$B$7,7),'Carga Presup.'!$E$5:$V$69261,13,0),"")</f>
        <v/>
      </c>
      <c r="E24" s="14" t="str">
        <f t="shared" si="0"/>
        <v/>
      </c>
    </row>
    <row r="25" spans="1:7" ht="18" customHeight="1" x14ac:dyDescent="0.25">
      <c r="A25" s="43" t="str">
        <f>IFERROR(VLOOKUP(CONCATENATE($D$3,$B$7,8),'Carga Presup.'!$E$5:$V$69261,6,0),"")</f>
        <v/>
      </c>
      <c r="B25" t="str">
        <f>IFERROR(VLOOKUP(CONCATENATE($D$3,$B$7,8),'Carga Presup.'!$E$5:$V$69261,7,0),"")</f>
        <v/>
      </c>
      <c r="C25" s="13" t="str">
        <f>IFERROR(VLOOKUP(CONCATENATE($D$3,$B$7,8),'Carga Presup.'!$E$5:$V$69261,12,0),"")</f>
        <v/>
      </c>
      <c r="D25" s="14" t="str">
        <f>IFERROR(VLOOKUP(CONCATENATE($D$3,$B$7,8),'Carga Presup.'!$E$5:$V$69261,13,0),"")</f>
        <v/>
      </c>
      <c r="E25" s="14" t="str">
        <f t="shared" si="0"/>
        <v/>
      </c>
    </row>
    <row r="26" spans="1:7" ht="18" customHeight="1" x14ac:dyDescent="0.25">
      <c r="A26" s="43" t="str">
        <f>IFERROR(VLOOKUP(CONCATENATE($D$3,$B$7,9),'Carga Presup.'!$E$5:$V$69261,6,0),"")</f>
        <v/>
      </c>
      <c r="B26" t="str">
        <f>IFERROR(VLOOKUP(CONCATENATE($D$3,$B$7,9),'Carga Presup.'!$E$5:$V$69261,7,0),"")</f>
        <v/>
      </c>
      <c r="C26" s="13" t="str">
        <f>IFERROR(VLOOKUP(CONCATENATE($D$3,$B$7,9),'Carga Presup.'!$E$5:$V$69261,12,0),"")</f>
        <v/>
      </c>
      <c r="D26" s="14" t="str">
        <f>IFERROR(VLOOKUP(CONCATENATE($D$3,$B$7,9),'Carga Presup.'!$E$5:$V$69261,13,0),"")</f>
        <v/>
      </c>
      <c r="E26" s="14" t="str">
        <f t="shared" si="0"/>
        <v/>
      </c>
    </row>
    <row r="27" spans="1:7" ht="18" customHeight="1" x14ac:dyDescent="0.25">
      <c r="A27" s="43" t="str">
        <f>IFERROR(VLOOKUP(CONCATENATE($D$3,$B$7,10),'Carga Presup.'!$E$5:$V$69261,6,0),"")</f>
        <v/>
      </c>
      <c r="B27"/>
      <c r="C27" s="13" t="str">
        <f>IFERROR(VLOOKUP(CONCATENATE($D$3,$B$7,10),'Carga Presup.'!$E$5:$V$69261,12,0),"")</f>
        <v/>
      </c>
      <c r="D27" s="14" t="str">
        <f>IFERROR(VLOOKUP(CONCATENATE($D$3,$B$7,10),'Carga Presup.'!$E$5:$V$69261,13,0),"")</f>
        <v/>
      </c>
      <c r="E27" s="14" t="str">
        <f t="shared" si="0"/>
        <v/>
      </c>
    </row>
    <row r="28" spans="1:7" ht="18" customHeight="1" x14ac:dyDescent="0.25">
      <c r="A28" s="43"/>
      <c r="B28" t="str">
        <f>IFERROR(VLOOKUP(CONCATENATE($D$3,$B$7,11),'Carga Presup.'!$E$5:$V$69261,7,0),"")</f>
        <v/>
      </c>
      <c r="C28" s="13" t="str">
        <f>IFERROR(VLOOKUP(CONCATENATE($D$3,$B$7,11),'Carga Presup.'!$E$5:$V$69261,12,0),"")</f>
        <v/>
      </c>
      <c r="D28" s="14" t="str">
        <f>IFERROR(VLOOKUP(CONCATENATE($D$3,$B$7,11),'Carga Presup.'!$E$5:$V$69261,13,0),"")</f>
        <v/>
      </c>
      <c r="E28" s="14" t="str">
        <f t="shared" si="0"/>
        <v/>
      </c>
      <c r="G28" s="50"/>
    </row>
    <row r="29" spans="1:7" ht="18" customHeight="1" x14ac:dyDescent="0.25">
      <c r="A29" s="43"/>
      <c r="B29"/>
      <c r="C29" s="13" t="str">
        <f>IFERROR(VLOOKUP(CONCATENATE($D$3,$B$7,12),'Carga Presup.'!$E$5:$V$69261,12,0),"")</f>
        <v/>
      </c>
      <c r="D29" s="14" t="str">
        <f>IFERROR(VLOOKUP(CONCATENATE($D$3,$B$7,12),'Carga Presup.'!$E$5:$V$69261,13,0),"")</f>
        <v/>
      </c>
      <c r="E29" s="14" t="str">
        <f t="shared" si="0"/>
        <v/>
      </c>
    </row>
    <row r="30" spans="1:7" ht="18" customHeight="1" x14ac:dyDescent="0.25">
      <c r="A30" s="43" t="str">
        <f>IFERROR(VLOOKUP(CONCATENATE($D$3,$B$7,13),'Carga Presup.'!$E$5:$V$69261,6,0),"")</f>
        <v/>
      </c>
      <c r="B30" t="str">
        <f>IFERROR(VLOOKUP(CONCATENATE($D$3,$B$7,13),'Carga Presup.'!$E$5:$V$69261,7,0),"")</f>
        <v/>
      </c>
      <c r="C30" s="13" t="str">
        <f>IFERROR(VLOOKUP(CONCATENATE($D$3,$B$7,13),'Carga Presup.'!$E$5:$V$69261,12,0),"")</f>
        <v/>
      </c>
      <c r="D30" s="14" t="str">
        <f>IFERROR(VLOOKUP(CONCATENATE($D$3,$B$7,13),'Carga Presup.'!$E$5:$V$69261,13,0),"")</f>
        <v/>
      </c>
      <c r="E30" s="14" t="str">
        <f t="shared" si="0"/>
        <v/>
      </c>
    </row>
    <row r="31" spans="1:7" ht="18" customHeight="1" x14ac:dyDescent="0.25">
      <c r="A31" s="43" t="str">
        <f>IFERROR(VLOOKUP(CONCATENATE($D$3,$B$7,14),'Carga Presup.'!$E$5:$V$69261,6,0),"")</f>
        <v/>
      </c>
      <c r="B31" t="str">
        <f>IFERROR(VLOOKUP(CONCATENATE($D$3,$B$7,14),'Carga Presup.'!$E$5:$V$69261,7,0),"")</f>
        <v/>
      </c>
      <c r="C31" s="13" t="str">
        <f>IFERROR(VLOOKUP(CONCATENATE($D$3,$B$7,14),'Carga Presup.'!$E$5:$V$69261,12,0),"")</f>
        <v/>
      </c>
      <c r="D31" s="14" t="str">
        <f>IFERROR(VLOOKUP(CONCATENATE($D$3,$B$7,14),'Carga Presup.'!$E$5:$V$69261,13,0),"")</f>
        <v/>
      </c>
      <c r="E31" s="14" t="str">
        <f t="shared" si="0"/>
        <v/>
      </c>
    </row>
    <row r="32" spans="1:7" ht="18" customHeight="1" x14ac:dyDescent="0.25">
      <c r="A32" s="43" t="str">
        <f>IFERROR(VLOOKUP(CONCATENATE($D$3,$B$7,15),'Carga Presup.'!$E$5:$V$69261,6,0),"")</f>
        <v/>
      </c>
      <c r="B32" t="str">
        <f>IFERROR(VLOOKUP(CONCATENATE($D$3,$B$7,15),'Carga Presup.'!$E$5:$V$69261,7,0),"")</f>
        <v/>
      </c>
      <c r="C32" s="13" t="str">
        <f>IFERROR(VLOOKUP(CONCATENATE($D$3,$B$7,15),'Carga Presup.'!$E$5:$V$69261,12,0),"")</f>
        <v/>
      </c>
      <c r="D32" s="14" t="str">
        <f>IFERROR(VLOOKUP(CONCATENATE($D$3,$B$7,15),'Carga Presup.'!$E$5:$V$69261,13,0),"")</f>
        <v/>
      </c>
      <c r="E32" s="14" t="str">
        <f t="shared" si="0"/>
        <v/>
      </c>
    </row>
    <row r="33" spans="1:5" ht="18" customHeight="1" x14ac:dyDescent="0.25">
      <c r="A33" s="43" t="str">
        <f>IFERROR(VLOOKUP(CONCATENATE($D$3,$B$7,16),'Carga Presup.'!$E$5:$V$69261,6,0),"")</f>
        <v/>
      </c>
      <c r="B33" t="str">
        <f>IFERROR(VLOOKUP(CONCATENATE($D$3,$B$7,16),'Carga Presup.'!$E$5:$V$69261,7,0),"")</f>
        <v/>
      </c>
      <c r="C33" s="13" t="str">
        <f>IFERROR(VLOOKUP(CONCATENATE($D$3,$B$7,16),'Carga Presup.'!$E$5:$V$69261,12,0),"")</f>
        <v/>
      </c>
      <c r="D33" s="14" t="str">
        <f>IFERROR(VLOOKUP(CONCATENATE($D$3,$B$7,16),'Carga Presup.'!$E$5:$V$69261,13,0),"")</f>
        <v/>
      </c>
      <c r="E33" s="14" t="str">
        <f t="shared" si="0"/>
        <v/>
      </c>
    </row>
    <row r="34" spans="1:5" x14ac:dyDescent="0.25">
      <c r="A34" s="43" t="str">
        <f>IFERROR(VLOOKUP(CONCATENATE($D$3,$B$7,17),'Carga Presup.'!$E$5:$V$69261,6,0),"")</f>
        <v/>
      </c>
      <c r="B34" t="str">
        <f>IFERROR(VLOOKUP(CONCATENATE($D$3,$B$7,17),'Carga Presup.'!$E$5:$V$69261,7,0),"")</f>
        <v/>
      </c>
      <c r="C34" s="13" t="str">
        <f>IFERROR(VLOOKUP(CONCATENATE($D$3,$B$7,17),'Carga Presup.'!$E$5:$V$69261,12,0),"")</f>
        <v/>
      </c>
      <c r="D34" s="14" t="str">
        <f>IFERROR(VLOOKUP(CONCATENATE($D$3,$B$7,17),'Carga Presup.'!$E$5:$V$69261,13,0),"")</f>
        <v/>
      </c>
      <c r="E34" s="14" t="str">
        <f t="shared" si="0"/>
        <v/>
      </c>
    </row>
    <row r="35" spans="1:5" x14ac:dyDescent="0.25">
      <c r="B35" t="str">
        <f>IFERROR(VLOOKUP(CONCATENATE($D$3,$B$7,18),'Carga Presup.'!$E$5:$V$69261,7,0),"")</f>
        <v/>
      </c>
      <c r="C35" s="13" t="str">
        <f>IFERROR(VLOOKUP(CONCATENATE($D$3,$B$7,18),'Carga Presup.'!$E$5:$V$69261,12,0),"")</f>
        <v/>
      </c>
      <c r="D35" s="14" t="str">
        <f>IFERROR(VLOOKUP(CONCATENATE($D$3,$B$7,18),'Carga Presup.'!$E$5:$V$69261,13,0),"")</f>
        <v/>
      </c>
      <c r="E35" s="14" t="str">
        <f t="shared" si="0"/>
        <v/>
      </c>
    </row>
    <row r="36" spans="1:5" ht="4.5" customHeight="1" x14ac:dyDescent="0.25">
      <c r="A36" s="43" t="str">
        <f>IFERROR(VLOOKUP(CONCATENATE($D$3,$B$7,19),'Carga Presup.'!$E$5:$V$69261,6,0),"")</f>
        <v/>
      </c>
      <c r="B36" t="str">
        <f>IFERROR(VLOOKUP(CONCATENATE($D$3,$B$7,19),'Carga Presup.'!$E$5:$V$69261,7,0),"")</f>
        <v/>
      </c>
      <c r="C36" s="13" t="str">
        <f>IFERROR(VLOOKUP(CONCATENATE($D$3,$B$7,19),'Carga Presup.'!$E$5:$V$69261,12,0),"")</f>
        <v/>
      </c>
      <c r="D36" s="14" t="str">
        <f>IFERROR(VLOOKUP(CONCATENATE($D$3,$B$7,19),'Carga Presup.'!$E$5:$V$69261,13,0),"")</f>
        <v/>
      </c>
      <c r="E36" s="14" t="str">
        <f>IFERROR(D36*C36,"")</f>
        <v/>
      </c>
    </row>
    <row r="37" spans="1:5" ht="10.5" customHeight="1" x14ac:dyDescent="0.25">
      <c r="A37" s="43" t="str">
        <f>IFERROR(VLOOKUP(CONCATENATE($D$3,$B$7,20),'Carga Presup.'!$E$5:$V$69261,6,0),"")</f>
        <v/>
      </c>
      <c r="B37" t="str">
        <f>IFERROR(VLOOKUP(CONCATENATE($D$3,$B$7,20),'Carga Presup.'!$E$5:$V$69261,7,0),"")</f>
        <v/>
      </c>
      <c r="C37" s="13" t="str">
        <f>IFERROR(VLOOKUP(CONCATENATE($D$3,$B$7,20),'Carga Presup.'!$E$5:$V$69261,12,0),"")</f>
        <v/>
      </c>
      <c r="D37" s="14" t="str">
        <f>IFERROR(VLOOKUP(CONCATENATE($D$3,$B$7,20),'Carga Presup.'!$E$5:$V$69261,13,0),"")</f>
        <v/>
      </c>
      <c r="E37" s="14" t="str">
        <f>IFERROR(D37*C37,"")</f>
        <v/>
      </c>
    </row>
    <row r="38" spans="1:5" hidden="1" x14ac:dyDescent="0.25">
      <c r="A38" s="43" t="str">
        <f>IFERROR(VLOOKUP(CONCATENATE($D$3,$B$7,21),'Carga Presup.'!$E$5:$V$69261,6,0),"")</f>
        <v/>
      </c>
      <c r="B38" t="str">
        <f>IFERROR(VLOOKUP(CONCATENATE($D$3,$B$7,21),'Carga Presup.'!$E$5:$V$69261,7,0),"")</f>
        <v/>
      </c>
      <c r="C38" s="13" t="str">
        <f>IFERROR(VLOOKUP(CONCATENATE($D$3,$B$7,21),'Carga Presup.'!$E$5:$V$69261,12,0),"")</f>
        <v/>
      </c>
      <c r="D38" s="14" t="str">
        <f>IFERROR(VLOOKUP(CONCATENATE($D$3,$B$7,21),'Carga Presup.'!$E$5:$V$69261,13,0),"")</f>
        <v/>
      </c>
      <c r="E38" s="14" t="str">
        <f>IFERROR(D38*C38,"")</f>
        <v/>
      </c>
    </row>
    <row r="39" spans="1:5" ht="6" customHeight="1" thickBot="1" x14ac:dyDescent="0.3">
      <c r="A39" s="12"/>
      <c r="B39" s="12"/>
      <c r="C39" s="15"/>
      <c r="D39" s="12"/>
      <c r="E39" s="12"/>
    </row>
    <row r="40" spans="1:5" ht="16.5" customHeight="1" x14ac:dyDescent="0.25">
      <c r="A40" s="53"/>
      <c r="B40"/>
      <c r="C40"/>
      <c r="D40"/>
      <c r="E40"/>
    </row>
    <row r="41" spans="1:5" x14ac:dyDescent="0.25">
      <c r="A41" s="6" t="s">
        <v>609</v>
      </c>
      <c r="B41" s="16"/>
      <c r="C41" s="16"/>
      <c r="D41" s="16"/>
      <c r="E41" s="16" t="s">
        <v>19</v>
      </c>
    </row>
    <row r="42" spans="1:5" x14ac:dyDescent="0.25">
      <c r="C42" s="59"/>
      <c r="D42" s="59"/>
      <c r="E42" s="17">
        <f>SUM(E17:E39)</f>
        <v>236000</v>
      </c>
    </row>
    <row r="209" spans="1:20" x14ac:dyDescent="0.25">
      <c r="H209" s="6" t="s">
        <v>288</v>
      </c>
    </row>
    <row r="215" spans="1:20" x14ac:dyDescent="0.25">
      <c r="A215" s="6">
        <v>64</v>
      </c>
      <c r="C215" s="25">
        <v>45231</v>
      </c>
      <c r="D215" s="6" t="s">
        <v>295</v>
      </c>
      <c r="F215" s="6" t="s">
        <v>296</v>
      </c>
      <c r="G215" s="6" t="s">
        <v>297</v>
      </c>
      <c r="H215" s="6" t="s">
        <v>298</v>
      </c>
      <c r="K215" s="6" t="s">
        <v>299</v>
      </c>
      <c r="P215" s="6">
        <v>1</v>
      </c>
      <c r="Q215" s="6">
        <v>59000</v>
      </c>
      <c r="S215" s="6">
        <v>1</v>
      </c>
      <c r="T215" s="6">
        <v>41400</v>
      </c>
    </row>
    <row r="216" spans="1:20" x14ac:dyDescent="0.25">
      <c r="A216" s="6">
        <v>64</v>
      </c>
      <c r="K216" s="6" t="s">
        <v>289</v>
      </c>
      <c r="P216" s="6">
        <v>6</v>
      </c>
      <c r="Q216" s="6">
        <v>6950</v>
      </c>
    </row>
    <row r="1791" spans="13:13" x14ac:dyDescent="0.25">
      <c r="M1791" s="6" t="s">
        <v>397</v>
      </c>
    </row>
    <row r="3599" spans="28:28" x14ac:dyDescent="0.25">
      <c r="AB3599" s="6">
        <v>200000</v>
      </c>
    </row>
  </sheetData>
  <mergeCells count="4">
    <mergeCell ref="B11:E14"/>
    <mergeCell ref="A1:E1"/>
    <mergeCell ref="C42:D42"/>
    <mergeCell ref="A16:B16"/>
  </mergeCells>
  <phoneticPr fontId="8" type="noConversion"/>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9"/>
  <sheetViews>
    <sheetView zoomScaleNormal="100" zoomScalePageLayoutView="125" workbookViewId="0">
      <selection activeCell="A24" sqref="A24"/>
    </sheetView>
  </sheetViews>
  <sheetFormatPr baseColWidth="10" defaultRowHeight="15.75" x14ac:dyDescent="0.25"/>
  <cols>
    <col min="1" max="1" width="31.125" customWidth="1"/>
    <col min="2" max="2" width="25" customWidth="1"/>
    <col min="3" max="3" width="2.375" customWidth="1"/>
    <col min="4" max="5" width="28" customWidth="1"/>
  </cols>
  <sheetData>
    <row r="1" spans="1:5" ht="38.1" customHeight="1" thickBot="1" x14ac:dyDescent="0.3">
      <c r="A1" s="61" t="s">
        <v>26</v>
      </c>
      <c r="B1" s="61"/>
      <c r="D1" s="61" t="s">
        <v>30</v>
      </c>
      <c r="E1" s="61"/>
    </row>
    <row r="2" spans="1:5" ht="26.1" customHeight="1" thickTop="1" x14ac:dyDescent="0.25">
      <c r="A2" s="4" t="s">
        <v>27</v>
      </c>
      <c r="B2" s="4" t="s">
        <v>28</v>
      </c>
      <c r="D2" s="4" t="s">
        <v>31</v>
      </c>
      <c r="E2" s="4" t="s">
        <v>32</v>
      </c>
    </row>
    <row r="3" spans="1:5" ht="21" customHeight="1" x14ac:dyDescent="0.25">
      <c r="A3" t="s">
        <v>25</v>
      </c>
      <c r="B3" s="3">
        <v>0.2</v>
      </c>
      <c r="D3" t="s">
        <v>33</v>
      </c>
      <c r="E3" s="1">
        <v>4500</v>
      </c>
    </row>
    <row r="4" spans="1:5" ht="21" customHeight="1" x14ac:dyDescent="0.25">
      <c r="B4" s="5"/>
      <c r="D4" t="s">
        <v>34</v>
      </c>
      <c r="E4" s="1">
        <v>5600</v>
      </c>
    </row>
    <row r="5" spans="1:5" ht="21" customHeight="1" x14ac:dyDescent="0.25">
      <c r="B5" s="3"/>
      <c r="D5" t="s">
        <v>35</v>
      </c>
      <c r="E5" s="1">
        <v>6500</v>
      </c>
    </row>
    <row r="6" spans="1:5" ht="21" customHeight="1" x14ac:dyDescent="0.25">
      <c r="B6" s="3"/>
      <c r="D6" t="s">
        <v>36</v>
      </c>
      <c r="E6" s="1">
        <v>0</v>
      </c>
    </row>
    <row r="7" spans="1:5" ht="23.1" customHeight="1" x14ac:dyDescent="0.25">
      <c r="B7" s="3"/>
    </row>
    <row r="8" spans="1:5" ht="23.1" customHeight="1" x14ac:dyDescent="0.25">
      <c r="B8" s="3"/>
    </row>
    <row r="9" spans="1:5" x14ac:dyDescent="0.25">
      <c r="B9" s="3"/>
    </row>
  </sheetData>
  <mergeCells count="2">
    <mergeCell ref="A1:B1"/>
    <mergeCell ref="D1:E1"/>
  </mergeCells>
  <pageMargins left="0.74803149606299213" right="0.74803149606299213" top="0.98425196850393704" bottom="0.98425196850393704" header="0.51181102362204722" footer="0.5118110236220472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6"/>
  <sheetViews>
    <sheetView workbookViewId="0"/>
  </sheetViews>
  <sheetFormatPr baseColWidth="10" defaultRowHeight="15.75" x14ac:dyDescent="0.25"/>
  <cols>
    <col min="2" max="2" width="42.375" customWidth="1"/>
  </cols>
  <sheetData>
    <row r="1" spans="1:2" x14ac:dyDescent="0.25">
      <c r="A1" s="2" t="s">
        <v>20</v>
      </c>
      <c r="B1" s="2" t="s">
        <v>21</v>
      </c>
    </row>
    <row r="2" spans="1:2" x14ac:dyDescent="0.25">
      <c r="A2">
        <v>1</v>
      </c>
      <c r="B2" t="s">
        <v>22</v>
      </c>
    </row>
    <row r="3" spans="1:2" x14ac:dyDescent="0.25">
      <c r="A3">
        <v>2</v>
      </c>
      <c r="B3" t="s">
        <v>23</v>
      </c>
    </row>
    <row r="4" spans="1:2" x14ac:dyDescent="0.25">
      <c r="A4">
        <v>3</v>
      </c>
      <c r="B4" t="s">
        <v>42</v>
      </c>
    </row>
    <row r="5" spans="1:2" x14ac:dyDescent="0.25">
      <c r="A5">
        <v>4</v>
      </c>
      <c r="B5" t="s">
        <v>43</v>
      </c>
    </row>
    <row r="6" spans="1:2" x14ac:dyDescent="0.25">
      <c r="A6">
        <v>5</v>
      </c>
      <c r="B6" t="s">
        <v>45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Carga Presup.</vt:lpstr>
      <vt:lpstr>Presupuesto</vt:lpstr>
      <vt:lpstr>% recargo</vt:lpstr>
      <vt:lpstr>Base rep.</vt:lpstr>
    </vt:vector>
  </TitlesOfParts>
  <Company>usuario</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Usuario usuario</dc:creator>
  <cp:lastModifiedBy>USUARIO</cp:lastModifiedBy>
  <cp:lastPrinted>2024-12-03T22:12:05Z</cp:lastPrinted>
  <dcterms:created xsi:type="dcterms:W3CDTF">2021-11-01T11:40:56Z</dcterms:created>
  <dcterms:modified xsi:type="dcterms:W3CDTF">2024-12-04T14:24:44Z</dcterms:modified>
</cp:coreProperties>
</file>