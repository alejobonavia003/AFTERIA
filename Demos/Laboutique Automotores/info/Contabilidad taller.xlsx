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USUARIO\Dropbox\Bongiovanni - GEO\"/>
    </mc:Choice>
  </mc:AlternateContent>
  <bookViews>
    <workbookView xWindow="375" yWindow="495" windowWidth="28425" windowHeight="14355" tabRatio="601" activeTab="1"/>
  </bookViews>
  <sheets>
    <sheet name="Base Libro Banco  " sheetId="6" r:id="rId1"/>
    <sheet name="Base Libro Caja" sheetId="5" r:id="rId2"/>
    <sheet name="G. personales" sheetId="19" r:id="rId3"/>
    <sheet name="Indic 2019" sheetId="15" state="hidden" r:id="rId4"/>
    <sheet name="Resumen 2020" sheetId="18" state="hidden" r:id="rId5"/>
  </sheets>
  <definedNames>
    <definedName name="_xlnm._FilterDatabase" localSheetId="0" hidden="1">'Base Libro Banco  '!$A$2:$S$2189</definedName>
    <definedName name="_xlnm._FilterDatabase" localSheetId="1" hidden="1">'Base Libro Caja'!$A$2:$S$2062</definedName>
  </definedNames>
  <calcPr calcId="162913"/>
  <pivotCaches>
    <pivotCache cacheId="4" r:id="rId6"/>
    <pivotCache cacheId="5" r:id="rId7"/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06" i="6" l="1"/>
  <c r="C1406" i="6"/>
  <c r="B1407" i="6"/>
  <c r="C1407" i="6"/>
  <c r="B1408" i="6"/>
  <c r="C1408" i="6"/>
  <c r="B1409" i="6"/>
  <c r="C1409" i="6"/>
  <c r="B1410" i="6"/>
  <c r="C1410" i="6"/>
  <c r="B1411" i="6"/>
  <c r="C1411" i="6"/>
  <c r="B1412" i="6"/>
  <c r="C1412" i="6"/>
  <c r="B1413" i="6"/>
  <c r="C1413" i="6"/>
  <c r="B1414" i="6"/>
  <c r="C1414" i="6"/>
  <c r="B1415" i="6"/>
  <c r="C1415" i="6"/>
  <c r="B1416" i="6"/>
  <c r="C1416" i="6"/>
  <c r="B1417" i="6"/>
  <c r="C1417" i="6"/>
  <c r="B1418" i="6"/>
  <c r="C1418" i="6"/>
  <c r="B1419" i="6"/>
  <c r="C1419" i="6"/>
  <c r="B1420" i="6"/>
  <c r="C1420" i="6"/>
  <c r="B1421" i="6"/>
  <c r="C1421" i="6"/>
  <c r="B1422" i="6"/>
  <c r="C1422" i="6"/>
  <c r="B1423" i="6"/>
  <c r="C1423" i="6"/>
  <c r="B1424" i="6"/>
  <c r="C1424" i="6"/>
  <c r="B1425" i="6"/>
  <c r="C1425" i="6"/>
  <c r="B1426" i="6"/>
  <c r="C1426" i="6"/>
  <c r="B1427" i="6"/>
  <c r="C1427" i="6"/>
  <c r="B1428" i="6"/>
  <c r="C1428" i="6"/>
  <c r="B1429" i="6"/>
  <c r="C1429" i="6"/>
  <c r="B1430" i="6"/>
  <c r="C1430" i="6"/>
  <c r="B1431" i="6"/>
  <c r="C1431" i="6"/>
  <c r="B1432" i="6"/>
  <c r="C1432" i="6"/>
  <c r="B1433" i="6"/>
  <c r="C1433" i="6"/>
  <c r="B1434" i="6"/>
  <c r="C1434" i="6"/>
  <c r="B1435" i="6"/>
  <c r="C1435" i="6"/>
  <c r="B1436" i="6"/>
  <c r="C1436" i="6"/>
  <c r="B1437" i="6"/>
  <c r="C1437" i="6"/>
  <c r="B1438" i="6"/>
  <c r="C1438" i="6"/>
  <c r="B1439" i="6"/>
  <c r="C1439" i="6"/>
  <c r="B1440" i="6"/>
  <c r="C1440" i="6"/>
  <c r="B1441" i="6"/>
  <c r="C1441" i="6"/>
  <c r="B1442" i="6"/>
  <c r="C1442" i="6"/>
  <c r="B1443" i="6"/>
  <c r="C1443" i="6"/>
  <c r="B1444" i="6"/>
  <c r="C1444" i="6"/>
  <c r="B1445" i="6"/>
  <c r="C1445" i="6"/>
  <c r="B1318" i="6"/>
  <c r="C1318" i="6"/>
  <c r="B1328" i="6"/>
  <c r="C1328" i="6"/>
  <c r="B1370" i="6"/>
  <c r="C1370" i="6"/>
  <c r="B1402" i="6"/>
  <c r="C1402" i="6"/>
  <c r="B1319" i="6"/>
  <c r="C1319" i="6"/>
  <c r="B1320" i="6"/>
  <c r="C1320" i="6"/>
  <c r="B1356" i="6"/>
  <c r="C1356" i="6"/>
  <c r="B1336" i="6"/>
  <c r="C1336" i="6"/>
  <c r="B1339" i="6"/>
  <c r="C1339" i="6"/>
  <c r="B1446" i="6"/>
  <c r="C1446" i="6"/>
  <c r="B1447" i="6"/>
  <c r="C1447" i="6"/>
  <c r="B1448" i="6"/>
  <c r="C1448" i="6"/>
  <c r="B1449" i="6"/>
  <c r="C1449" i="6"/>
  <c r="B1329" i="6"/>
  <c r="C1329" i="6"/>
  <c r="B1330" i="6"/>
  <c r="C1330" i="6"/>
  <c r="B1331" i="6"/>
  <c r="C1331" i="6"/>
  <c r="B1450" i="6"/>
  <c r="C1450" i="6"/>
  <c r="B1451" i="6"/>
  <c r="C1451" i="6"/>
  <c r="B1453" i="6"/>
  <c r="C1453" i="6"/>
  <c r="B1454" i="6"/>
  <c r="C1454" i="6"/>
  <c r="B1455" i="6"/>
  <c r="C1455" i="6"/>
  <c r="B1456" i="6"/>
  <c r="C1456" i="6"/>
  <c r="B1457" i="6"/>
  <c r="C1457" i="6"/>
  <c r="B1458" i="6"/>
  <c r="C1458" i="6"/>
  <c r="B1459" i="6"/>
  <c r="C1459" i="6"/>
  <c r="B1460" i="6"/>
  <c r="C1460" i="6"/>
  <c r="B1461" i="6"/>
  <c r="C1461" i="6"/>
  <c r="B1462" i="6"/>
  <c r="C1462" i="6"/>
  <c r="B1463" i="6"/>
  <c r="C1463" i="6"/>
  <c r="B1464" i="6"/>
  <c r="C1464" i="6"/>
  <c r="B1465" i="6"/>
  <c r="C1465" i="6"/>
  <c r="B1466" i="6"/>
  <c r="C1466" i="6"/>
  <c r="B1467" i="6"/>
  <c r="C1467" i="6"/>
  <c r="B1468" i="6"/>
  <c r="C1468" i="6"/>
  <c r="B1469" i="6"/>
  <c r="C1469" i="6"/>
  <c r="B1349" i="6"/>
  <c r="C1349" i="6"/>
  <c r="B1470" i="6"/>
  <c r="C1470" i="6"/>
  <c r="B1471" i="6"/>
  <c r="C1471" i="6"/>
  <c r="B1472" i="6"/>
  <c r="C1472" i="6"/>
  <c r="B1452" i="6"/>
  <c r="C1452" i="6"/>
  <c r="B1321" i="6"/>
  <c r="C1321" i="6"/>
  <c r="B1340" i="6"/>
  <c r="C1340" i="6"/>
  <c r="B1383" i="6"/>
  <c r="C1383" i="6"/>
  <c r="B1384" i="6"/>
  <c r="C1384" i="6"/>
  <c r="B1322" i="6"/>
  <c r="C1322" i="6"/>
  <c r="B1391" i="6"/>
  <c r="C1391" i="6"/>
  <c r="B1323" i="6"/>
  <c r="C1323" i="6"/>
  <c r="B1357" i="6"/>
  <c r="C1357" i="6"/>
  <c r="B1385" i="6"/>
  <c r="C1385" i="6"/>
  <c r="B1324" i="6"/>
  <c r="C1324" i="6"/>
  <c r="B1395" i="6"/>
  <c r="C1395" i="6"/>
  <c r="B1325" i="6"/>
  <c r="C1325" i="6"/>
  <c r="B1477" i="6"/>
  <c r="C1477" i="6"/>
  <c r="B1473" i="6"/>
  <c r="C1473" i="6"/>
  <c r="B1474" i="6"/>
  <c r="C1474" i="6"/>
  <c r="B1475" i="6"/>
  <c r="C1475" i="6"/>
  <c r="B1476" i="6"/>
  <c r="C1476" i="6"/>
  <c r="B1478" i="6"/>
  <c r="C1478" i="6"/>
  <c r="B1479" i="6"/>
  <c r="C1479" i="6"/>
  <c r="B1351" i="6"/>
  <c r="C1351" i="6"/>
  <c r="B1480" i="6"/>
  <c r="C1480" i="6"/>
  <c r="B1481" i="6"/>
  <c r="C1481" i="6"/>
  <c r="B1482" i="6"/>
  <c r="C1482" i="6"/>
  <c r="B1483" i="6"/>
  <c r="C1483" i="6"/>
  <c r="B1484" i="6"/>
  <c r="C1484" i="6"/>
  <c r="B1485" i="6"/>
  <c r="C1485" i="6"/>
  <c r="B1486" i="6"/>
  <c r="C1486" i="6"/>
  <c r="B1487" i="6"/>
  <c r="C1487" i="6"/>
  <c r="B1488" i="6"/>
  <c r="C1488" i="6"/>
  <c r="B1489" i="6"/>
  <c r="C1489" i="6"/>
  <c r="B1490" i="6"/>
  <c r="C1490" i="6"/>
  <c r="B1491" i="6"/>
  <c r="C1491" i="6"/>
  <c r="B1492" i="6"/>
  <c r="C1492" i="6"/>
  <c r="B1493" i="6"/>
  <c r="C1493" i="6"/>
  <c r="B1494" i="6"/>
  <c r="C1494" i="6"/>
  <c r="B1495" i="6"/>
  <c r="C1495" i="6"/>
  <c r="B1496" i="6"/>
  <c r="C1496" i="6"/>
  <c r="B1497" i="6"/>
  <c r="C1497" i="6"/>
  <c r="B1498" i="6"/>
  <c r="C1498" i="6"/>
  <c r="B1499" i="6"/>
  <c r="C1499" i="6"/>
  <c r="B1500" i="6"/>
  <c r="C1500" i="6"/>
  <c r="B1501" i="6"/>
  <c r="C1501" i="6"/>
  <c r="B1502" i="6"/>
  <c r="C1502" i="6"/>
  <c r="B1503" i="6"/>
  <c r="C1503" i="6"/>
  <c r="B1504" i="6"/>
  <c r="C1504" i="6"/>
  <c r="B1505" i="6"/>
  <c r="C1505" i="6"/>
  <c r="B1506" i="6"/>
  <c r="C1506" i="6"/>
  <c r="B1507" i="6"/>
  <c r="C1507" i="6"/>
  <c r="B1508" i="6"/>
  <c r="C1508" i="6"/>
  <c r="B1509" i="6"/>
  <c r="C1509" i="6"/>
  <c r="B1510" i="6"/>
  <c r="C1510" i="6"/>
  <c r="B1511" i="6"/>
  <c r="C1511" i="6"/>
  <c r="B1512" i="6"/>
  <c r="C1512" i="6"/>
  <c r="B1513" i="6"/>
  <c r="C1513" i="6"/>
  <c r="B1514" i="6"/>
  <c r="C1514" i="6"/>
  <c r="B1515" i="6"/>
  <c r="C1515" i="6"/>
  <c r="B1516" i="6"/>
  <c r="C1516" i="6"/>
  <c r="B1517" i="6"/>
  <c r="C1517" i="6"/>
  <c r="B1518" i="6"/>
  <c r="C1518" i="6"/>
  <c r="B1519" i="6"/>
  <c r="C1519" i="6"/>
  <c r="B1520" i="6"/>
  <c r="C1520" i="6"/>
  <c r="B1521" i="6"/>
  <c r="C1521" i="6"/>
  <c r="B1522" i="6"/>
  <c r="C1522" i="6"/>
  <c r="B1523" i="6"/>
  <c r="C1523" i="6"/>
  <c r="B1524" i="6"/>
  <c r="C1524" i="6"/>
  <c r="B1525" i="6"/>
  <c r="C1525" i="6"/>
  <c r="B1526" i="6"/>
  <c r="C1526" i="6"/>
  <c r="B1527" i="6"/>
  <c r="C1527" i="6"/>
  <c r="B1528" i="6"/>
  <c r="C1528" i="6"/>
  <c r="B1529" i="6"/>
  <c r="C1529" i="6"/>
  <c r="B1530" i="6"/>
  <c r="C1530" i="6"/>
  <c r="B1531" i="6"/>
  <c r="C1531" i="6"/>
  <c r="B1532" i="6"/>
  <c r="C1532" i="6"/>
  <c r="B1533" i="6"/>
  <c r="C1533" i="6"/>
  <c r="B1534" i="6"/>
  <c r="C1534" i="6"/>
  <c r="B1535" i="6"/>
  <c r="C1535" i="6"/>
  <c r="B1536" i="6"/>
  <c r="C1536" i="6"/>
  <c r="B1537" i="6"/>
  <c r="C1537" i="6"/>
  <c r="B1538" i="6"/>
  <c r="C1538" i="6"/>
  <c r="B1539" i="6"/>
  <c r="C1539" i="6"/>
  <c r="B1540" i="6"/>
  <c r="C1540" i="6"/>
  <c r="B1541" i="6"/>
  <c r="C1541" i="6"/>
  <c r="B1542" i="6"/>
  <c r="C1542" i="6"/>
  <c r="B1543" i="6"/>
  <c r="C1543" i="6"/>
  <c r="B1544" i="6"/>
  <c r="C1544" i="6"/>
  <c r="B1545" i="6"/>
  <c r="C1545" i="6"/>
  <c r="B1546" i="6"/>
  <c r="C1546" i="6"/>
  <c r="B1547" i="6"/>
  <c r="C1547" i="6"/>
  <c r="B1548" i="6"/>
  <c r="C1548" i="6"/>
  <c r="B1549" i="6"/>
  <c r="C1549" i="6"/>
  <c r="B1550" i="6"/>
  <c r="C1550" i="6"/>
  <c r="B1551" i="6"/>
  <c r="C1551" i="6"/>
  <c r="B1552" i="6"/>
  <c r="C1552" i="6"/>
  <c r="B1553" i="6"/>
  <c r="C1553" i="6"/>
  <c r="B1554" i="6"/>
  <c r="C1554" i="6"/>
  <c r="B1555" i="6"/>
  <c r="C1555" i="6"/>
  <c r="B1556" i="6"/>
  <c r="C1556" i="6"/>
  <c r="B1557" i="6"/>
  <c r="C1557" i="6"/>
  <c r="B1558" i="6"/>
  <c r="C1558" i="6"/>
  <c r="B1559" i="6"/>
  <c r="C1559" i="6"/>
  <c r="B1560" i="6"/>
  <c r="C1560" i="6"/>
  <c r="B1561" i="6"/>
  <c r="C1561" i="6"/>
  <c r="B1562" i="6"/>
  <c r="C1562" i="6"/>
  <c r="B1563" i="6"/>
  <c r="C1563" i="6"/>
  <c r="B1564" i="6"/>
  <c r="C1564" i="6"/>
  <c r="B1565" i="6"/>
  <c r="C1565" i="6"/>
  <c r="B1566" i="6"/>
  <c r="C1566" i="6"/>
  <c r="B1567" i="6"/>
  <c r="C1567" i="6"/>
  <c r="B1568" i="6"/>
  <c r="C1568" i="6"/>
  <c r="B1569" i="6"/>
  <c r="C1569" i="6"/>
  <c r="B1570" i="6"/>
  <c r="C1570" i="6"/>
  <c r="B1571" i="6"/>
  <c r="C1571" i="6"/>
  <c r="B1572" i="6"/>
  <c r="C1572" i="6"/>
  <c r="B1573" i="6"/>
  <c r="C1573" i="6"/>
  <c r="B1574" i="6"/>
  <c r="C1574" i="6"/>
  <c r="B1575" i="6"/>
  <c r="C1575" i="6"/>
  <c r="B1576" i="6"/>
  <c r="C1576" i="6"/>
  <c r="B1577" i="6"/>
  <c r="C1577" i="6"/>
  <c r="B1578" i="6"/>
  <c r="C1578" i="6"/>
  <c r="B1579" i="6"/>
  <c r="C1579" i="6"/>
  <c r="B1580" i="6"/>
  <c r="C1580" i="6"/>
  <c r="B1581" i="6"/>
  <c r="C1581" i="6"/>
  <c r="B1582" i="6"/>
  <c r="C1582" i="6"/>
  <c r="B1583" i="6"/>
  <c r="C1583" i="6"/>
  <c r="B1584" i="6"/>
  <c r="C1584" i="6"/>
  <c r="B1585" i="6"/>
  <c r="C1585" i="6"/>
  <c r="B1586" i="6"/>
  <c r="C1586" i="6"/>
  <c r="B1587" i="6"/>
  <c r="C1587" i="6"/>
  <c r="B1588" i="6"/>
  <c r="C1588" i="6"/>
  <c r="B1589" i="6"/>
  <c r="C1589" i="6"/>
  <c r="B1590" i="6"/>
  <c r="C1590" i="6"/>
  <c r="B1591" i="6"/>
  <c r="C1591" i="6"/>
  <c r="B1592" i="6"/>
  <c r="C1592" i="6"/>
  <c r="B1593" i="6"/>
  <c r="C1593" i="6"/>
  <c r="B1594" i="6"/>
  <c r="C1594" i="6"/>
  <c r="B1595" i="6"/>
  <c r="C1595" i="6"/>
  <c r="B1596" i="6"/>
  <c r="C1596" i="6"/>
  <c r="B1597" i="6"/>
  <c r="C1597" i="6"/>
  <c r="B1598" i="6"/>
  <c r="C1598" i="6"/>
  <c r="B1599" i="6"/>
  <c r="C1599" i="6"/>
  <c r="B1600" i="6"/>
  <c r="C1600" i="6"/>
  <c r="B1601" i="6"/>
  <c r="C1601" i="6"/>
  <c r="B1602" i="6"/>
  <c r="C1602" i="6"/>
  <c r="B1603" i="6"/>
  <c r="C1603" i="6"/>
  <c r="B1604" i="6"/>
  <c r="C1604" i="6"/>
  <c r="B1605" i="6"/>
  <c r="C1605" i="6"/>
  <c r="B1606" i="6"/>
  <c r="C1606" i="6"/>
  <c r="B1607" i="6"/>
  <c r="C1607" i="6"/>
  <c r="B1608" i="6"/>
  <c r="C1608" i="6"/>
  <c r="B1609" i="6"/>
  <c r="C1609" i="6"/>
  <c r="B1610" i="6"/>
  <c r="C1610" i="6"/>
  <c r="B1611" i="6"/>
  <c r="C1611" i="6"/>
  <c r="B1612" i="6"/>
  <c r="C1612" i="6"/>
  <c r="B1613" i="6"/>
  <c r="C1613" i="6"/>
  <c r="B1614" i="6"/>
  <c r="C1614" i="6"/>
  <c r="B1615" i="6"/>
  <c r="C1615" i="6"/>
  <c r="B1616" i="6"/>
  <c r="C1616" i="6"/>
  <c r="B1617" i="6"/>
  <c r="C1617" i="6"/>
  <c r="B1618" i="6"/>
  <c r="C1618" i="6"/>
  <c r="B1619" i="6"/>
  <c r="C1619" i="6"/>
  <c r="B1620" i="6"/>
  <c r="C1620" i="6"/>
  <c r="B1621" i="6"/>
  <c r="C1621" i="6"/>
  <c r="B1622" i="6"/>
  <c r="C1622" i="6"/>
  <c r="B1623" i="6"/>
  <c r="C1623" i="6"/>
  <c r="B1624" i="6"/>
  <c r="C1624" i="6"/>
  <c r="B1625" i="6"/>
  <c r="C1625" i="6"/>
  <c r="B1626" i="6"/>
  <c r="C1626" i="6"/>
  <c r="B1627" i="6"/>
  <c r="C1627" i="6"/>
  <c r="B1628" i="6"/>
  <c r="C1628" i="6"/>
  <c r="B1629" i="6"/>
  <c r="C1629" i="6"/>
  <c r="B1630" i="6"/>
  <c r="C1630" i="6"/>
  <c r="B1631" i="6"/>
  <c r="C1631" i="6"/>
  <c r="B1632" i="6"/>
  <c r="C1632" i="6"/>
  <c r="B1633" i="6"/>
  <c r="C1633" i="6"/>
  <c r="B1634" i="6"/>
  <c r="C1634" i="6"/>
  <c r="B1635" i="6"/>
  <c r="C1635" i="6"/>
  <c r="B1636" i="6"/>
  <c r="C1636" i="6"/>
  <c r="B1637" i="6"/>
  <c r="C1637" i="6"/>
  <c r="B1638" i="6"/>
  <c r="C1638" i="6"/>
  <c r="B1639" i="6"/>
  <c r="C1639" i="6"/>
  <c r="B1640" i="6"/>
  <c r="C1640" i="6"/>
  <c r="B1641" i="6"/>
  <c r="C1641" i="6"/>
  <c r="B1642" i="6"/>
  <c r="C1642" i="6"/>
  <c r="B1643" i="6"/>
  <c r="C1643" i="6"/>
  <c r="B1644" i="6"/>
  <c r="C1644" i="6"/>
  <c r="B1645" i="6"/>
  <c r="C1645" i="6"/>
  <c r="B1646" i="6"/>
  <c r="C1646" i="6"/>
  <c r="B1647" i="6"/>
  <c r="C1647" i="6"/>
  <c r="B1648" i="6"/>
  <c r="C1648" i="6"/>
  <c r="B1649" i="6"/>
  <c r="C1649" i="6"/>
  <c r="B1650" i="6"/>
  <c r="C1650" i="6"/>
  <c r="B1651" i="6"/>
  <c r="C1651" i="6"/>
  <c r="B1652" i="6"/>
  <c r="C1652" i="6"/>
  <c r="B1653" i="6"/>
  <c r="C1653" i="6"/>
  <c r="B1654" i="6"/>
  <c r="C1654" i="6"/>
  <c r="B1655" i="6"/>
  <c r="C1655" i="6"/>
  <c r="B1656" i="6"/>
  <c r="C1656" i="6"/>
  <c r="B1657" i="6"/>
  <c r="C1657" i="6"/>
  <c r="B1658" i="6"/>
  <c r="C1658" i="6"/>
  <c r="B1659" i="6"/>
  <c r="C1659" i="6"/>
  <c r="B1660" i="6"/>
  <c r="C1660" i="6"/>
  <c r="B1661" i="6"/>
  <c r="C1661" i="6"/>
  <c r="B1662" i="6"/>
  <c r="C1662" i="6"/>
  <c r="B1663" i="6"/>
  <c r="C1663" i="6"/>
  <c r="B1664" i="6"/>
  <c r="C1664" i="6"/>
  <c r="B1665" i="6"/>
  <c r="C1665" i="6"/>
  <c r="B1666" i="6"/>
  <c r="C1666" i="6"/>
  <c r="B1667" i="6"/>
  <c r="C1667" i="6"/>
  <c r="B1668" i="6"/>
  <c r="C1668" i="6"/>
  <c r="B1669" i="6"/>
  <c r="C1669" i="6"/>
  <c r="B1670" i="6"/>
  <c r="C1670" i="6"/>
  <c r="B1671" i="6"/>
  <c r="C1671" i="6"/>
  <c r="B1672" i="6"/>
  <c r="C1672" i="6"/>
  <c r="B1673" i="6"/>
  <c r="C1673" i="6"/>
  <c r="B1674" i="6"/>
  <c r="C1674" i="6"/>
  <c r="B1675" i="6"/>
  <c r="C1675" i="6"/>
  <c r="B1676" i="6"/>
  <c r="C1676" i="6"/>
  <c r="B1677" i="6"/>
  <c r="C1677" i="6"/>
  <c r="B1678" i="6"/>
  <c r="C1678" i="6"/>
  <c r="B1679" i="6"/>
  <c r="C1679" i="6"/>
  <c r="B1680" i="6"/>
  <c r="C1680" i="6"/>
  <c r="B1681" i="6"/>
  <c r="C1681" i="6"/>
  <c r="B1682" i="6"/>
  <c r="C1682" i="6"/>
  <c r="B1683" i="6"/>
  <c r="C1683" i="6"/>
  <c r="B1684" i="6"/>
  <c r="C1684" i="6"/>
  <c r="B1685" i="6"/>
  <c r="C1685" i="6"/>
  <c r="B1686" i="6"/>
  <c r="C1686" i="6"/>
  <c r="B1687" i="6"/>
  <c r="C1687" i="6"/>
  <c r="B1688" i="6"/>
  <c r="C1688" i="6"/>
  <c r="B1689" i="6"/>
  <c r="C1689" i="6"/>
  <c r="B1690" i="6"/>
  <c r="C1690" i="6"/>
  <c r="B1691" i="6"/>
  <c r="C1691" i="6"/>
  <c r="B1692" i="6"/>
  <c r="C1692" i="6"/>
  <c r="B1693" i="6"/>
  <c r="C1693" i="6"/>
  <c r="B1694" i="6"/>
  <c r="C1694" i="6"/>
  <c r="B1695" i="6"/>
  <c r="C1695" i="6"/>
  <c r="B1696" i="6"/>
  <c r="C1696" i="6"/>
  <c r="B1697" i="6"/>
  <c r="C1697" i="6"/>
  <c r="B1698" i="6"/>
  <c r="C1698" i="6"/>
  <c r="B1699" i="6"/>
  <c r="C1699" i="6"/>
  <c r="B1700" i="6"/>
  <c r="C1700" i="6"/>
  <c r="B1701" i="6"/>
  <c r="C1701" i="6"/>
  <c r="B1702" i="6"/>
  <c r="C1702" i="6"/>
  <c r="B1703" i="6"/>
  <c r="C1703" i="6"/>
  <c r="B1704" i="6"/>
  <c r="C1704" i="6"/>
  <c r="B1705" i="6"/>
  <c r="C1705" i="6"/>
  <c r="B1706" i="6"/>
  <c r="C1706" i="6"/>
  <c r="B1707" i="6"/>
  <c r="C1707" i="6"/>
  <c r="B1708" i="6"/>
  <c r="C1708" i="6"/>
  <c r="B1709" i="6"/>
  <c r="C1709" i="6"/>
  <c r="B1710" i="6"/>
  <c r="C1710" i="6"/>
  <c r="B1711" i="6"/>
  <c r="C1711" i="6"/>
  <c r="B1712" i="6"/>
  <c r="C1712" i="6"/>
  <c r="B1713" i="6"/>
  <c r="C1713" i="6"/>
  <c r="B1714" i="6"/>
  <c r="C1714" i="6"/>
  <c r="B1715" i="6"/>
  <c r="C1715" i="6"/>
  <c r="B1716" i="6"/>
  <c r="C1716" i="6"/>
  <c r="B1717" i="6"/>
  <c r="C1717" i="6"/>
  <c r="B1718" i="6"/>
  <c r="C1718" i="6"/>
  <c r="B1719" i="6"/>
  <c r="C1719" i="6"/>
  <c r="B1720" i="6"/>
  <c r="C1720" i="6"/>
  <c r="B1721" i="6"/>
  <c r="C1721" i="6"/>
  <c r="B1722" i="6"/>
  <c r="C1722" i="6"/>
  <c r="B1723" i="6"/>
  <c r="C1723" i="6"/>
  <c r="B1724" i="6"/>
  <c r="C1724" i="6"/>
  <c r="B1725" i="6"/>
  <c r="C1725" i="6"/>
  <c r="B1726" i="6"/>
  <c r="C1726" i="6"/>
  <c r="B1727" i="6"/>
  <c r="C1727" i="6"/>
  <c r="B1728" i="6"/>
  <c r="C1728" i="6"/>
  <c r="B1729" i="6"/>
  <c r="C1729" i="6"/>
  <c r="B1730" i="6"/>
  <c r="C1730" i="6"/>
  <c r="B1731" i="6"/>
  <c r="C1731" i="6"/>
  <c r="B1732" i="6"/>
  <c r="C1732" i="6"/>
  <c r="B1733" i="6"/>
  <c r="C1733" i="6"/>
  <c r="B1734" i="6"/>
  <c r="C1734" i="6"/>
  <c r="B1735" i="6"/>
  <c r="C1735" i="6"/>
  <c r="B1736" i="6"/>
  <c r="C1736" i="6"/>
  <c r="B1737" i="6"/>
  <c r="C1737" i="6"/>
  <c r="B1738" i="6"/>
  <c r="C1738" i="6"/>
  <c r="B1739" i="6"/>
  <c r="C1739" i="6"/>
  <c r="B1740" i="6"/>
  <c r="C1740" i="6"/>
  <c r="B1741" i="6"/>
  <c r="C1741" i="6"/>
  <c r="B1742" i="6"/>
  <c r="C1742" i="6"/>
  <c r="B1743" i="6"/>
  <c r="C1743" i="6"/>
  <c r="B1744" i="6"/>
  <c r="C1744" i="6"/>
  <c r="B1745" i="6"/>
  <c r="C1745" i="6"/>
  <c r="B1746" i="6"/>
  <c r="C1746" i="6"/>
  <c r="B1747" i="6"/>
  <c r="C1747" i="6"/>
  <c r="B1748" i="6"/>
  <c r="C1748" i="6"/>
  <c r="B1749" i="6"/>
  <c r="C1749" i="6"/>
  <c r="B1750" i="6"/>
  <c r="C1750" i="6"/>
  <c r="B1751" i="6"/>
  <c r="C1751" i="6"/>
  <c r="B1752" i="6"/>
  <c r="C1752" i="6"/>
  <c r="B1753" i="6"/>
  <c r="C1753" i="6"/>
  <c r="B1754" i="6"/>
  <c r="C1754" i="6"/>
  <c r="B1755" i="6"/>
  <c r="C1755" i="6"/>
  <c r="B1756" i="6"/>
  <c r="C1756" i="6"/>
  <c r="B1757" i="6"/>
  <c r="C1757" i="6"/>
  <c r="B1758" i="6"/>
  <c r="C1758" i="6"/>
  <c r="B1759" i="6"/>
  <c r="C1759" i="6"/>
  <c r="B1760" i="6"/>
  <c r="C1760" i="6"/>
  <c r="B1761" i="6"/>
  <c r="C1761" i="6"/>
  <c r="B1762" i="6"/>
  <c r="C1762" i="6"/>
  <c r="B1763" i="6"/>
  <c r="C1763" i="6"/>
  <c r="B1764" i="6"/>
  <c r="C1764" i="6"/>
  <c r="B1765" i="6"/>
  <c r="C1765" i="6"/>
  <c r="B1766" i="6"/>
  <c r="C1766" i="6"/>
  <c r="B1767" i="6"/>
  <c r="C1767" i="6"/>
  <c r="B1768" i="6"/>
  <c r="C1768" i="6"/>
  <c r="B1769" i="6"/>
  <c r="C1769" i="6"/>
  <c r="B1770" i="6"/>
  <c r="C1770" i="6"/>
  <c r="B1771" i="6"/>
  <c r="C1771" i="6"/>
  <c r="B1772" i="6"/>
  <c r="C1772" i="6"/>
  <c r="B1773" i="6"/>
  <c r="C1773" i="6"/>
  <c r="B1774" i="6"/>
  <c r="C1774" i="6"/>
  <c r="B1775" i="6"/>
  <c r="C1775" i="6"/>
  <c r="B1776" i="6"/>
  <c r="C1776" i="6"/>
  <c r="B1777" i="6"/>
  <c r="C1777" i="6"/>
  <c r="B1778" i="6"/>
  <c r="C1778" i="6"/>
  <c r="B1779" i="6"/>
  <c r="C1779" i="6"/>
  <c r="B1780" i="6"/>
  <c r="C1780" i="6"/>
  <c r="B1781" i="6"/>
  <c r="C1781" i="6"/>
  <c r="B1782" i="6"/>
  <c r="C1782" i="6"/>
  <c r="B1783" i="6"/>
  <c r="C1783" i="6"/>
  <c r="B1784" i="6"/>
  <c r="C1784" i="6"/>
  <c r="B1785" i="6"/>
  <c r="C1785" i="6"/>
  <c r="B1786" i="6"/>
  <c r="C1786" i="6"/>
  <c r="B1787" i="6"/>
  <c r="C1787" i="6"/>
  <c r="B1788" i="6"/>
  <c r="C1788" i="6"/>
  <c r="B1789" i="6"/>
  <c r="C1789" i="6"/>
  <c r="B1790" i="6"/>
  <c r="C1790" i="6"/>
  <c r="B1791" i="6"/>
  <c r="C1791" i="6"/>
  <c r="B1792" i="6"/>
  <c r="C1792" i="6"/>
  <c r="B1793" i="6"/>
  <c r="C1793" i="6"/>
  <c r="B1794" i="6"/>
  <c r="C1794" i="6"/>
  <c r="B1795" i="6"/>
  <c r="C1795" i="6"/>
  <c r="B1796" i="6"/>
  <c r="C1796" i="6"/>
  <c r="B1797" i="6"/>
  <c r="C1797" i="6"/>
  <c r="B1798" i="6"/>
  <c r="C1798" i="6"/>
  <c r="B1799" i="6"/>
  <c r="C1799" i="6"/>
  <c r="B1800" i="6"/>
  <c r="C1800" i="6"/>
  <c r="B1801" i="6"/>
  <c r="C1801" i="6"/>
  <c r="B1802" i="6"/>
  <c r="C1802" i="6"/>
  <c r="B1803" i="6"/>
  <c r="C1803" i="6"/>
  <c r="B1804" i="6"/>
  <c r="C1804" i="6"/>
  <c r="B1805" i="6"/>
  <c r="C1805" i="6"/>
  <c r="B1806" i="6"/>
  <c r="C1806" i="6"/>
  <c r="B1807" i="6"/>
  <c r="C1807" i="6"/>
  <c r="B1808" i="6"/>
  <c r="C1808" i="6"/>
  <c r="B1809" i="6"/>
  <c r="C1809" i="6"/>
  <c r="B1810" i="6"/>
  <c r="C1810" i="6"/>
  <c r="B1811" i="6"/>
  <c r="C1811" i="6"/>
  <c r="B1812" i="6"/>
  <c r="C1812" i="6"/>
  <c r="B1813" i="6"/>
  <c r="C1813" i="6"/>
  <c r="B1814" i="6"/>
  <c r="C1814" i="6"/>
  <c r="B1815" i="6"/>
  <c r="C1815" i="6"/>
  <c r="B1816" i="6"/>
  <c r="C1816" i="6"/>
  <c r="B1817" i="6"/>
  <c r="C1817" i="6"/>
  <c r="B1818" i="6"/>
  <c r="C1818" i="6"/>
  <c r="B1819" i="6"/>
  <c r="C1819" i="6"/>
  <c r="B1820" i="6"/>
  <c r="C1820" i="6"/>
  <c r="B1821" i="6"/>
  <c r="C1821" i="6"/>
  <c r="B1822" i="6"/>
  <c r="C1822" i="6"/>
  <c r="B1823" i="6"/>
  <c r="C1823" i="6"/>
  <c r="B1824" i="6"/>
  <c r="C1824" i="6"/>
  <c r="B1825" i="6"/>
  <c r="C1825" i="6"/>
  <c r="B1826" i="6"/>
  <c r="C1826" i="6"/>
  <c r="B1827" i="6"/>
  <c r="C1827" i="6"/>
  <c r="B1828" i="6"/>
  <c r="C1828" i="6"/>
  <c r="B1829" i="6"/>
  <c r="C1829" i="6"/>
  <c r="B1830" i="6"/>
  <c r="C1830" i="6"/>
  <c r="B1831" i="6"/>
  <c r="C1831" i="6"/>
  <c r="B1832" i="6"/>
  <c r="C1832" i="6"/>
  <c r="B1833" i="6"/>
  <c r="C1833" i="6"/>
  <c r="B1834" i="6"/>
  <c r="C1834" i="6"/>
  <c r="B1835" i="6"/>
  <c r="C1835" i="6"/>
  <c r="B1836" i="6"/>
  <c r="C1836" i="6"/>
  <c r="B1837" i="6"/>
  <c r="C1837" i="6"/>
  <c r="B1838" i="6"/>
  <c r="C1838" i="6"/>
  <c r="B1839" i="6"/>
  <c r="C1839" i="6"/>
  <c r="B1840" i="6"/>
  <c r="C1840" i="6"/>
  <c r="B1841" i="6"/>
  <c r="C1841" i="6"/>
  <c r="B1842" i="6"/>
  <c r="C1842" i="6"/>
  <c r="B1843" i="6"/>
  <c r="C1843" i="6"/>
  <c r="B1844" i="6"/>
  <c r="C1844" i="6"/>
  <c r="B1845" i="6"/>
  <c r="C1845" i="6"/>
  <c r="B1846" i="6"/>
  <c r="C1846" i="6"/>
  <c r="B1847" i="6"/>
  <c r="C1847" i="6"/>
  <c r="B1848" i="6"/>
  <c r="C1848" i="6"/>
  <c r="B1849" i="6"/>
  <c r="C1849" i="6"/>
  <c r="B1850" i="6"/>
  <c r="C1850" i="6"/>
  <c r="B1851" i="6"/>
  <c r="C1851" i="6"/>
  <c r="B1852" i="6"/>
  <c r="C1852" i="6"/>
  <c r="B1853" i="6"/>
  <c r="C1853" i="6"/>
  <c r="B1854" i="6"/>
  <c r="C1854" i="6"/>
  <c r="B1855" i="6"/>
  <c r="C1855" i="6"/>
  <c r="B1856" i="6"/>
  <c r="C1856" i="6"/>
  <c r="B1857" i="6"/>
  <c r="C1857" i="6"/>
  <c r="B1858" i="6"/>
  <c r="C1858" i="6"/>
  <c r="B1859" i="6"/>
  <c r="C1859" i="6"/>
  <c r="B1860" i="6"/>
  <c r="C1860" i="6"/>
  <c r="B1861" i="6"/>
  <c r="C1861" i="6"/>
  <c r="B1862" i="6"/>
  <c r="C1862" i="6"/>
  <c r="B1863" i="6"/>
  <c r="C1863" i="6"/>
  <c r="B1864" i="6"/>
  <c r="C1864" i="6"/>
  <c r="B1865" i="6"/>
  <c r="C1865" i="6"/>
  <c r="B1866" i="6"/>
  <c r="C1866" i="6"/>
  <c r="B1867" i="6"/>
  <c r="C1867" i="6"/>
  <c r="B1868" i="6"/>
  <c r="C1868" i="6"/>
  <c r="B1869" i="6"/>
  <c r="C1869" i="6"/>
  <c r="B1870" i="6"/>
  <c r="C1870" i="6"/>
  <c r="B1871" i="6"/>
  <c r="C1871" i="6"/>
  <c r="B1872" i="6"/>
  <c r="C1872" i="6"/>
  <c r="B1873" i="6"/>
  <c r="C1873" i="6"/>
  <c r="B1874" i="6"/>
  <c r="C1874" i="6"/>
  <c r="B1875" i="6"/>
  <c r="C1875" i="6"/>
  <c r="B1876" i="6"/>
  <c r="C1876" i="6"/>
  <c r="B1877" i="6"/>
  <c r="C1877" i="6"/>
  <c r="B1878" i="6"/>
  <c r="C1878" i="6"/>
  <c r="B1879" i="6"/>
  <c r="C1879" i="6"/>
  <c r="B1880" i="6"/>
  <c r="C1880" i="6"/>
  <c r="B1881" i="6"/>
  <c r="C1881" i="6"/>
  <c r="B1882" i="6"/>
  <c r="C1882" i="6"/>
  <c r="B1883" i="6"/>
  <c r="C1883" i="6"/>
  <c r="B1884" i="6"/>
  <c r="C1884" i="6"/>
  <c r="B1885" i="6"/>
  <c r="C1885" i="6"/>
  <c r="B1886" i="6"/>
  <c r="C1886" i="6"/>
  <c r="B1887" i="6"/>
  <c r="C1887" i="6"/>
  <c r="B1888" i="6"/>
  <c r="C1888" i="6"/>
  <c r="B1889" i="6"/>
  <c r="C1889" i="6"/>
  <c r="B1890" i="6"/>
  <c r="C1890" i="6"/>
  <c r="B1891" i="6"/>
  <c r="C1891" i="6"/>
  <c r="B1892" i="6"/>
  <c r="C1892" i="6"/>
  <c r="B1893" i="6"/>
  <c r="C1893" i="6"/>
  <c r="B1894" i="6"/>
  <c r="C1894" i="6"/>
  <c r="B1895" i="6"/>
  <c r="C1895" i="6"/>
  <c r="B1896" i="6"/>
  <c r="C1896" i="6"/>
  <c r="B1897" i="6"/>
  <c r="C1897" i="6"/>
  <c r="B1898" i="6"/>
  <c r="C1898" i="6"/>
  <c r="B1899" i="6"/>
  <c r="C1899" i="6"/>
  <c r="B1900" i="6"/>
  <c r="C1900" i="6"/>
  <c r="B1901" i="6"/>
  <c r="C1901" i="6"/>
  <c r="B1902" i="6"/>
  <c r="C1902" i="6"/>
  <c r="B1903" i="6"/>
  <c r="C1903" i="6"/>
  <c r="B1904" i="6"/>
  <c r="C1904" i="6"/>
  <c r="B1905" i="6"/>
  <c r="C1905" i="6"/>
  <c r="B1906" i="6"/>
  <c r="C1906" i="6"/>
  <c r="B1907" i="6"/>
  <c r="C1907" i="6"/>
  <c r="B1908" i="6"/>
  <c r="C1908" i="6"/>
  <c r="B1909" i="6"/>
  <c r="C1909" i="6"/>
  <c r="B1910" i="6"/>
  <c r="C1910" i="6"/>
  <c r="B1911" i="6"/>
  <c r="C1911" i="6"/>
  <c r="B1912" i="6"/>
  <c r="C1912" i="6"/>
  <c r="B1913" i="6"/>
  <c r="C1913" i="6"/>
  <c r="B1914" i="6"/>
  <c r="C1914" i="6"/>
  <c r="B1915" i="6"/>
  <c r="C1915" i="6"/>
  <c r="B1916" i="6"/>
  <c r="C1916" i="6"/>
  <c r="B1917" i="6"/>
  <c r="C1917" i="6"/>
  <c r="B1918" i="6"/>
  <c r="C1918" i="6"/>
  <c r="B1919" i="6"/>
  <c r="C1919" i="6"/>
  <c r="B1920" i="6"/>
  <c r="C1920" i="6"/>
  <c r="B1921" i="6"/>
  <c r="C1921" i="6"/>
  <c r="B1922" i="6"/>
  <c r="C1922" i="6"/>
  <c r="B1923" i="6"/>
  <c r="C1923" i="6"/>
  <c r="B1924" i="6"/>
  <c r="C1924" i="6"/>
  <c r="B1925" i="6"/>
  <c r="C1925" i="6"/>
  <c r="B1926" i="6"/>
  <c r="C1926" i="6"/>
  <c r="B1927" i="6"/>
  <c r="C1927" i="6"/>
  <c r="B1928" i="6"/>
  <c r="C1928" i="6"/>
  <c r="B1929" i="6"/>
  <c r="C1929" i="6"/>
  <c r="B1930" i="6"/>
  <c r="C1930" i="6"/>
  <c r="B1931" i="6"/>
  <c r="C1931" i="6"/>
  <c r="B1932" i="6"/>
  <c r="C1932" i="6"/>
  <c r="B1933" i="6"/>
  <c r="C1933" i="6"/>
  <c r="B1934" i="6"/>
  <c r="C1934" i="6"/>
  <c r="B1935" i="6"/>
  <c r="C1935" i="6"/>
  <c r="B1936" i="6"/>
  <c r="C1936" i="6"/>
  <c r="B1937" i="6"/>
  <c r="C1937" i="6"/>
  <c r="B1938" i="6"/>
  <c r="C1938" i="6"/>
  <c r="B1939" i="6"/>
  <c r="C1939" i="6"/>
  <c r="B1940" i="6"/>
  <c r="C1940" i="6"/>
  <c r="B1941" i="6"/>
  <c r="C1941" i="6"/>
  <c r="B1942" i="6"/>
  <c r="C1942" i="6"/>
  <c r="B1943" i="6"/>
  <c r="C1943" i="6"/>
  <c r="B1944" i="6"/>
  <c r="C1944" i="6"/>
  <c r="B1945" i="6"/>
  <c r="C1945" i="6"/>
  <c r="B1946" i="6"/>
  <c r="C1946" i="6"/>
  <c r="B1947" i="6"/>
  <c r="C1947" i="6"/>
  <c r="B1948" i="6"/>
  <c r="C1948" i="6"/>
  <c r="B1949" i="6"/>
  <c r="C1949" i="6"/>
  <c r="B1950" i="6"/>
  <c r="C1950" i="6"/>
  <c r="B1951" i="6"/>
  <c r="C1951" i="6"/>
  <c r="B1952" i="6"/>
  <c r="C1952" i="6"/>
  <c r="B1953" i="6"/>
  <c r="C1953" i="6"/>
  <c r="B1954" i="6"/>
  <c r="C1954" i="6"/>
  <c r="B1955" i="6"/>
  <c r="C1955" i="6"/>
  <c r="B1956" i="6"/>
  <c r="C1956" i="6"/>
  <c r="B1957" i="6"/>
  <c r="C1957" i="6"/>
  <c r="B1958" i="6"/>
  <c r="C1958" i="6"/>
  <c r="B1959" i="6"/>
  <c r="C1959" i="6"/>
  <c r="B1960" i="6"/>
  <c r="C1960" i="6"/>
  <c r="B1961" i="6"/>
  <c r="C1961" i="6"/>
  <c r="B1962" i="6"/>
  <c r="C1962" i="6"/>
  <c r="B1963" i="6"/>
  <c r="C1963" i="6"/>
  <c r="B1964" i="6"/>
  <c r="C1964" i="6"/>
  <c r="B1965" i="6"/>
  <c r="C1965" i="6"/>
  <c r="B1966" i="6"/>
  <c r="C1966" i="6"/>
  <c r="B1967" i="6"/>
  <c r="C1967" i="6"/>
  <c r="B1968" i="6"/>
  <c r="C1968" i="6"/>
  <c r="B1969" i="6"/>
  <c r="C1969" i="6"/>
  <c r="B1970" i="6"/>
  <c r="C1970" i="6"/>
  <c r="B1971" i="6"/>
  <c r="C1971" i="6"/>
  <c r="B1972" i="6"/>
  <c r="C1972" i="6"/>
  <c r="B1973" i="6"/>
  <c r="C1973" i="6"/>
  <c r="B1974" i="6"/>
  <c r="C1974" i="6"/>
  <c r="B1975" i="6"/>
  <c r="C1975" i="6"/>
  <c r="B1976" i="6"/>
  <c r="C1976" i="6"/>
  <c r="B1977" i="6"/>
  <c r="C1977" i="6"/>
  <c r="B1978" i="6"/>
  <c r="C1978" i="6"/>
  <c r="B1979" i="6"/>
  <c r="C1979" i="6"/>
  <c r="B1980" i="6"/>
  <c r="C1980" i="6"/>
  <c r="B1981" i="6"/>
  <c r="C1981" i="6"/>
  <c r="B1982" i="6"/>
  <c r="C1982" i="6"/>
  <c r="B1983" i="6"/>
  <c r="C1983" i="6"/>
  <c r="B1984" i="6"/>
  <c r="C1984" i="6"/>
  <c r="B1985" i="6"/>
  <c r="C1985" i="6"/>
  <c r="B1986" i="6"/>
  <c r="C1986" i="6"/>
  <c r="B1987" i="6"/>
  <c r="C1987" i="6"/>
  <c r="B1988" i="6"/>
  <c r="C1988" i="6"/>
  <c r="B1989" i="6"/>
  <c r="C1989" i="6"/>
  <c r="B1990" i="6"/>
  <c r="C1990" i="6"/>
  <c r="B1991" i="6"/>
  <c r="C1991" i="6"/>
  <c r="B1992" i="6"/>
  <c r="C1992" i="6"/>
  <c r="B1993" i="6"/>
  <c r="C1993" i="6"/>
  <c r="B1994" i="6"/>
  <c r="C1994" i="6"/>
  <c r="B1995" i="6"/>
  <c r="C1995" i="6"/>
  <c r="B1996" i="6"/>
  <c r="C1996" i="6"/>
  <c r="B1997" i="6"/>
  <c r="C1997" i="6"/>
  <c r="B1998" i="6"/>
  <c r="C1998" i="6"/>
  <c r="B1999" i="6"/>
  <c r="C1999" i="6"/>
  <c r="B2000" i="6"/>
  <c r="C2000" i="6"/>
  <c r="B2001" i="6"/>
  <c r="C2001" i="6"/>
  <c r="B2002" i="6"/>
  <c r="C2002" i="6"/>
  <c r="B2003" i="6"/>
  <c r="C2003" i="6"/>
  <c r="B2004" i="6"/>
  <c r="C2004" i="6"/>
  <c r="B2005" i="6"/>
  <c r="C2005" i="6"/>
  <c r="B2006" i="6"/>
  <c r="C2006" i="6"/>
  <c r="B2007" i="6"/>
  <c r="C2007" i="6"/>
  <c r="B2008" i="6"/>
  <c r="C2008" i="6"/>
  <c r="B2009" i="6"/>
  <c r="C2009" i="6"/>
  <c r="B2010" i="6"/>
  <c r="C2010" i="6"/>
  <c r="B2011" i="6"/>
  <c r="C2011" i="6"/>
  <c r="B2012" i="6"/>
  <c r="C2012" i="6"/>
  <c r="B2013" i="6"/>
  <c r="C2013" i="6"/>
  <c r="B2014" i="6"/>
  <c r="C2014" i="6"/>
  <c r="B2015" i="6"/>
  <c r="C2015" i="6"/>
  <c r="B2016" i="6"/>
  <c r="C2016" i="6"/>
  <c r="B2017" i="6"/>
  <c r="C2017" i="6"/>
  <c r="B2018" i="6"/>
  <c r="C2018" i="6"/>
  <c r="B2019" i="6"/>
  <c r="C2019" i="6"/>
  <c r="B2020" i="6"/>
  <c r="C2020" i="6"/>
  <c r="B2021" i="6"/>
  <c r="C2021" i="6"/>
  <c r="B2022" i="6"/>
  <c r="C2022" i="6"/>
  <c r="B2023" i="6"/>
  <c r="C2023" i="6"/>
  <c r="B2024" i="6"/>
  <c r="C2024" i="6"/>
  <c r="B2025" i="6"/>
  <c r="C2025" i="6"/>
  <c r="B2026" i="6"/>
  <c r="C2026" i="6"/>
  <c r="B2027" i="6"/>
  <c r="C2027" i="6"/>
  <c r="B2028" i="6"/>
  <c r="C2028" i="6"/>
  <c r="B2029" i="6"/>
  <c r="C2029" i="6"/>
  <c r="B2030" i="6"/>
  <c r="C2030" i="6"/>
  <c r="B2031" i="6"/>
  <c r="C2031" i="6"/>
  <c r="B2032" i="6"/>
  <c r="C2032" i="6"/>
  <c r="B2033" i="6"/>
  <c r="C2033" i="6"/>
  <c r="B2034" i="6"/>
  <c r="C2034" i="6"/>
  <c r="B2035" i="6"/>
  <c r="C2035" i="6"/>
  <c r="B2036" i="6"/>
  <c r="C2036" i="6"/>
  <c r="B2037" i="6"/>
  <c r="C2037" i="6"/>
  <c r="B2038" i="6"/>
  <c r="C2038" i="6"/>
  <c r="B2039" i="6"/>
  <c r="C2039" i="6"/>
  <c r="B2040" i="6"/>
  <c r="C2040" i="6"/>
  <c r="B2041" i="6"/>
  <c r="C2041" i="6"/>
  <c r="B2042" i="6"/>
  <c r="C2042" i="6"/>
  <c r="B2043" i="6"/>
  <c r="C2043" i="6"/>
  <c r="B2044" i="6"/>
  <c r="C2044" i="6"/>
  <c r="B2045" i="6"/>
  <c r="C2045" i="6"/>
  <c r="B2046" i="6"/>
  <c r="C2046" i="6"/>
  <c r="B2047" i="6"/>
  <c r="C2047" i="6"/>
  <c r="B2048" i="6"/>
  <c r="C2048" i="6"/>
  <c r="B2049" i="6"/>
  <c r="C2049" i="6"/>
  <c r="B2050" i="6"/>
  <c r="C2050" i="6"/>
  <c r="B2051" i="6"/>
  <c r="C2051" i="6"/>
  <c r="B2052" i="6"/>
  <c r="C2052" i="6"/>
  <c r="B2053" i="6"/>
  <c r="C2053" i="6"/>
  <c r="B2054" i="6"/>
  <c r="C2054" i="6"/>
  <c r="B2055" i="6"/>
  <c r="C2055" i="6"/>
  <c r="B2056" i="6"/>
  <c r="C2056" i="6"/>
  <c r="B2057" i="6"/>
  <c r="C2057" i="6"/>
  <c r="B2058" i="6"/>
  <c r="C2058" i="6"/>
  <c r="B2059" i="6"/>
  <c r="C2059" i="6"/>
  <c r="B2060" i="6"/>
  <c r="C2060" i="6"/>
  <c r="B2061" i="6"/>
  <c r="C2061" i="6"/>
  <c r="B2062" i="6"/>
  <c r="C2062" i="6"/>
  <c r="B2063" i="6"/>
  <c r="C2063" i="6"/>
  <c r="B2064" i="6"/>
  <c r="C2064" i="6"/>
  <c r="B2065" i="6"/>
  <c r="C2065" i="6"/>
  <c r="B2066" i="6"/>
  <c r="C2066" i="6"/>
  <c r="B2067" i="6"/>
  <c r="C2067" i="6"/>
  <c r="B2068" i="6"/>
  <c r="C2068" i="6"/>
  <c r="B2069" i="6"/>
  <c r="C2069" i="6"/>
  <c r="B2070" i="6"/>
  <c r="C2070" i="6"/>
  <c r="B2071" i="6"/>
  <c r="C2071" i="6"/>
  <c r="B2072" i="6"/>
  <c r="C2072" i="6"/>
  <c r="B2073" i="6"/>
  <c r="C2073" i="6"/>
  <c r="B2074" i="6"/>
  <c r="C2074" i="6"/>
  <c r="B2075" i="6"/>
  <c r="C2075" i="6"/>
  <c r="B2076" i="6"/>
  <c r="C2076" i="6"/>
  <c r="B2077" i="6"/>
  <c r="C2077" i="6"/>
  <c r="B2078" i="6"/>
  <c r="C2078" i="6"/>
  <c r="B2079" i="6"/>
  <c r="C2079" i="6"/>
  <c r="B2080" i="6"/>
  <c r="C2080" i="6"/>
  <c r="B2081" i="6"/>
  <c r="C2081" i="6"/>
  <c r="B2082" i="6"/>
  <c r="C2082" i="6"/>
  <c r="B2083" i="6"/>
  <c r="C2083" i="6"/>
  <c r="B2084" i="6"/>
  <c r="C2084" i="6"/>
  <c r="B2085" i="6"/>
  <c r="C2085" i="6"/>
  <c r="B2086" i="6"/>
  <c r="C2086" i="6"/>
  <c r="B2087" i="6"/>
  <c r="C2087" i="6"/>
  <c r="B2088" i="6"/>
  <c r="C2088" i="6"/>
  <c r="B2089" i="6"/>
  <c r="C2089" i="6"/>
  <c r="B2090" i="6"/>
  <c r="C2090" i="6"/>
  <c r="B2091" i="6"/>
  <c r="C2091" i="6"/>
  <c r="B2092" i="6"/>
  <c r="C2092" i="6"/>
  <c r="B2093" i="6"/>
  <c r="C2093" i="6"/>
  <c r="B2094" i="6"/>
  <c r="C2094" i="6"/>
  <c r="B2095" i="6"/>
  <c r="C2095" i="6"/>
  <c r="B2096" i="6"/>
  <c r="C2096" i="6"/>
  <c r="B2097" i="6"/>
  <c r="C2097" i="6"/>
  <c r="B2098" i="6"/>
  <c r="C2098" i="6"/>
  <c r="B2099" i="6"/>
  <c r="C2099" i="6"/>
  <c r="B2100" i="6"/>
  <c r="C2100" i="6"/>
  <c r="B2101" i="6"/>
  <c r="C2101" i="6"/>
  <c r="B2102" i="6"/>
  <c r="C2102" i="6"/>
  <c r="B2103" i="6"/>
  <c r="C2103" i="6"/>
  <c r="B2104" i="6"/>
  <c r="C2104" i="6"/>
  <c r="B2105" i="6"/>
  <c r="C2105" i="6"/>
  <c r="B2106" i="6"/>
  <c r="C2106" i="6"/>
  <c r="B2107" i="6"/>
  <c r="C2107" i="6"/>
  <c r="B2108" i="6"/>
  <c r="C2108" i="6"/>
  <c r="B2109" i="6"/>
  <c r="C2109" i="6"/>
  <c r="B2110" i="6"/>
  <c r="C2110" i="6"/>
  <c r="B2111" i="6"/>
  <c r="C2111" i="6"/>
  <c r="B2112" i="6"/>
  <c r="C2112" i="6"/>
  <c r="B2113" i="6"/>
  <c r="C2113" i="6"/>
  <c r="B2114" i="6"/>
  <c r="C2114" i="6"/>
  <c r="B2115" i="6"/>
  <c r="C2115" i="6"/>
  <c r="B2116" i="6"/>
  <c r="C2116" i="6"/>
  <c r="B2117" i="6"/>
  <c r="C2117" i="6"/>
  <c r="B2118" i="6"/>
  <c r="C2118" i="6"/>
  <c r="B2119" i="6"/>
  <c r="C2119" i="6"/>
  <c r="B2120" i="6"/>
  <c r="C2120" i="6"/>
  <c r="B2121" i="6"/>
  <c r="C2121" i="6"/>
  <c r="B2122" i="6"/>
  <c r="C2122" i="6"/>
  <c r="B2123" i="6"/>
  <c r="C2123" i="6"/>
  <c r="B2124" i="6"/>
  <c r="C2124" i="6"/>
  <c r="B2125" i="6"/>
  <c r="C2125" i="6"/>
  <c r="B2126" i="6"/>
  <c r="C2126" i="6"/>
  <c r="B2127" i="6"/>
  <c r="C2127" i="6"/>
  <c r="B2128" i="6"/>
  <c r="C2128" i="6"/>
  <c r="B2129" i="6"/>
  <c r="C2129" i="6"/>
  <c r="B2130" i="6"/>
  <c r="C2130" i="6"/>
  <c r="B2131" i="6"/>
  <c r="C2131" i="6"/>
  <c r="B2132" i="6"/>
  <c r="C2132" i="6"/>
  <c r="B2133" i="6"/>
  <c r="C2133" i="6"/>
  <c r="B2134" i="6"/>
  <c r="C2134" i="6"/>
  <c r="B2135" i="6"/>
  <c r="C2135" i="6"/>
  <c r="B2136" i="6"/>
  <c r="C2136" i="6"/>
  <c r="B2137" i="6"/>
  <c r="C2137" i="6"/>
  <c r="B2138" i="6"/>
  <c r="C2138" i="6"/>
  <c r="B2139" i="6"/>
  <c r="C2139" i="6"/>
  <c r="B2140" i="6"/>
  <c r="C2140" i="6"/>
  <c r="B2141" i="6"/>
  <c r="C2141" i="6"/>
  <c r="B2142" i="6"/>
  <c r="C2142" i="6"/>
  <c r="B2143" i="6"/>
  <c r="C2143" i="6"/>
  <c r="B2144" i="6"/>
  <c r="C2144" i="6"/>
  <c r="B2145" i="6"/>
  <c r="C2145" i="6"/>
  <c r="B2146" i="6"/>
  <c r="C2146" i="6"/>
  <c r="B2147" i="6"/>
  <c r="C2147" i="6"/>
  <c r="B2148" i="6"/>
  <c r="C2148" i="6"/>
  <c r="B2149" i="6"/>
  <c r="C2149" i="6"/>
  <c r="B2150" i="6"/>
  <c r="C2150" i="6"/>
  <c r="B2151" i="6"/>
  <c r="C2151" i="6"/>
  <c r="B2152" i="6"/>
  <c r="C2152" i="6"/>
  <c r="B2153" i="6"/>
  <c r="C2153" i="6"/>
  <c r="B2154" i="6"/>
  <c r="C2154" i="6"/>
  <c r="B2155" i="6"/>
  <c r="C2155" i="6"/>
  <c r="B2156" i="6"/>
  <c r="C2156" i="6"/>
  <c r="B2157" i="6"/>
  <c r="C2157" i="6"/>
  <c r="B2158" i="6"/>
  <c r="C2158" i="6"/>
  <c r="B2159" i="6"/>
  <c r="C2159" i="6"/>
  <c r="B2160" i="6"/>
  <c r="C2160" i="6"/>
  <c r="B2161" i="6"/>
  <c r="C2161" i="6"/>
  <c r="B2162" i="6"/>
  <c r="C2162" i="6"/>
  <c r="B2163" i="6"/>
  <c r="C2163" i="6"/>
  <c r="B2164" i="6"/>
  <c r="C2164" i="6"/>
  <c r="B2165" i="6"/>
  <c r="C2165" i="6"/>
  <c r="B2166" i="6"/>
  <c r="C2166" i="6"/>
  <c r="B2167" i="6"/>
  <c r="C2167" i="6"/>
  <c r="B2168" i="6"/>
  <c r="C2168" i="6"/>
  <c r="B2169" i="6"/>
  <c r="C2169" i="6"/>
  <c r="B2170" i="6"/>
  <c r="C2170" i="6"/>
  <c r="B2171" i="6"/>
  <c r="C2171" i="6"/>
  <c r="B2172" i="6"/>
  <c r="C2172" i="6"/>
  <c r="B2173" i="6"/>
  <c r="C2173" i="6"/>
  <c r="B2174" i="6"/>
  <c r="C2174" i="6"/>
  <c r="B2175" i="6"/>
  <c r="C2175" i="6"/>
  <c r="B2176" i="6"/>
  <c r="C2176" i="6"/>
  <c r="B2177" i="6"/>
  <c r="C2177" i="6"/>
  <c r="B2178" i="6"/>
  <c r="C2178" i="6"/>
  <c r="B2179" i="6"/>
  <c r="C2179" i="6"/>
  <c r="B2180" i="6"/>
  <c r="C2180" i="6"/>
  <c r="B2181" i="6"/>
  <c r="C2181" i="6"/>
  <c r="B2182" i="6"/>
  <c r="C2182" i="6"/>
  <c r="B2183" i="6"/>
  <c r="C2183" i="6"/>
  <c r="B2184" i="6"/>
  <c r="C2184" i="6"/>
  <c r="B2185" i="6"/>
  <c r="C2185" i="6"/>
  <c r="B2186" i="6"/>
  <c r="C2186" i="6"/>
  <c r="B2187" i="6"/>
  <c r="C2187" i="6"/>
  <c r="B2188" i="6"/>
  <c r="C2188" i="6"/>
  <c r="B2189" i="6"/>
  <c r="C2189" i="6"/>
  <c r="B1476" i="5" l="1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475" i="5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9" i="6"/>
  <c r="B1017" i="6"/>
  <c r="B1018" i="6"/>
  <c r="B1020" i="6"/>
  <c r="B1022" i="6"/>
  <c r="B1023" i="6"/>
  <c r="B1024" i="6"/>
  <c r="B1025" i="6"/>
  <c r="B1026" i="6"/>
  <c r="B1028" i="6"/>
  <c r="B1027" i="6"/>
  <c r="B1029" i="6"/>
  <c r="B1030" i="6"/>
  <c r="B1031" i="6"/>
  <c r="B1032" i="6"/>
  <c r="B1033" i="6"/>
  <c r="B1034" i="6"/>
  <c r="B1035" i="6"/>
  <c r="B1037" i="6"/>
  <c r="B1038" i="6"/>
  <c r="B1039" i="6"/>
  <c r="B1040" i="6"/>
  <c r="B1042" i="6"/>
  <c r="B1043" i="6"/>
  <c r="B1045" i="6"/>
  <c r="B1046" i="6"/>
  <c r="B1047" i="6"/>
  <c r="B1048" i="6"/>
  <c r="B486" i="6"/>
  <c r="B487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955" i="6"/>
  <c r="B1065" i="6"/>
  <c r="B1066" i="6"/>
  <c r="B1067" i="6"/>
  <c r="B1068" i="6"/>
  <c r="B1069" i="6"/>
  <c r="B1070" i="6"/>
  <c r="B1072" i="6"/>
  <c r="B1075" i="6"/>
  <c r="B1073" i="6"/>
  <c r="B1076" i="6"/>
  <c r="B1077" i="6"/>
  <c r="B1078" i="6"/>
  <c r="B1079" i="6"/>
  <c r="B1071" i="6"/>
  <c r="B1080" i="6"/>
  <c r="B1081" i="6"/>
  <c r="B1082" i="6"/>
  <c r="B1083" i="6"/>
  <c r="B1084" i="6"/>
  <c r="B1086" i="6"/>
  <c r="B1087" i="6"/>
  <c r="B1088" i="6"/>
  <c r="B1089" i="6"/>
  <c r="B1090" i="6"/>
  <c r="B1091" i="6"/>
  <c r="B1092" i="6"/>
  <c r="B1093" i="6"/>
  <c r="B1094" i="6"/>
  <c r="B1095" i="6"/>
  <c r="B1098" i="6"/>
  <c r="B1096" i="6"/>
  <c r="B1085" i="6"/>
  <c r="B1099" i="6"/>
  <c r="B1100" i="6"/>
  <c r="B1101" i="6"/>
  <c r="B1102" i="6"/>
  <c r="B1103" i="6"/>
  <c r="B1104" i="6"/>
  <c r="B1105" i="6"/>
  <c r="B1106" i="6"/>
  <c r="B1107" i="6"/>
  <c r="B1108" i="6"/>
  <c r="B1110" i="6"/>
  <c r="B1111" i="6"/>
  <c r="B1021" i="6"/>
  <c r="B1041" i="6"/>
  <c r="B1036" i="6"/>
  <c r="B1074" i="6"/>
  <c r="B1109" i="6"/>
  <c r="B1112" i="6"/>
  <c r="B1113" i="6"/>
  <c r="B1114" i="6"/>
  <c r="B1044" i="6"/>
  <c r="B1097" i="6"/>
  <c r="B1115" i="6"/>
  <c r="B1117" i="6"/>
  <c r="B1118" i="6"/>
  <c r="B1119" i="6"/>
  <c r="B1120" i="6"/>
  <c r="B1126" i="6"/>
  <c r="B1127" i="6"/>
  <c r="B1121" i="6"/>
  <c r="B1122" i="6"/>
  <c r="B1123" i="6"/>
  <c r="B1128" i="6"/>
  <c r="B1129" i="6"/>
  <c r="B1130" i="6"/>
  <c r="B1132" i="6"/>
  <c r="B1133" i="6"/>
  <c r="B1134" i="6"/>
  <c r="B1137" i="6"/>
  <c r="B1138" i="6"/>
  <c r="B1139" i="6"/>
  <c r="B1140" i="6"/>
  <c r="B1141" i="6"/>
  <c r="B1144" i="6"/>
  <c r="B1135" i="6"/>
  <c r="B1145" i="6"/>
  <c r="B1146" i="6"/>
  <c r="B1142" i="6"/>
  <c r="B1149" i="6"/>
  <c r="B1150" i="6"/>
  <c r="B1131" i="6"/>
  <c r="B1151" i="6"/>
  <c r="B1155" i="6"/>
  <c r="B1153" i="6"/>
  <c r="B1156" i="6"/>
  <c r="B1157" i="6"/>
  <c r="B1158" i="6"/>
  <c r="B1160" i="6"/>
  <c r="B1161" i="6"/>
  <c r="B1162" i="6"/>
  <c r="B1167" i="6"/>
  <c r="B1163" i="6"/>
  <c r="B1168" i="6"/>
  <c r="B1164" i="6"/>
  <c r="B1170" i="6"/>
  <c r="B1169" i="6"/>
  <c r="B1171" i="6"/>
  <c r="B1172" i="6"/>
  <c r="B1173" i="6"/>
  <c r="B1174" i="6"/>
  <c r="B1175" i="6"/>
  <c r="B1176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65" i="6"/>
  <c r="B1200" i="6"/>
  <c r="B1197" i="6"/>
  <c r="B1198" i="6"/>
  <c r="B1199" i="6"/>
  <c r="B1201" i="6"/>
  <c r="B1202" i="6"/>
  <c r="B1203" i="6"/>
  <c r="B1204" i="6"/>
  <c r="B1205" i="6"/>
  <c r="B1196" i="6"/>
  <c r="B1206" i="6"/>
  <c r="B1207" i="6"/>
  <c r="B1166" i="6"/>
  <c r="B1116" i="6"/>
  <c r="B1208" i="6"/>
  <c r="B1209" i="6"/>
  <c r="B1159" i="6"/>
  <c r="B1210" i="6"/>
  <c r="B1212" i="6"/>
  <c r="B1211" i="6"/>
  <c r="B1213" i="6"/>
  <c r="B1214" i="6"/>
  <c r="B1215" i="6"/>
  <c r="B1216" i="6"/>
  <c r="B1217" i="6"/>
  <c r="B1218" i="6"/>
  <c r="B1219" i="6"/>
  <c r="B1225" i="6"/>
  <c r="B1226" i="6"/>
  <c r="B1227" i="6"/>
  <c r="B1229" i="6"/>
  <c r="B1230" i="6"/>
  <c r="B1231" i="6"/>
  <c r="B1232" i="6"/>
  <c r="B1233" i="6"/>
  <c r="B1235" i="6"/>
  <c r="B1236" i="6"/>
  <c r="B1237" i="6"/>
  <c r="B1238" i="6"/>
  <c r="B1241" i="6"/>
  <c r="B1242" i="6"/>
  <c r="B1243" i="6"/>
  <c r="B1220" i="6"/>
  <c r="B1221" i="6"/>
  <c r="B1222" i="6"/>
  <c r="B1152" i="6"/>
  <c r="B1177" i="6"/>
  <c r="B1154" i="6"/>
  <c r="B1147" i="6"/>
  <c r="B1124" i="6"/>
  <c r="B1125" i="6"/>
  <c r="B1148" i="6"/>
  <c r="B1136" i="6"/>
  <c r="B1143" i="6"/>
  <c r="B1239" i="6"/>
  <c r="B1240" i="6"/>
  <c r="B1251" i="6"/>
  <c r="B1252" i="6"/>
  <c r="B1253" i="6"/>
  <c r="B1254" i="6"/>
  <c r="B1256" i="6"/>
  <c r="B1259" i="6"/>
  <c r="B1260" i="6"/>
  <c r="B1261" i="6"/>
  <c r="B1262" i="6"/>
  <c r="B1263" i="6"/>
  <c r="B1264" i="6"/>
  <c r="B1246" i="6"/>
  <c r="B1267" i="6"/>
  <c r="B1268" i="6"/>
  <c r="B1265" i="6"/>
  <c r="B1269" i="6"/>
  <c r="B1270" i="6"/>
  <c r="B1271" i="6"/>
  <c r="B1273" i="6"/>
  <c r="B1272" i="6"/>
  <c r="B1274" i="6"/>
  <c r="B1277" i="6"/>
  <c r="B1278" i="6"/>
  <c r="B1279" i="6"/>
  <c r="B1280" i="6"/>
  <c r="B1281" i="6"/>
  <c r="B1282" i="6"/>
  <c r="B1283" i="6"/>
  <c r="B1284" i="6"/>
  <c r="B1285" i="6"/>
  <c r="B1286" i="6"/>
  <c r="B1288" i="6"/>
  <c r="B1289" i="6"/>
  <c r="B1290" i="6"/>
  <c r="B1291" i="6"/>
  <c r="B1247" i="6"/>
  <c r="B1248" i="6"/>
  <c r="B1249" i="6"/>
  <c r="B1292" i="6"/>
  <c r="B1257" i="6"/>
  <c r="B1294" i="6"/>
  <c r="B1295" i="6"/>
  <c r="B1297" i="6"/>
  <c r="B1298" i="6"/>
  <c r="B1293" i="6"/>
  <c r="B1287" i="6"/>
  <c r="B1299" i="6"/>
  <c r="B1300" i="6"/>
  <c r="B1301" i="6"/>
  <c r="B1302" i="6"/>
  <c r="B1303" i="6"/>
  <c r="B1304" i="6"/>
  <c r="B1305" i="6"/>
  <c r="B1310" i="6"/>
  <c r="B1311" i="6"/>
  <c r="B1312" i="6"/>
  <c r="B1313" i="6"/>
  <c r="B1314" i="6"/>
  <c r="B1315" i="6"/>
  <c r="B1316" i="6"/>
  <c r="B1317" i="6"/>
  <c r="B1326" i="6"/>
  <c r="B1332" i="6"/>
  <c r="B1333" i="6"/>
  <c r="B1334" i="6"/>
  <c r="B1335" i="6"/>
  <c r="B1338" i="6"/>
  <c r="B1306" i="6"/>
  <c r="B1337" i="6"/>
  <c r="B1341" i="6"/>
  <c r="B1342" i="6"/>
  <c r="B1327" i="6"/>
  <c r="B1343" i="6"/>
  <c r="B1344" i="6"/>
  <c r="B1345" i="6"/>
  <c r="B1346" i="6"/>
  <c r="B1266" i="6"/>
  <c r="B1258" i="6"/>
  <c r="B1244" i="6"/>
  <c r="B1245" i="6"/>
  <c r="B1250" i="6"/>
  <c r="B1307" i="6"/>
  <c r="B1308" i="6"/>
  <c r="B1234" i="6"/>
  <c r="B1275" i="6"/>
  <c r="B1309" i="6"/>
  <c r="B1347" i="6"/>
  <c r="B1348" i="6"/>
  <c r="B1255" i="6"/>
  <c r="B1296" i="6"/>
  <c r="B1228" i="6"/>
  <c r="B1223" i="6"/>
  <c r="B1350" i="6"/>
  <c r="B1352" i="6"/>
  <c r="B1353" i="6"/>
  <c r="B1354" i="6"/>
  <c r="B1358" i="6"/>
  <c r="B1355" i="6"/>
  <c r="B1359" i="6"/>
  <c r="B1360" i="6"/>
  <c r="B1361" i="6"/>
  <c r="B1362" i="6"/>
  <c r="B1363" i="6"/>
  <c r="B1364" i="6"/>
  <c r="B1365" i="6"/>
  <c r="B1366" i="6"/>
  <c r="B1367" i="6"/>
  <c r="B1368" i="6"/>
  <c r="B1369" i="6"/>
  <c r="B1371" i="6"/>
  <c r="B1372" i="6"/>
  <c r="B1373" i="6"/>
  <c r="B1374" i="6"/>
  <c r="B1375" i="6"/>
  <c r="B1376" i="6"/>
  <c r="B1377" i="6"/>
  <c r="B1378" i="6"/>
  <c r="B1379" i="6"/>
  <c r="B1380" i="6"/>
  <c r="B1276" i="6"/>
  <c r="B1224" i="6"/>
  <c r="B1381" i="6"/>
  <c r="B1382" i="6"/>
  <c r="B1386" i="6"/>
  <c r="B1387" i="6"/>
  <c r="B1388" i="6"/>
  <c r="B1389" i="6"/>
  <c r="B1390" i="6"/>
  <c r="B1393" i="6"/>
  <c r="B1394" i="6"/>
  <c r="B1392" i="6"/>
  <c r="B1396" i="6"/>
  <c r="B1397" i="6"/>
  <c r="B1398" i="6"/>
  <c r="B1399" i="6"/>
  <c r="B1400" i="6"/>
  <c r="B1401" i="6"/>
  <c r="B1403" i="6"/>
  <c r="B1404" i="6"/>
  <c r="B1405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9" i="6"/>
  <c r="C1017" i="6"/>
  <c r="C1018" i="6"/>
  <c r="C1020" i="6"/>
  <c r="C1022" i="6"/>
  <c r="C1023" i="6"/>
  <c r="C1024" i="6"/>
  <c r="C1025" i="6"/>
  <c r="C1026" i="6"/>
  <c r="C1028" i="6"/>
  <c r="C1027" i="6"/>
  <c r="C1029" i="6"/>
  <c r="C1030" i="6"/>
  <c r="C1031" i="6"/>
  <c r="C1032" i="6"/>
  <c r="C1033" i="6"/>
  <c r="C1034" i="6"/>
  <c r="C1035" i="6"/>
  <c r="C1037" i="6"/>
  <c r="C1038" i="6"/>
  <c r="C1039" i="6"/>
  <c r="C1040" i="6"/>
  <c r="C1042" i="6"/>
  <c r="C1043" i="6"/>
  <c r="C1045" i="6"/>
  <c r="C1046" i="6"/>
  <c r="C1047" i="6"/>
  <c r="C1048" i="6"/>
  <c r="C486" i="6"/>
  <c r="C487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955" i="6"/>
  <c r="C1065" i="6"/>
  <c r="C1066" i="6"/>
  <c r="C1067" i="6"/>
  <c r="C1068" i="6"/>
  <c r="C1069" i="6"/>
  <c r="C1070" i="6"/>
  <c r="C1072" i="6"/>
  <c r="C1075" i="6"/>
  <c r="C1073" i="6"/>
  <c r="C1076" i="6"/>
  <c r="C1077" i="6"/>
  <c r="C1078" i="6"/>
  <c r="C1079" i="6"/>
  <c r="C1071" i="6"/>
  <c r="C1080" i="6"/>
  <c r="C1081" i="6"/>
  <c r="C1082" i="6"/>
  <c r="C1083" i="6"/>
  <c r="C1084" i="6"/>
  <c r="C1086" i="6"/>
  <c r="C1087" i="6"/>
  <c r="C1088" i="6"/>
  <c r="C1089" i="6"/>
  <c r="C1090" i="6"/>
  <c r="C1091" i="6"/>
  <c r="C1092" i="6"/>
  <c r="C1093" i="6"/>
  <c r="C1094" i="6"/>
  <c r="C1095" i="6"/>
  <c r="C1098" i="6"/>
  <c r="C1096" i="6"/>
  <c r="C1085" i="6"/>
  <c r="C1099" i="6"/>
  <c r="C1100" i="6"/>
  <c r="C1101" i="6"/>
  <c r="C1102" i="6"/>
  <c r="C1103" i="6"/>
  <c r="C1104" i="6"/>
  <c r="C1105" i="6"/>
  <c r="C1106" i="6"/>
  <c r="C1107" i="6"/>
  <c r="C1108" i="6"/>
  <c r="C1110" i="6"/>
  <c r="C1111" i="6"/>
  <c r="C1021" i="6"/>
  <c r="C1041" i="6"/>
  <c r="C1036" i="6"/>
  <c r="C1074" i="6"/>
  <c r="C1109" i="6"/>
  <c r="C1112" i="6"/>
  <c r="C1113" i="6"/>
  <c r="C1114" i="6"/>
  <c r="C1044" i="6"/>
  <c r="C1097" i="6"/>
  <c r="C1115" i="6"/>
  <c r="C1117" i="6"/>
  <c r="C1118" i="6"/>
  <c r="C1119" i="6"/>
  <c r="C1120" i="6"/>
  <c r="C1126" i="6"/>
  <c r="C1127" i="6"/>
  <c r="C1121" i="6"/>
  <c r="C1122" i="6"/>
  <c r="C1123" i="6"/>
  <c r="C1128" i="6"/>
  <c r="C1129" i="6"/>
  <c r="C1130" i="6"/>
  <c r="C1132" i="6"/>
  <c r="C1133" i="6"/>
  <c r="C1134" i="6"/>
  <c r="C1137" i="6"/>
  <c r="C1138" i="6"/>
  <c r="C1139" i="6"/>
  <c r="C1140" i="6"/>
  <c r="C1141" i="6"/>
  <c r="C1144" i="6"/>
  <c r="C1135" i="6"/>
  <c r="C1145" i="6"/>
  <c r="C1146" i="6"/>
  <c r="C1142" i="6"/>
  <c r="C1149" i="6"/>
  <c r="C1150" i="6"/>
  <c r="C1131" i="6"/>
  <c r="C1151" i="6"/>
  <c r="C1155" i="6"/>
  <c r="C1153" i="6"/>
  <c r="C1156" i="6"/>
  <c r="C1157" i="6"/>
  <c r="C1158" i="6"/>
  <c r="C1160" i="6"/>
  <c r="C1161" i="6"/>
  <c r="C1162" i="6"/>
  <c r="C1167" i="6"/>
  <c r="C1163" i="6"/>
  <c r="C1168" i="6"/>
  <c r="C1164" i="6"/>
  <c r="C1170" i="6"/>
  <c r="C1169" i="6"/>
  <c r="C1171" i="6"/>
  <c r="C1172" i="6"/>
  <c r="C1173" i="6"/>
  <c r="C1174" i="6"/>
  <c r="C1175" i="6"/>
  <c r="C1176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65" i="6"/>
  <c r="C1200" i="6"/>
  <c r="C1197" i="6"/>
  <c r="C1198" i="6"/>
  <c r="C1199" i="6"/>
  <c r="C1201" i="6"/>
  <c r="C1202" i="6"/>
  <c r="C1203" i="6"/>
  <c r="C1204" i="6"/>
  <c r="C1205" i="6"/>
  <c r="C1196" i="6"/>
  <c r="C1206" i="6"/>
  <c r="C1207" i="6"/>
  <c r="C1166" i="6"/>
  <c r="C1116" i="6"/>
  <c r="C1208" i="6"/>
  <c r="C1209" i="6"/>
  <c r="C1159" i="6"/>
  <c r="C1210" i="6"/>
  <c r="C1212" i="6"/>
  <c r="C1211" i="6"/>
  <c r="C1213" i="6"/>
  <c r="C1214" i="6"/>
  <c r="C1215" i="6"/>
  <c r="C1216" i="6"/>
  <c r="C1217" i="6"/>
  <c r="C1218" i="6"/>
  <c r="C1219" i="6"/>
  <c r="C1225" i="6"/>
  <c r="C1226" i="6"/>
  <c r="C1227" i="6"/>
  <c r="C1229" i="6"/>
  <c r="C1230" i="6"/>
  <c r="C1231" i="6"/>
  <c r="C1232" i="6"/>
  <c r="C1233" i="6"/>
  <c r="C1235" i="6"/>
  <c r="C1236" i="6"/>
  <c r="C1237" i="6"/>
  <c r="C1238" i="6"/>
  <c r="C1241" i="6"/>
  <c r="C1242" i="6"/>
  <c r="C1243" i="6"/>
  <c r="C1220" i="6"/>
  <c r="C1221" i="6"/>
  <c r="C1222" i="6"/>
  <c r="C1152" i="6"/>
  <c r="C1177" i="6"/>
  <c r="C1154" i="6"/>
  <c r="C1147" i="6"/>
  <c r="C1124" i="6"/>
  <c r="C1125" i="6"/>
  <c r="C1148" i="6"/>
  <c r="C1136" i="6"/>
  <c r="C1143" i="6"/>
  <c r="C1239" i="6"/>
  <c r="C1240" i="6"/>
  <c r="C1251" i="6"/>
  <c r="C1252" i="6"/>
  <c r="C1253" i="6"/>
  <c r="C1254" i="6"/>
  <c r="C1256" i="6"/>
  <c r="C1259" i="6"/>
  <c r="C1260" i="6"/>
  <c r="C1261" i="6"/>
  <c r="C1262" i="6"/>
  <c r="C1263" i="6"/>
  <c r="C1264" i="6"/>
  <c r="C1246" i="6"/>
  <c r="C1267" i="6"/>
  <c r="C1268" i="6"/>
  <c r="C1265" i="6"/>
  <c r="C1269" i="6"/>
  <c r="C1270" i="6"/>
  <c r="C1271" i="6"/>
  <c r="C1273" i="6"/>
  <c r="C1272" i="6"/>
  <c r="C1274" i="6"/>
  <c r="C1277" i="6"/>
  <c r="C1278" i="6"/>
  <c r="C1279" i="6"/>
  <c r="C1280" i="6"/>
  <c r="C1281" i="6"/>
  <c r="C1282" i="6"/>
  <c r="C1283" i="6"/>
  <c r="C1284" i="6"/>
  <c r="C1285" i="6"/>
  <c r="C1286" i="6"/>
  <c r="C1288" i="6"/>
  <c r="C1289" i="6"/>
  <c r="C1290" i="6"/>
  <c r="C1291" i="6"/>
  <c r="C1247" i="6"/>
  <c r="C1248" i="6"/>
  <c r="C1249" i="6"/>
  <c r="C1292" i="6"/>
  <c r="C1257" i="6"/>
  <c r="C1294" i="6"/>
  <c r="C1295" i="6"/>
  <c r="C1297" i="6"/>
  <c r="C1298" i="6"/>
  <c r="C1293" i="6"/>
  <c r="C1287" i="6"/>
  <c r="C1299" i="6"/>
  <c r="C1300" i="6"/>
  <c r="C1301" i="6"/>
  <c r="C1302" i="6"/>
  <c r="C1303" i="6"/>
  <c r="C1304" i="6"/>
  <c r="C1305" i="6"/>
  <c r="C1310" i="6"/>
  <c r="C1311" i="6"/>
  <c r="C1312" i="6"/>
  <c r="C1313" i="6"/>
  <c r="C1314" i="6"/>
  <c r="C1315" i="6"/>
  <c r="C1316" i="6"/>
  <c r="C1317" i="6"/>
  <c r="C1326" i="6"/>
  <c r="C1332" i="6"/>
  <c r="C1333" i="6"/>
  <c r="C1334" i="6"/>
  <c r="C1335" i="6"/>
  <c r="C1338" i="6"/>
  <c r="C1306" i="6"/>
  <c r="C1337" i="6"/>
  <c r="C1341" i="6"/>
  <c r="C1342" i="6"/>
  <c r="C1327" i="6"/>
  <c r="C1343" i="6"/>
  <c r="C1344" i="6"/>
  <c r="C1345" i="6"/>
  <c r="C1346" i="6"/>
  <c r="C1266" i="6"/>
  <c r="C1258" i="6"/>
  <c r="C1244" i="6"/>
  <c r="C1245" i="6"/>
  <c r="C1250" i="6"/>
  <c r="C1307" i="6"/>
  <c r="C1308" i="6"/>
  <c r="C1234" i="6"/>
  <c r="C1275" i="6"/>
  <c r="C1309" i="6"/>
  <c r="C1347" i="6"/>
  <c r="C1348" i="6"/>
  <c r="C1255" i="6"/>
  <c r="C1296" i="6"/>
  <c r="C1228" i="6"/>
  <c r="C1223" i="6"/>
  <c r="C1350" i="6"/>
  <c r="C1352" i="6"/>
  <c r="C1353" i="6"/>
  <c r="C1354" i="6"/>
  <c r="C1358" i="6"/>
  <c r="C1355" i="6"/>
  <c r="C1359" i="6"/>
  <c r="C1360" i="6"/>
  <c r="C1361" i="6"/>
  <c r="C1362" i="6"/>
  <c r="C1363" i="6"/>
  <c r="C1364" i="6"/>
  <c r="C1365" i="6"/>
  <c r="C1366" i="6"/>
  <c r="C1367" i="6"/>
  <c r="C1368" i="6"/>
  <c r="C1369" i="6"/>
  <c r="C1371" i="6"/>
  <c r="C1372" i="6"/>
  <c r="C1373" i="6"/>
  <c r="C1374" i="6"/>
  <c r="C1375" i="6"/>
  <c r="C1376" i="6"/>
  <c r="C1377" i="6"/>
  <c r="C1378" i="6"/>
  <c r="C1379" i="6"/>
  <c r="C1380" i="6"/>
  <c r="C1276" i="6"/>
  <c r="C1224" i="6"/>
  <c r="C1381" i="6"/>
  <c r="C1382" i="6"/>
  <c r="C1386" i="6"/>
  <c r="C1387" i="6"/>
  <c r="C1388" i="6"/>
  <c r="C1389" i="6"/>
  <c r="C1390" i="6"/>
  <c r="C1393" i="6"/>
  <c r="C1394" i="6"/>
  <c r="C1392" i="6"/>
  <c r="C1396" i="6"/>
  <c r="C1397" i="6"/>
  <c r="C1398" i="6"/>
  <c r="C1399" i="6"/>
  <c r="C1400" i="6"/>
  <c r="C1401" i="6"/>
  <c r="C1403" i="6"/>
  <c r="C1404" i="6"/>
  <c r="C1405" i="6"/>
  <c r="B1359" i="5" l="1"/>
  <c r="C1359" i="5"/>
  <c r="B1358" i="5"/>
  <c r="C1358" i="5"/>
  <c r="B1357" i="5" l="1"/>
  <c r="C1357" i="5"/>
  <c r="B1356" i="5" l="1"/>
  <c r="C1356" i="5"/>
  <c r="B1355" i="5"/>
  <c r="C1355" i="5"/>
  <c r="B1354" i="5" l="1"/>
  <c r="C1354" i="5"/>
  <c r="B1353" i="5"/>
  <c r="C1353" i="5"/>
  <c r="B1352" i="5" l="1"/>
  <c r="C1352" i="5"/>
  <c r="B1351" i="5" l="1"/>
  <c r="C1351" i="5"/>
  <c r="B1350" i="5"/>
  <c r="C1350" i="5"/>
  <c r="B1349" i="5" l="1"/>
  <c r="C1349" i="5"/>
  <c r="B1348" i="5"/>
  <c r="C1348" i="5"/>
  <c r="B1347" i="5" l="1"/>
  <c r="C1347" i="5"/>
  <c r="B1346" i="5"/>
  <c r="C1346" i="5"/>
  <c r="B1345" i="5" l="1"/>
  <c r="C1345" i="5"/>
  <c r="B1344" i="5"/>
  <c r="C1344" i="5"/>
  <c r="B1343" i="5"/>
  <c r="C1343" i="5"/>
  <c r="B1342" i="5" l="1"/>
  <c r="C1342" i="5"/>
  <c r="B1341" i="5"/>
  <c r="C1341" i="5"/>
  <c r="B1340" i="5" l="1"/>
  <c r="C1340" i="5"/>
  <c r="B1339" i="5"/>
  <c r="C1339" i="5"/>
  <c r="B1338" i="5" l="1"/>
  <c r="C1338" i="5"/>
  <c r="B1337" i="5"/>
  <c r="C1337" i="5"/>
  <c r="B1336" i="5"/>
  <c r="C1336" i="5"/>
  <c r="B1335" i="5" l="1"/>
  <c r="C1335" i="5"/>
  <c r="B1334" i="5"/>
  <c r="C1334" i="5"/>
  <c r="B1333" i="5" l="1"/>
  <c r="C1333" i="5"/>
  <c r="B1332" i="5" l="1"/>
  <c r="C1332" i="5"/>
  <c r="B1331" i="5"/>
  <c r="C1331" i="5"/>
  <c r="B1330" i="5"/>
  <c r="C1330" i="5"/>
  <c r="B1329" i="5"/>
  <c r="C1329" i="5"/>
  <c r="B1328" i="5" l="1"/>
  <c r="C1328" i="5"/>
  <c r="B1327" i="5" l="1"/>
  <c r="C1327" i="5"/>
  <c r="B1326" i="5"/>
  <c r="C1326" i="5"/>
  <c r="B1325" i="5" l="1"/>
  <c r="C1325" i="5"/>
  <c r="B1324" i="5"/>
  <c r="C1324" i="5"/>
  <c r="B1323" i="5"/>
  <c r="C1323" i="5"/>
  <c r="B1322" i="5"/>
  <c r="C1322" i="5"/>
  <c r="B1321" i="5"/>
  <c r="C1321" i="5"/>
  <c r="B1320" i="5" l="1"/>
  <c r="C1320" i="5"/>
  <c r="B1319" i="5"/>
  <c r="C1319" i="5"/>
  <c r="B1318" i="5"/>
  <c r="C1318" i="5"/>
  <c r="B1317" i="5"/>
  <c r="C1317" i="5"/>
  <c r="B4" i="5" l="1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157" i="5"/>
  <c r="C157" i="5"/>
  <c r="B158" i="5"/>
  <c r="C158" i="5"/>
  <c r="B159" i="5"/>
  <c r="C159" i="5"/>
  <c r="B160" i="5"/>
  <c r="C160" i="5"/>
  <c r="B161" i="5"/>
  <c r="C161" i="5"/>
  <c r="B162" i="5"/>
  <c r="C162" i="5"/>
  <c r="B163" i="5"/>
  <c r="C163" i="5"/>
  <c r="B164" i="5"/>
  <c r="C164" i="5"/>
  <c r="B165" i="5"/>
  <c r="C165" i="5"/>
  <c r="B166" i="5"/>
  <c r="C166" i="5"/>
  <c r="B167" i="5"/>
  <c r="C167" i="5"/>
  <c r="B168" i="5"/>
  <c r="C168" i="5"/>
  <c r="B169" i="5"/>
  <c r="C169" i="5"/>
  <c r="B170" i="5"/>
  <c r="C170" i="5"/>
  <c r="B171" i="5"/>
  <c r="C171" i="5"/>
  <c r="B172" i="5"/>
  <c r="C172" i="5"/>
  <c r="B173" i="5"/>
  <c r="C173" i="5"/>
  <c r="B174" i="5"/>
  <c r="C174" i="5"/>
  <c r="B175" i="5"/>
  <c r="C175" i="5"/>
  <c r="B176" i="5"/>
  <c r="C176" i="5"/>
  <c r="B177" i="5"/>
  <c r="C177" i="5"/>
  <c r="B178" i="5"/>
  <c r="C178" i="5"/>
  <c r="B179" i="5"/>
  <c r="C179" i="5"/>
  <c r="B180" i="5"/>
  <c r="C180" i="5"/>
  <c r="B181" i="5"/>
  <c r="C181" i="5"/>
  <c r="B182" i="5"/>
  <c r="C182" i="5"/>
  <c r="B183" i="5"/>
  <c r="C183" i="5"/>
  <c r="B184" i="5"/>
  <c r="C184" i="5"/>
  <c r="B185" i="5"/>
  <c r="C185" i="5"/>
  <c r="B186" i="5"/>
  <c r="C186" i="5"/>
  <c r="B187" i="5"/>
  <c r="C187" i="5"/>
  <c r="B188" i="5"/>
  <c r="C188" i="5"/>
  <c r="B189" i="5"/>
  <c r="C189" i="5"/>
  <c r="B190" i="5"/>
  <c r="C190" i="5"/>
  <c r="B191" i="5"/>
  <c r="C191" i="5"/>
  <c r="B192" i="5"/>
  <c r="C192" i="5"/>
  <c r="B193" i="5"/>
  <c r="C193" i="5"/>
  <c r="B194" i="5"/>
  <c r="C194" i="5"/>
  <c r="B195" i="5"/>
  <c r="C195" i="5"/>
  <c r="B196" i="5"/>
  <c r="C196" i="5"/>
  <c r="B197" i="5"/>
  <c r="C197" i="5"/>
  <c r="B198" i="5"/>
  <c r="C198" i="5"/>
  <c r="B199" i="5"/>
  <c r="C199" i="5"/>
  <c r="B200" i="5"/>
  <c r="C200" i="5"/>
  <c r="B201" i="5"/>
  <c r="C201" i="5"/>
  <c r="B202" i="5"/>
  <c r="C202" i="5"/>
  <c r="B203" i="5"/>
  <c r="C203" i="5"/>
  <c r="B204" i="5"/>
  <c r="C204" i="5"/>
  <c r="B205" i="5"/>
  <c r="C205" i="5"/>
  <c r="B206" i="5"/>
  <c r="C206" i="5"/>
  <c r="B207" i="5"/>
  <c r="C207" i="5"/>
  <c r="B208" i="5"/>
  <c r="C208" i="5"/>
  <c r="B209" i="5"/>
  <c r="C209" i="5"/>
  <c r="B210" i="5"/>
  <c r="C210" i="5"/>
  <c r="B211" i="5"/>
  <c r="C211" i="5"/>
  <c r="B212" i="5"/>
  <c r="C212" i="5"/>
  <c r="B213" i="5"/>
  <c r="C213" i="5"/>
  <c r="B214" i="5"/>
  <c r="C214" i="5"/>
  <c r="B215" i="5"/>
  <c r="C215" i="5"/>
  <c r="B216" i="5"/>
  <c r="C216" i="5"/>
  <c r="B217" i="5"/>
  <c r="C217" i="5"/>
  <c r="B218" i="5"/>
  <c r="C218" i="5"/>
  <c r="B219" i="5"/>
  <c r="C219" i="5"/>
  <c r="B220" i="5"/>
  <c r="C220" i="5"/>
  <c r="B221" i="5"/>
  <c r="C221" i="5"/>
  <c r="B222" i="5"/>
  <c r="C222" i="5"/>
  <c r="B223" i="5"/>
  <c r="C223" i="5"/>
  <c r="B224" i="5"/>
  <c r="C224" i="5"/>
  <c r="B225" i="5"/>
  <c r="C225" i="5"/>
  <c r="B226" i="5"/>
  <c r="C226" i="5"/>
  <c r="B227" i="5"/>
  <c r="C227" i="5"/>
  <c r="B228" i="5"/>
  <c r="C228" i="5"/>
  <c r="B229" i="5"/>
  <c r="C229" i="5"/>
  <c r="B230" i="5"/>
  <c r="C230" i="5"/>
  <c r="B231" i="5"/>
  <c r="C231" i="5"/>
  <c r="B232" i="5"/>
  <c r="C232" i="5"/>
  <c r="B233" i="5"/>
  <c r="C233" i="5"/>
  <c r="B234" i="5"/>
  <c r="C234" i="5"/>
  <c r="B235" i="5"/>
  <c r="C235" i="5"/>
  <c r="B236" i="5"/>
  <c r="C236" i="5"/>
  <c r="B237" i="5"/>
  <c r="C237" i="5"/>
  <c r="B238" i="5"/>
  <c r="C238" i="5"/>
  <c r="B239" i="5"/>
  <c r="C239" i="5"/>
  <c r="B240" i="5"/>
  <c r="C240" i="5"/>
  <c r="B241" i="5"/>
  <c r="C241" i="5"/>
  <c r="B242" i="5"/>
  <c r="C242" i="5"/>
  <c r="B243" i="5"/>
  <c r="C243" i="5"/>
  <c r="B244" i="5"/>
  <c r="C244" i="5"/>
  <c r="B245" i="5"/>
  <c r="C245" i="5"/>
  <c r="B246" i="5"/>
  <c r="C246" i="5"/>
  <c r="B247" i="5"/>
  <c r="C247" i="5"/>
  <c r="B248" i="5"/>
  <c r="C248" i="5"/>
  <c r="B249" i="5"/>
  <c r="C249" i="5"/>
  <c r="B250" i="5"/>
  <c r="C250" i="5"/>
  <c r="B251" i="5"/>
  <c r="C251" i="5"/>
  <c r="B252" i="5"/>
  <c r="C252" i="5"/>
  <c r="B253" i="5"/>
  <c r="C253" i="5"/>
  <c r="B254" i="5"/>
  <c r="C254" i="5"/>
  <c r="B255" i="5"/>
  <c r="C255" i="5"/>
  <c r="B256" i="5"/>
  <c r="C256" i="5"/>
  <c r="B257" i="5"/>
  <c r="C257" i="5"/>
  <c r="B258" i="5"/>
  <c r="C258" i="5"/>
  <c r="B259" i="5"/>
  <c r="C259" i="5"/>
  <c r="B260" i="5"/>
  <c r="C260" i="5"/>
  <c r="B261" i="5"/>
  <c r="C261" i="5"/>
  <c r="B262" i="5"/>
  <c r="C262" i="5"/>
  <c r="B263" i="5"/>
  <c r="C263" i="5"/>
  <c r="B264" i="5"/>
  <c r="C264" i="5"/>
  <c r="B265" i="5"/>
  <c r="C265" i="5"/>
  <c r="B266" i="5"/>
  <c r="C266" i="5"/>
  <c r="B267" i="5"/>
  <c r="C267" i="5"/>
  <c r="B268" i="5"/>
  <c r="C268" i="5"/>
  <c r="B269" i="5"/>
  <c r="C269" i="5"/>
  <c r="B270" i="5"/>
  <c r="C270" i="5"/>
  <c r="B271" i="5"/>
  <c r="C271" i="5"/>
  <c r="B272" i="5"/>
  <c r="C272" i="5"/>
  <c r="B273" i="5"/>
  <c r="C273" i="5"/>
  <c r="B274" i="5"/>
  <c r="C274" i="5"/>
  <c r="B275" i="5"/>
  <c r="C275" i="5"/>
  <c r="B276" i="5"/>
  <c r="C276" i="5"/>
  <c r="B277" i="5"/>
  <c r="C277" i="5"/>
  <c r="B278" i="5"/>
  <c r="C278" i="5"/>
  <c r="B279" i="5"/>
  <c r="C279" i="5"/>
  <c r="B280" i="5"/>
  <c r="C280" i="5"/>
  <c r="B281" i="5"/>
  <c r="C281" i="5"/>
  <c r="B282" i="5"/>
  <c r="C282" i="5"/>
  <c r="B283" i="5"/>
  <c r="C283" i="5"/>
  <c r="B284" i="5"/>
  <c r="C284" i="5"/>
  <c r="B285" i="5"/>
  <c r="C285" i="5"/>
  <c r="B286" i="5"/>
  <c r="C286" i="5"/>
  <c r="B287" i="5"/>
  <c r="C287" i="5"/>
  <c r="B288" i="5"/>
  <c r="C288" i="5"/>
  <c r="B289" i="5"/>
  <c r="C289" i="5"/>
  <c r="B290" i="5"/>
  <c r="C290" i="5"/>
  <c r="B291" i="5"/>
  <c r="C291" i="5"/>
  <c r="B292" i="5"/>
  <c r="C292" i="5"/>
  <c r="B293" i="5"/>
  <c r="C293" i="5"/>
  <c r="B294" i="5"/>
  <c r="C294" i="5"/>
  <c r="B295" i="5"/>
  <c r="C295" i="5"/>
  <c r="B296" i="5"/>
  <c r="C296" i="5"/>
  <c r="B297" i="5"/>
  <c r="C297" i="5"/>
  <c r="B298" i="5"/>
  <c r="C298" i="5"/>
  <c r="B299" i="5"/>
  <c r="C299" i="5"/>
  <c r="B300" i="5"/>
  <c r="C300" i="5"/>
  <c r="B301" i="5"/>
  <c r="C301" i="5"/>
  <c r="B302" i="5"/>
  <c r="C302" i="5"/>
  <c r="B303" i="5"/>
  <c r="C303" i="5"/>
  <c r="B304" i="5"/>
  <c r="C304" i="5"/>
  <c r="B305" i="5"/>
  <c r="C305" i="5"/>
  <c r="B306" i="5"/>
  <c r="C306" i="5"/>
  <c r="B307" i="5"/>
  <c r="C307" i="5"/>
  <c r="B308" i="5"/>
  <c r="C308" i="5"/>
  <c r="B309" i="5"/>
  <c r="C309" i="5"/>
  <c r="B310" i="5"/>
  <c r="C310" i="5"/>
  <c r="B311" i="5"/>
  <c r="C311" i="5"/>
  <c r="B312" i="5"/>
  <c r="C312" i="5"/>
  <c r="B313" i="5"/>
  <c r="C313" i="5"/>
  <c r="B314" i="5"/>
  <c r="C314" i="5"/>
  <c r="B315" i="5"/>
  <c r="C315" i="5"/>
  <c r="B316" i="5"/>
  <c r="C316" i="5"/>
  <c r="B317" i="5"/>
  <c r="C317" i="5"/>
  <c r="B318" i="5"/>
  <c r="C318" i="5"/>
  <c r="B319" i="5"/>
  <c r="C319" i="5"/>
  <c r="B320" i="5"/>
  <c r="C320" i="5"/>
  <c r="B321" i="5"/>
  <c r="C321" i="5"/>
  <c r="B322" i="5"/>
  <c r="C322" i="5"/>
  <c r="B323" i="5"/>
  <c r="C323" i="5"/>
  <c r="B324" i="5"/>
  <c r="C324" i="5"/>
  <c r="B325" i="5"/>
  <c r="C325" i="5"/>
  <c r="B326" i="5"/>
  <c r="C326" i="5"/>
  <c r="B327" i="5"/>
  <c r="C327" i="5"/>
  <c r="B328" i="5"/>
  <c r="C328" i="5"/>
  <c r="B329" i="5"/>
  <c r="C329" i="5"/>
  <c r="B330" i="5"/>
  <c r="C330" i="5"/>
  <c r="B331" i="5"/>
  <c r="C331" i="5"/>
  <c r="B332" i="5"/>
  <c r="C332" i="5"/>
  <c r="B333" i="5"/>
  <c r="C333" i="5"/>
  <c r="B334" i="5"/>
  <c r="C334" i="5"/>
  <c r="B335" i="5"/>
  <c r="C335" i="5"/>
  <c r="B336" i="5"/>
  <c r="C336" i="5"/>
  <c r="B337" i="5"/>
  <c r="C337" i="5"/>
  <c r="B338" i="5"/>
  <c r="C338" i="5"/>
  <c r="B339" i="5"/>
  <c r="C339" i="5"/>
  <c r="B340" i="5"/>
  <c r="C340" i="5"/>
  <c r="B341" i="5"/>
  <c r="C341" i="5"/>
  <c r="B342" i="5"/>
  <c r="C342" i="5"/>
  <c r="B343" i="5"/>
  <c r="C343" i="5"/>
  <c r="B344" i="5"/>
  <c r="C344" i="5"/>
  <c r="B345" i="5"/>
  <c r="C345" i="5"/>
  <c r="B346" i="5"/>
  <c r="C346" i="5"/>
  <c r="B347" i="5"/>
  <c r="C347" i="5"/>
  <c r="B348" i="5"/>
  <c r="C348" i="5"/>
  <c r="B349" i="5"/>
  <c r="C349" i="5"/>
  <c r="B350" i="5"/>
  <c r="C350" i="5"/>
  <c r="B351" i="5"/>
  <c r="C351" i="5"/>
  <c r="B352" i="5"/>
  <c r="C352" i="5"/>
  <c r="B353" i="5"/>
  <c r="C353" i="5"/>
  <c r="B354" i="5"/>
  <c r="C354" i="5"/>
  <c r="B355" i="5"/>
  <c r="C355" i="5"/>
  <c r="B356" i="5"/>
  <c r="C356" i="5"/>
  <c r="B357" i="5"/>
  <c r="C357" i="5"/>
  <c r="B358" i="5"/>
  <c r="C358" i="5"/>
  <c r="B359" i="5"/>
  <c r="C359" i="5"/>
  <c r="B360" i="5"/>
  <c r="C360" i="5"/>
  <c r="B361" i="5"/>
  <c r="C361" i="5"/>
  <c r="B362" i="5"/>
  <c r="C362" i="5"/>
  <c r="B363" i="5"/>
  <c r="C363" i="5"/>
  <c r="B364" i="5"/>
  <c r="C364" i="5"/>
  <c r="B365" i="5"/>
  <c r="C365" i="5"/>
  <c r="B366" i="5"/>
  <c r="C366" i="5"/>
  <c r="B367" i="5"/>
  <c r="C367" i="5"/>
  <c r="B368" i="5"/>
  <c r="C368" i="5"/>
  <c r="B369" i="5"/>
  <c r="C369" i="5"/>
  <c r="B370" i="5"/>
  <c r="C370" i="5"/>
  <c r="B371" i="5"/>
  <c r="C371" i="5"/>
  <c r="B372" i="5"/>
  <c r="C372" i="5"/>
  <c r="B373" i="5"/>
  <c r="C373" i="5"/>
  <c r="B374" i="5"/>
  <c r="C374" i="5"/>
  <c r="B375" i="5"/>
  <c r="C375" i="5"/>
  <c r="B376" i="5"/>
  <c r="C376" i="5"/>
  <c r="B377" i="5"/>
  <c r="C377" i="5"/>
  <c r="B378" i="5"/>
  <c r="C378" i="5"/>
  <c r="B379" i="5"/>
  <c r="C379" i="5"/>
  <c r="B380" i="5"/>
  <c r="C380" i="5"/>
  <c r="B381" i="5"/>
  <c r="C381" i="5"/>
  <c r="B382" i="5"/>
  <c r="C382" i="5"/>
  <c r="B383" i="5"/>
  <c r="C383" i="5"/>
  <c r="B384" i="5"/>
  <c r="C384" i="5"/>
  <c r="B385" i="5"/>
  <c r="C385" i="5"/>
  <c r="B386" i="5"/>
  <c r="C386" i="5"/>
  <c r="B387" i="5"/>
  <c r="C387" i="5"/>
  <c r="B388" i="5"/>
  <c r="C388" i="5"/>
  <c r="B389" i="5"/>
  <c r="C389" i="5"/>
  <c r="B390" i="5"/>
  <c r="C390" i="5"/>
  <c r="B391" i="5"/>
  <c r="C391" i="5"/>
  <c r="B392" i="5"/>
  <c r="C392" i="5"/>
  <c r="B393" i="5"/>
  <c r="C393" i="5"/>
  <c r="B394" i="5"/>
  <c r="C394" i="5"/>
  <c r="B395" i="5"/>
  <c r="C395" i="5"/>
  <c r="B396" i="5"/>
  <c r="C396" i="5"/>
  <c r="B397" i="5"/>
  <c r="C397" i="5"/>
  <c r="B398" i="5"/>
  <c r="C398" i="5"/>
  <c r="B399" i="5"/>
  <c r="C399" i="5"/>
  <c r="B400" i="5"/>
  <c r="C400" i="5"/>
  <c r="B401" i="5"/>
  <c r="C401" i="5"/>
  <c r="B402" i="5"/>
  <c r="C402" i="5"/>
  <c r="B403" i="5"/>
  <c r="C403" i="5"/>
  <c r="B404" i="5"/>
  <c r="C404" i="5"/>
  <c r="B405" i="5"/>
  <c r="C405" i="5"/>
  <c r="B406" i="5"/>
  <c r="C406" i="5"/>
  <c r="B407" i="5"/>
  <c r="C407" i="5"/>
  <c r="B408" i="5"/>
  <c r="C408" i="5"/>
  <c r="B409" i="5"/>
  <c r="C409" i="5"/>
  <c r="B410" i="5"/>
  <c r="C410" i="5"/>
  <c r="B411" i="5"/>
  <c r="C411" i="5"/>
  <c r="B412" i="5"/>
  <c r="C412" i="5"/>
  <c r="B413" i="5"/>
  <c r="C413" i="5"/>
  <c r="B414" i="5"/>
  <c r="C414" i="5"/>
  <c r="B415" i="5"/>
  <c r="C415" i="5"/>
  <c r="B416" i="5"/>
  <c r="C416" i="5"/>
  <c r="B417" i="5"/>
  <c r="C417" i="5"/>
  <c r="B418" i="5"/>
  <c r="C418" i="5"/>
  <c r="B419" i="5"/>
  <c r="C419" i="5"/>
  <c r="B420" i="5"/>
  <c r="C420" i="5"/>
  <c r="B421" i="5"/>
  <c r="C421" i="5"/>
  <c r="B422" i="5"/>
  <c r="C422" i="5"/>
  <c r="B423" i="5"/>
  <c r="C423" i="5"/>
  <c r="B424" i="5"/>
  <c r="C424" i="5"/>
  <c r="B425" i="5"/>
  <c r="C425" i="5"/>
  <c r="B426" i="5"/>
  <c r="C426" i="5"/>
  <c r="B427" i="5"/>
  <c r="C427" i="5"/>
  <c r="B428" i="5"/>
  <c r="C428" i="5"/>
  <c r="B429" i="5"/>
  <c r="C429" i="5"/>
  <c r="B430" i="5"/>
  <c r="C430" i="5"/>
  <c r="B431" i="5"/>
  <c r="C431" i="5"/>
  <c r="B432" i="5"/>
  <c r="C432" i="5"/>
  <c r="B433" i="5"/>
  <c r="C433" i="5"/>
  <c r="B434" i="5"/>
  <c r="C434" i="5"/>
  <c r="B435" i="5"/>
  <c r="C435" i="5"/>
  <c r="B436" i="5"/>
  <c r="C436" i="5"/>
  <c r="B437" i="5"/>
  <c r="C437" i="5"/>
  <c r="B438" i="5"/>
  <c r="C438" i="5"/>
  <c r="B439" i="5"/>
  <c r="C439" i="5"/>
  <c r="B440" i="5"/>
  <c r="C440" i="5"/>
  <c r="B441" i="5"/>
  <c r="C441" i="5"/>
  <c r="B442" i="5"/>
  <c r="C442" i="5"/>
  <c r="B443" i="5"/>
  <c r="C443" i="5"/>
  <c r="B444" i="5"/>
  <c r="C444" i="5"/>
  <c r="B445" i="5"/>
  <c r="C445" i="5"/>
  <c r="B446" i="5"/>
  <c r="C446" i="5"/>
  <c r="B447" i="5"/>
  <c r="C447" i="5"/>
  <c r="B448" i="5"/>
  <c r="C448" i="5"/>
  <c r="B449" i="5"/>
  <c r="C449" i="5"/>
  <c r="B450" i="5"/>
  <c r="C450" i="5"/>
  <c r="B451" i="5"/>
  <c r="C451" i="5"/>
  <c r="B452" i="5"/>
  <c r="C452" i="5"/>
  <c r="B453" i="5"/>
  <c r="C453" i="5"/>
  <c r="B454" i="5"/>
  <c r="C454" i="5"/>
  <c r="B455" i="5"/>
  <c r="C455" i="5"/>
  <c r="B456" i="5"/>
  <c r="C456" i="5"/>
  <c r="B457" i="5"/>
  <c r="C457" i="5"/>
  <c r="B458" i="5"/>
  <c r="C458" i="5"/>
  <c r="B459" i="5"/>
  <c r="C459" i="5"/>
  <c r="B460" i="5"/>
  <c r="C460" i="5"/>
  <c r="B461" i="5"/>
  <c r="C461" i="5"/>
  <c r="B462" i="5"/>
  <c r="C462" i="5"/>
  <c r="B463" i="5"/>
  <c r="C463" i="5"/>
  <c r="B464" i="5"/>
  <c r="C464" i="5"/>
  <c r="B465" i="5"/>
  <c r="C465" i="5"/>
  <c r="B466" i="5"/>
  <c r="C466" i="5"/>
  <c r="B467" i="5"/>
  <c r="C467" i="5"/>
  <c r="B468" i="5"/>
  <c r="C468" i="5"/>
  <c r="B469" i="5"/>
  <c r="C469" i="5"/>
  <c r="B470" i="5"/>
  <c r="C470" i="5"/>
  <c r="B471" i="5"/>
  <c r="C471" i="5"/>
  <c r="B472" i="5"/>
  <c r="C472" i="5"/>
  <c r="B473" i="5"/>
  <c r="C473" i="5"/>
  <c r="B474" i="5"/>
  <c r="C474" i="5"/>
  <c r="B475" i="5"/>
  <c r="C475" i="5"/>
  <c r="B476" i="5"/>
  <c r="C476" i="5"/>
  <c r="B477" i="5"/>
  <c r="C477" i="5"/>
  <c r="B478" i="5"/>
  <c r="C478" i="5"/>
  <c r="B479" i="5"/>
  <c r="C479" i="5"/>
  <c r="B480" i="5"/>
  <c r="C480" i="5"/>
  <c r="B481" i="5"/>
  <c r="C481" i="5"/>
  <c r="B482" i="5"/>
  <c r="C482" i="5"/>
  <c r="B483" i="5"/>
  <c r="C483" i="5"/>
  <c r="B484" i="5"/>
  <c r="C484" i="5"/>
  <c r="B485" i="5"/>
  <c r="C485" i="5"/>
  <c r="B486" i="5"/>
  <c r="C486" i="5"/>
  <c r="B487" i="5"/>
  <c r="C487" i="5"/>
  <c r="B488" i="5"/>
  <c r="C488" i="5"/>
  <c r="B489" i="5"/>
  <c r="C489" i="5"/>
  <c r="B490" i="5"/>
  <c r="C490" i="5"/>
  <c r="B491" i="5"/>
  <c r="C491" i="5"/>
  <c r="B492" i="5"/>
  <c r="C492" i="5"/>
  <c r="B493" i="5"/>
  <c r="C493" i="5"/>
  <c r="B494" i="5"/>
  <c r="C494" i="5"/>
  <c r="B495" i="5"/>
  <c r="C495" i="5"/>
  <c r="B496" i="5"/>
  <c r="C496" i="5"/>
  <c r="B497" i="5"/>
  <c r="C497" i="5"/>
  <c r="B498" i="5"/>
  <c r="C498" i="5"/>
  <c r="B499" i="5"/>
  <c r="C499" i="5"/>
  <c r="B500" i="5"/>
  <c r="C500" i="5"/>
  <c r="B501" i="5"/>
  <c r="C501" i="5"/>
  <c r="B502" i="5"/>
  <c r="C502" i="5"/>
  <c r="B503" i="5"/>
  <c r="C503" i="5"/>
  <c r="B504" i="5"/>
  <c r="C504" i="5"/>
  <c r="B505" i="5"/>
  <c r="C505" i="5"/>
  <c r="B506" i="5"/>
  <c r="C506" i="5"/>
  <c r="B507" i="5"/>
  <c r="C507" i="5"/>
  <c r="B508" i="5"/>
  <c r="C508" i="5"/>
  <c r="B509" i="5"/>
  <c r="C509" i="5"/>
  <c r="B510" i="5"/>
  <c r="C510" i="5"/>
  <c r="B511" i="5"/>
  <c r="C511" i="5"/>
  <c r="B512" i="5"/>
  <c r="C512" i="5"/>
  <c r="B513" i="5"/>
  <c r="C513" i="5"/>
  <c r="B514" i="5"/>
  <c r="C514" i="5"/>
  <c r="B515" i="5"/>
  <c r="C515" i="5"/>
  <c r="B516" i="5"/>
  <c r="C516" i="5"/>
  <c r="B517" i="5"/>
  <c r="C517" i="5"/>
  <c r="B518" i="5"/>
  <c r="C518" i="5"/>
  <c r="B519" i="5"/>
  <c r="C519" i="5"/>
  <c r="B520" i="5"/>
  <c r="C520" i="5"/>
  <c r="B521" i="5"/>
  <c r="C521" i="5"/>
  <c r="B522" i="5"/>
  <c r="C522" i="5"/>
  <c r="B523" i="5"/>
  <c r="C523" i="5"/>
  <c r="B524" i="5"/>
  <c r="C524" i="5"/>
  <c r="B525" i="5"/>
  <c r="C525" i="5"/>
  <c r="B526" i="5"/>
  <c r="C526" i="5"/>
  <c r="B527" i="5"/>
  <c r="C527" i="5"/>
  <c r="B528" i="5"/>
  <c r="C528" i="5"/>
  <c r="B529" i="5"/>
  <c r="C529" i="5"/>
  <c r="B530" i="5"/>
  <c r="C530" i="5"/>
  <c r="B531" i="5"/>
  <c r="C531" i="5"/>
  <c r="B532" i="5"/>
  <c r="C532" i="5"/>
  <c r="B533" i="5"/>
  <c r="C533" i="5"/>
  <c r="B534" i="5"/>
  <c r="C534" i="5"/>
  <c r="B535" i="5"/>
  <c r="C535" i="5"/>
  <c r="B536" i="5"/>
  <c r="C536" i="5"/>
  <c r="B537" i="5"/>
  <c r="C537" i="5"/>
  <c r="B538" i="5"/>
  <c r="C538" i="5"/>
  <c r="B539" i="5"/>
  <c r="C539" i="5"/>
  <c r="B540" i="5"/>
  <c r="C540" i="5"/>
  <c r="B541" i="5"/>
  <c r="C541" i="5"/>
  <c r="B542" i="5"/>
  <c r="C542" i="5"/>
  <c r="B543" i="5"/>
  <c r="C543" i="5"/>
  <c r="B544" i="5"/>
  <c r="C544" i="5"/>
  <c r="B545" i="5"/>
  <c r="C545" i="5"/>
  <c r="B546" i="5"/>
  <c r="C546" i="5"/>
  <c r="B547" i="5"/>
  <c r="C547" i="5"/>
  <c r="B548" i="5"/>
  <c r="C548" i="5"/>
  <c r="B549" i="5"/>
  <c r="C549" i="5"/>
  <c r="B550" i="5"/>
  <c r="C550" i="5"/>
  <c r="B551" i="5"/>
  <c r="C551" i="5"/>
  <c r="B552" i="5"/>
  <c r="C552" i="5"/>
  <c r="B553" i="5"/>
  <c r="C553" i="5"/>
  <c r="B554" i="5"/>
  <c r="C554" i="5"/>
  <c r="B555" i="5"/>
  <c r="C555" i="5"/>
  <c r="B556" i="5"/>
  <c r="C556" i="5"/>
  <c r="B557" i="5"/>
  <c r="C557" i="5"/>
  <c r="B558" i="5"/>
  <c r="C558" i="5"/>
  <c r="B559" i="5"/>
  <c r="C559" i="5"/>
  <c r="B560" i="5"/>
  <c r="C560" i="5"/>
  <c r="B561" i="5"/>
  <c r="C561" i="5"/>
  <c r="B562" i="5"/>
  <c r="C562" i="5"/>
  <c r="B563" i="5"/>
  <c r="C563" i="5"/>
  <c r="B564" i="5"/>
  <c r="C564" i="5"/>
  <c r="B565" i="5"/>
  <c r="C565" i="5"/>
  <c r="B566" i="5"/>
  <c r="C566" i="5"/>
  <c r="B567" i="5"/>
  <c r="C567" i="5"/>
  <c r="B568" i="5"/>
  <c r="C568" i="5"/>
  <c r="B569" i="5"/>
  <c r="C569" i="5"/>
  <c r="B570" i="5"/>
  <c r="C570" i="5"/>
  <c r="B571" i="5"/>
  <c r="C571" i="5"/>
  <c r="B572" i="5"/>
  <c r="C572" i="5"/>
  <c r="B573" i="5"/>
  <c r="C573" i="5"/>
  <c r="B574" i="5"/>
  <c r="C574" i="5"/>
  <c r="B575" i="5"/>
  <c r="C575" i="5"/>
  <c r="B576" i="5"/>
  <c r="C576" i="5"/>
  <c r="B577" i="5"/>
  <c r="C577" i="5"/>
  <c r="B578" i="5"/>
  <c r="C578" i="5"/>
  <c r="B579" i="5"/>
  <c r="C579" i="5"/>
  <c r="B580" i="5"/>
  <c r="C580" i="5"/>
  <c r="B581" i="5"/>
  <c r="C581" i="5"/>
  <c r="B582" i="5"/>
  <c r="C582" i="5"/>
  <c r="B583" i="5"/>
  <c r="C583" i="5"/>
  <c r="B584" i="5"/>
  <c r="C584" i="5"/>
  <c r="B585" i="5"/>
  <c r="C585" i="5"/>
  <c r="B586" i="5"/>
  <c r="C586" i="5"/>
  <c r="B587" i="5"/>
  <c r="C587" i="5"/>
  <c r="B588" i="5"/>
  <c r="C588" i="5"/>
  <c r="B589" i="5"/>
  <c r="C589" i="5"/>
  <c r="B590" i="5"/>
  <c r="C590" i="5"/>
  <c r="B591" i="5"/>
  <c r="C591" i="5"/>
  <c r="B592" i="5"/>
  <c r="C592" i="5"/>
  <c r="B593" i="5"/>
  <c r="C593" i="5"/>
  <c r="B594" i="5"/>
  <c r="C594" i="5"/>
  <c r="B595" i="5"/>
  <c r="C595" i="5"/>
  <c r="B596" i="5"/>
  <c r="C596" i="5"/>
  <c r="B597" i="5"/>
  <c r="C597" i="5"/>
  <c r="B598" i="5"/>
  <c r="C598" i="5"/>
  <c r="B599" i="5"/>
  <c r="C599" i="5"/>
  <c r="B600" i="5"/>
  <c r="C600" i="5"/>
  <c r="B601" i="5"/>
  <c r="C601" i="5"/>
  <c r="B602" i="5"/>
  <c r="C602" i="5"/>
  <c r="B603" i="5"/>
  <c r="C603" i="5"/>
  <c r="B604" i="5"/>
  <c r="C604" i="5"/>
  <c r="B605" i="5"/>
  <c r="C605" i="5"/>
  <c r="B606" i="5"/>
  <c r="C606" i="5"/>
  <c r="B607" i="5"/>
  <c r="C607" i="5"/>
  <c r="B608" i="5"/>
  <c r="C608" i="5"/>
  <c r="B609" i="5"/>
  <c r="C609" i="5"/>
  <c r="B610" i="5"/>
  <c r="C610" i="5"/>
  <c r="B611" i="5"/>
  <c r="C611" i="5"/>
  <c r="B612" i="5"/>
  <c r="C612" i="5"/>
  <c r="B613" i="5"/>
  <c r="C613" i="5"/>
  <c r="B614" i="5"/>
  <c r="C614" i="5"/>
  <c r="B615" i="5"/>
  <c r="C615" i="5"/>
  <c r="B616" i="5"/>
  <c r="C616" i="5"/>
  <c r="B617" i="5"/>
  <c r="C617" i="5"/>
  <c r="B618" i="5"/>
  <c r="C618" i="5"/>
  <c r="B619" i="5"/>
  <c r="C619" i="5"/>
  <c r="B620" i="5"/>
  <c r="C620" i="5"/>
  <c r="B621" i="5"/>
  <c r="C621" i="5"/>
  <c r="B622" i="5"/>
  <c r="C622" i="5"/>
  <c r="B623" i="5"/>
  <c r="C623" i="5"/>
  <c r="B624" i="5"/>
  <c r="C624" i="5"/>
  <c r="B625" i="5"/>
  <c r="C625" i="5"/>
  <c r="B626" i="5"/>
  <c r="C626" i="5"/>
  <c r="B627" i="5"/>
  <c r="C627" i="5"/>
  <c r="B628" i="5"/>
  <c r="C628" i="5"/>
  <c r="B629" i="5"/>
  <c r="C629" i="5"/>
  <c r="B630" i="5"/>
  <c r="C630" i="5"/>
  <c r="B631" i="5"/>
  <c r="C631" i="5"/>
  <c r="B632" i="5"/>
  <c r="C632" i="5"/>
  <c r="B633" i="5"/>
  <c r="C633" i="5"/>
  <c r="B634" i="5"/>
  <c r="C634" i="5"/>
  <c r="B635" i="5"/>
  <c r="C635" i="5"/>
  <c r="B636" i="5"/>
  <c r="C636" i="5"/>
  <c r="B637" i="5"/>
  <c r="C637" i="5"/>
  <c r="B638" i="5"/>
  <c r="C638" i="5"/>
  <c r="B639" i="5"/>
  <c r="C639" i="5"/>
  <c r="B640" i="5"/>
  <c r="C640" i="5"/>
  <c r="B641" i="5"/>
  <c r="C641" i="5"/>
  <c r="B642" i="5"/>
  <c r="C642" i="5"/>
  <c r="B643" i="5"/>
  <c r="C643" i="5"/>
  <c r="B644" i="5"/>
  <c r="C644" i="5"/>
  <c r="B645" i="5"/>
  <c r="C645" i="5"/>
  <c r="B646" i="5"/>
  <c r="C646" i="5"/>
  <c r="B647" i="5"/>
  <c r="C647" i="5"/>
  <c r="B648" i="5"/>
  <c r="C648" i="5"/>
  <c r="B649" i="5"/>
  <c r="C649" i="5"/>
  <c r="B650" i="5"/>
  <c r="C650" i="5"/>
  <c r="B651" i="5"/>
  <c r="C651" i="5"/>
  <c r="B652" i="5"/>
  <c r="C652" i="5"/>
  <c r="B653" i="5"/>
  <c r="C653" i="5"/>
  <c r="B654" i="5"/>
  <c r="C654" i="5"/>
  <c r="B655" i="5"/>
  <c r="C655" i="5"/>
  <c r="B656" i="5"/>
  <c r="C656" i="5"/>
  <c r="B657" i="5"/>
  <c r="C657" i="5"/>
  <c r="B658" i="5"/>
  <c r="C658" i="5"/>
  <c r="B659" i="5"/>
  <c r="C659" i="5"/>
  <c r="B660" i="5"/>
  <c r="C660" i="5"/>
  <c r="B661" i="5"/>
  <c r="C661" i="5"/>
  <c r="B662" i="5"/>
  <c r="C662" i="5"/>
  <c r="B663" i="5"/>
  <c r="C663" i="5"/>
  <c r="B664" i="5"/>
  <c r="C664" i="5"/>
  <c r="B665" i="5"/>
  <c r="C665" i="5"/>
  <c r="B666" i="5"/>
  <c r="C666" i="5"/>
  <c r="B667" i="5"/>
  <c r="C667" i="5"/>
  <c r="B668" i="5"/>
  <c r="C668" i="5"/>
  <c r="B669" i="5"/>
  <c r="C669" i="5"/>
  <c r="B670" i="5"/>
  <c r="C670" i="5"/>
  <c r="B671" i="5"/>
  <c r="C671" i="5"/>
  <c r="B672" i="5"/>
  <c r="C672" i="5"/>
  <c r="B673" i="5"/>
  <c r="C673" i="5"/>
  <c r="B674" i="5"/>
  <c r="C674" i="5"/>
  <c r="B675" i="5"/>
  <c r="C675" i="5"/>
  <c r="B676" i="5"/>
  <c r="C676" i="5"/>
  <c r="B677" i="5"/>
  <c r="C677" i="5"/>
  <c r="B678" i="5"/>
  <c r="C678" i="5"/>
  <c r="B679" i="5"/>
  <c r="C679" i="5"/>
  <c r="B680" i="5"/>
  <c r="C680" i="5"/>
  <c r="B681" i="5"/>
  <c r="C681" i="5"/>
  <c r="B682" i="5"/>
  <c r="C682" i="5"/>
  <c r="B683" i="5"/>
  <c r="C683" i="5"/>
  <c r="B684" i="5"/>
  <c r="C684" i="5"/>
  <c r="B685" i="5"/>
  <c r="C685" i="5"/>
  <c r="B686" i="5"/>
  <c r="C686" i="5"/>
  <c r="B687" i="5"/>
  <c r="C687" i="5"/>
  <c r="B688" i="5"/>
  <c r="C688" i="5"/>
  <c r="B689" i="5"/>
  <c r="C689" i="5"/>
  <c r="B690" i="5"/>
  <c r="C690" i="5"/>
  <c r="B691" i="5"/>
  <c r="C691" i="5"/>
  <c r="B692" i="5"/>
  <c r="C692" i="5"/>
  <c r="B693" i="5"/>
  <c r="C693" i="5"/>
  <c r="B694" i="5"/>
  <c r="C694" i="5"/>
  <c r="B695" i="5"/>
  <c r="C695" i="5"/>
  <c r="B696" i="5"/>
  <c r="C696" i="5"/>
  <c r="B697" i="5"/>
  <c r="C697" i="5"/>
  <c r="B698" i="5"/>
  <c r="C698" i="5"/>
  <c r="B699" i="5"/>
  <c r="C699" i="5"/>
  <c r="B700" i="5"/>
  <c r="C700" i="5"/>
  <c r="B701" i="5"/>
  <c r="C701" i="5"/>
  <c r="B702" i="5"/>
  <c r="C702" i="5"/>
  <c r="B703" i="5"/>
  <c r="C703" i="5"/>
  <c r="B704" i="5"/>
  <c r="C704" i="5"/>
  <c r="B705" i="5"/>
  <c r="C705" i="5"/>
  <c r="B706" i="5"/>
  <c r="C706" i="5"/>
  <c r="B707" i="5"/>
  <c r="C707" i="5"/>
  <c r="B708" i="5"/>
  <c r="C708" i="5"/>
  <c r="B709" i="5"/>
  <c r="C709" i="5"/>
  <c r="B710" i="5"/>
  <c r="C710" i="5"/>
  <c r="B711" i="5"/>
  <c r="C711" i="5"/>
  <c r="B712" i="5"/>
  <c r="C712" i="5"/>
  <c r="B713" i="5"/>
  <c r="C713" i="5"/>
  <c r="B714" i="5"/>
  <c r="C714" i="5"/>
  <c r="B715" i="5"/>
  <c r="C715" i="5"/>
  <c r="B716" i="5"/>
  <c r="C716" i="5"/>
  <c r="B717" i="5"/>
  <c r="C717" i="5"/>
  <c r="B718" i="5"/>
  <c r="C718" i="5"/>
  <c r="B719" i="5"/>
  <c r="C719" i="5"/>
  <c r="B720" i="5"/>
  <c r="C720" i="5"/>
  <c r="B721" i="5"/>
  <c r="C721" i="5"/>
  <c r="B722" i="5"/>
  <c r="C722" i="5"/>
  <c r="B723" i="5"/>
  <c r="C723" i="5"/>
  <c r="B724" i="5"/>
  <c r="C724" i="5"/>
  <c r="B725" i="5"/>
  <c r="C725" i="5"/>
  <c r="B726" i="5"/>
  <c r="C726" i="5"/>
  <c r="B727" i="5"/>
  <c r="C727" i="5"/>
  <c r="B728" i="5"/>
  <c r="C728" i="5"/>
  <c r="B729" i="5"/>
  <c r="C729" i="5"/>
  <c r="B730" i="5"/>
  <c r="C730" i="5"/>
  <c r="B731" i="5"/>
  <c r="C731" i="5"/>
  <c r="B732" i="5"/>
  <c r="C732" i="5"/>
  <c r="B733" i="5"/>
  <c r="C733" i="5"/>
  <c r="B734" i="5"/>
  <c r="C734" i="5"/>
  <c r="B735" i="5"/>
  <c r="C735" i="5"/>
  <c r="B736" i="5"/>
  <c r="C736" i="5"/>
  <c r="B737" i="5"/>
  <c r="C737" i="5"/>
  <c r="B738" i="5"/>
  <c r="C738" i="5"/>
  <c r="B739" i="5"/>
  <c r="C739" i="5"/>
  <c r="B740" i="5"/>
  <c r="C740" i="5"/>
  <c r="B741" i="5"/>
  <c r="C741" i="5"/>
  <c r="B742" i="5"/>
  <c r="C742" i="5"/>
  <c r="B743" i="5"/>
  <c r="C743" i="5"/>
  <c r="B744" i="5"/>
  <c r="C744" i="5"/>
  <c r="B745" i="5"/>
  <c r="C745" i="5"/>
  <c r="B746" i="5"/>
  <c r="C746" i="5"/>
  <c r="B747" i="5"/>
  <c r="C747" i="5"/>
  <c r="B748" i="5"/>
  <c r="C748" i="5"/>
  <c r="B749" i="5"/>
  <c r="C749" i="5"/>
  <c r="B750" i="5"/>
  <c r="C750" i="5"/>
  <c r="B751" i="5"/>
  <c r="C751" i="5"/>
  <c r="B752" i="5"/>
  <c r="C752" i="5"/>
  <c r="B753" i="5"/>
  <c r="C753" i="5"/>
  <c r="B754" i="5"/>
  <c r="C754" i="5"/>
  <c r="B755" i="5"/>
  <c r="C755" i="5"/>
  <c r="B756" i="5"/>
  <c r="C756" i="5"/>
  <c r="B757" i="5"/>
  <c r="C757" i="5"/>
  <c r="B758" i="5"/>
  <c r="C758" i="5"/>
  <c r="B759" i="5"/>
  <c r="C759" i="5"/>
  <c r="B760" i="5"/>
  <c r="C760" i="5"/>
  <c r="B761" i="5"/>
  <c r="C761" i="5"/>
  <c r="B762" i="5"/>
  <c r="C762" i="5"/>
  <c r="B763" i="5"/>
  <c r="C763" i="5"/>
  <c r="B764" i="5"/>
  <c r="C764" i="5"/>
  <c r="B765" i="5"/>
  <c r="C765" i="5"/>
  <c r="B766" i="5"/>
  <c r="C766" i="5"/>
  <c r="B767" i="5"/>
  <c r="C767" i="5"/>
  <c r="B768" i="5"/>
  <c r="C768" i="5"/>
  <c r="B769" i="5"/>
  <c r="C769" i="5"/>
  <c r="B770" i="5"/>
  <c r="C770" i="5"/>
  <c r="B771" i="5"/>
  <c r="C771" i="5"/>
  <c r="B772" i="5"/>
  <c r="C772" i="5"/>
  <c r="B773" i="5"/>
  <c r="C773" i="5"/>
  <c r="B774" i="5"/>
  <c r="C774" i="5"/>
  <c r="B775" i="5"/>
  <c r="C775" i="5"/>
  <c r="B776" i="5"/>
  <c r="C776" i="5"/>
  <c r="B777" i="5"/>
  <c r="C777" i="5"/>
  <c r="B778" i="5"/>
  <c r="C778" i="5"/>
  <c r="B779" i="5"/>
  <c r="C779" i="5"/>
  <c r="B780" i="5"/>
  <c r="C780" i="5"/>
  <c r="B781" i="5"/>
  <c r="C781" i="5"/>
  <c r="B782" i="5"/>
  <c r="C782" i="5"/>
  <c r="B783" i="5"/>
  <c r="C783" i="5"/>
  <c r="B784" i="5"/>
  <c r="C784" i="5"/>
  <c r="B785" i="5"/>
  <c r="C785" i="5"/>
  <c r="B786" i="5"/>
  <c r="C786" i="5"/>
  <c r="B787" i="5"/>
  <c r="C787" i="5"/>
  <c r="B788" i="5"/>
  <c r="C788" i="5"/>
  <c r="B789" i="5"/>
  <c r="C789" i="5"/>
  <c r="B790" i="5"/>
  <c r="C790" i="5"/>
  <c r="B791" i="5"/>
  <c r="C791" i="5"/>
  <c r="B792" i="5"/>
  <c r="C792" i="5"/>
  <c r="B793" i="5"/>
  <c r="C793" i="5"/>
  <c r="B794" i="5"/>
  <c r="C794" i="5"/>
  <c r="B795" i="5"/>
  <c r="C795" i="5"/>
  <c r="B796" i="5"/>
  <c r="C796" i="5"/>
  <c r="B797" i="5"/>
  <c r="C797" i="5"/>
  <c r="B798" i="5"/>
  <c r="C798" i="5"/>
  <c r="B799" i="5"/>
  <c r="C799" i="5"/>
  <c r="B800" i="5"/>
  <c r="C800" i="5"/>
  <c r="B801" i="5"/>
  <c r="C801" i="5"/>
  <c r="B802" i="5"/>
  <c r="C802" i="5"/>
  <c r="B803" i="5"/>
  <c r="C803" i="5"/>
  <c r="B804" i="5"/>
  <c r="C804" i="5"/>
  <c r="B805" i="5"/>
  <c r="C805" i="5"/>
  <c r="B806" i="5"/>
  <c r="C806" i="5"/>
  <c r="B807" i="5"/>
  <c r="C807" i="5"/>
  <c r="B808" i="5"/>
  <c r="C808" i="5"/>
  <c r="B809" i="5"/>
  <c r="C809" i="5"/>
  <c r="B810" i="5"/>
  <c r="C810" i="5"/>
  <c r="B811" i="5"/>
  <c r="C811" i="5"/>
  <c r="B812" i="5"/>
  <c r="C812" i="5"/>
  <c r="B813" i="5"/>
  <c r="C813" i="5"/>
  <c r="B814" i="5"/>
  <c r="C814" i="5"/>
  <c r="B815" i="5"/>
  <c r="C815" i="5"/>
  <c r="B816" i="5"/>
  <c r="C816" i="5"/>
  <c r="B817" i="5"/>
  <c r="C817" i="5"/>
  <c r="B818" i="5"/>
  <c r="C818" i="5"/>
  <c r="B819" i="5"/>
  <c r="C819" i="5"/>
  <c r="B820" i="5"/>
  <c r="C820" i="5"/>
  <c r="B821" i="5"/>
  <c r="C821" i="5"/>
  <c r="B822" i="5"/>
  <c r="C822" i="5"/>
  <c r="B823" i="5"/>
  <c r="C823" i="5"/>
  <c r="B824" i="5"/>
  <c r="C824" i="5"/>
  <c r="B825" i="5"/>
  <c r="C825" i="5"/>
  <c r="B826" i="5"/>
  <c r="C826" i="5"/>
  <c r="B827" i="5"/>
  <c r="C827" i="5"/>
  <c r="B828" i="5"/>
  <c r="C828" i="5"/>
  <c r="B829" i="5"/>
  <c r="C829" i="5"/>
  <c r="B830" i="5"/>
  <c r="C830" i="5"/>
  <c r="B831" i="5"/>
  <c r="C831" i="5"/>
  <c r="B832" i="5"/>
  <c r="C832" i="5"/>
  <c r="B833" i="5"/>
  <c r="C833" i="5"/>
  <c r="B834" i="5"/>
  <c r="C834" i="5"/>
  <c r="B835" i="5"/>
  <c r="C835" i="5"/>
  <c r="B836" i="5"/>
  <c r="C836" i="5"/>
  <c r="B837" i="5"/>
  <c r="C837" i="5"/>
  <c r="B838" i="5"/>
  <c r="C838" i="5"/>
  <c r="B839" i="5"/>
  <c r="C839" i="5"/>
  <c r="B840" i="5"/>
  <c r="C840" i="5"/>
  <c r="B841" i="5"/>
  <c r="C841" i="5"/>
  <c r="B842" i="5"/>
  <c r="C842" i="5"/>
  <c r="B843" i="5"/>
  <c r="C843" i="5"/>
  <c r="B844" i="5"/>
  <c r="C844" i="5"/>
  <c r="B845" i="5"/>
  <c r="C845" i="5"/>
  <c r="B846" i="5"/>
  <c r="C846" i="5"/>
  <c r="B847" i="5"/>
  <c r="C847" i="5"/>
  <c r="B848" i="5"/>
  <c r="C848" i="5"/>
  <c r="B849" i="5"/>
  <c r="C849" i="5"/>
  <c r="B850" i="5"/>
  <c r="C850" i="5"/>
  <c r="B851" i="5"/>
  <c r="C851" i="5"/>
  <c r="B852" i="5"/>
  <c r="C852" i="5"/>
  <c r="B853" i="5"/>
  <c r="C853" i="5"/>
  <c r="B854" i="5"/>
  <c r="C854" i="5"/>
  <c r="B855" i="5"/>
  <c r="C855" i="5"/>
  <c r="B856" i="5"/>
  <c r="C856" i="5"/>
  <c r="B857" i="5"/>
  <c r="C857" i="5"/>
  <c r="B858" i="5"/>
  <c r="C858" i="5"/>
  <c r="B859" i="5"/>
  <c r="C859" i="5"/>
  <c r="B860" i="5"/>
  <c r="C860" i="5"/>
  <c r="B861" i="5"/>
  <c r="C861" i="5"/>
  <c r="B862" i="5"/>
  <c r="C862" i="5"/>
  <c r="B863" i="5"/>
  <c r="C863" i="5"/>
  <c r="B864" i="5"/>
  <c r="C864" i="5"/>
  <c r="B865" i="5"/>
  <c r="C865" i="5"/>
  <c r="B866" i="5"/>
  <c r="C866" i="5"/>
  <c r="B867" i="5"/>
  <c r="C867" i="5"/>
  <c r="B868" i="5"/>
  <c r="C868" i="5"/>
  <c r="B869" i="5"/>
  <c r="C869" i="5"/>
  <c r="B870" i="5"/>
  <c r="C870" i="5"/>
  <c r="B871" i="5"/>
  <c r="C871" i="5"/>
  <c r="B872" i="5"/>
  <c r="C872" i="5"/>
  <c r="B873" i="5"/>
  <c r="C873" i="5"/>
  <c r="B874" i="5"/>
  <c r="C874" i="5"/>
  <c r="B875" i="5"/>
  <c r="C875" i="5"/>
  <c r="B876" i="5"/>
  <c r="C876" i="5"/>
  <c r="B877" i="5"/>
  <c r="C877" i="5"/>
  <c r="B878" i="5"/>
  <c r="C878" i="5"/>
  <c r="B879" i="5"/>
  <c r="C879" i="5"/>
  <c r="B880" i="5"/>
  <c r="C880" i="5"/>
  <c r="B881" i="5"/>
  <c r="C881" i="5"/>
  <c r="B882" i="5"/>
  <c r="C882" i="5"/>
  <c r="B883" i="5"/>
  <c r="C883" i="5"/>
  <c r="B884" i="5"/>
  <c r="C884" i="5"/>
  <c r="B885" i="5"/>
  <c r="C885" i="5"/>
  <c r="B886" i="5"/>
  <c r="C886" i="5"/>
  <c r="B887" i="5"/>
  <c r="C887" i="5"/>
  <c r="B888" i="5"/>
  <c r="C888" i="5"/>
  <c r="B889" i="5"/>
  <c r="C889" i="5"/>
  <c r="B890" i="5"/>
  <c r="C890" i="5"/>
  <c r="B891" i="5"/>
  <c r="C891" i="5"/>
  <c r="B892" i="5"/>
  <c r="C892" i="5"/>
  <c r="B893" i="5"/>
  <c r="C893" i="5"/>
  <c r="B894" i="5"/>
  <c r="C894" i="5"/>
  <c r="B895" i="5"/>
  <c r="C895" i="5"/>
  <c r="B896" i="5"/>
  <c r="C896" i="5"/>
  <c r="B897" i="5"/>
  <c r="C897" i="5"/>
  <c r="B898" i="5"/>
  <c r="C898" i="5"/>
  <c r="B899" i="5"/>
  <c r="C899" i="5"/>
  <c r="B900" i="5"/>
  <c r="C900" i="5"/>
  <c r="B901" i="5"/>
  <c r="C901" i="5"/>
  <c r="B902" i="5"/>
  <c r="C902" i="5"/>
  <c r="B903" i="5"/>
  <c r="C903" i="5"/>
  <c r="B904" i="5"/>
  <c r="C904" i="5"/>
  <c r="B905" i="5"/>
  <c r="C905" i="5"/>
  <c r="B906" i="5"/>
  <c r="C906" i="5"/>
  <c r="B907" i="5"/>
  <c r="C907" i="5"/>
  <c r="B908" i="5"/>
  <c r="C908" i="5"/>
  <c r="B909" i="5"/>
  <c r="C909" i="5"/>
  <c r="B910" i="5"/>
  <c r="C910" i="5"/>
  <c r="B911" i="5"/>
  <c r="C911" i="5"/>
  <c r="B912" i="5"/>
  <c r="C912" i="5"/>
  <c r="B913" i="5"/>
  <c r="C913" i="5"/>
  <c r="B914" i="5"/>
  <c r="C914" i="5"/>
  <c r="B915" i="5"/>
  <c r="C915" i="5"/>
  <c r="B916" i="5"/>
  <c r="C916" i="5"/>
  <c r="B917" i="5"/>
  <c r="C917" i="5"/>
  <c r="B918" i="5"/>
  <c r="C918" i="5"/>
  <c r="B919" i="5"/>
  <c r="C919" i="5"/>
  <c r="B920" i="5"/>
  <c r="C920" i="5"/>
  <c r="B921" i="5"/>
  <c r="C921" i="5"/>
  <c r="B922" i="5"/>
  <c r="C922" i="5"/>
  <c r="B923" i="5"/>
  <c r="C923" i="5"/>
  <c r="B924" i="5"/>
  <c r="C924" i="5"/>
  <c r="B925" i="5"/>
  <c r="C925" i="5"/>
  <c r="B926" i="5"/>
  <c r="C926" i="5"/>
  <c r="B927" i="5"/>
  <c r="C927" i="5"/>
  <c r="B928" i="5"/>
  <c r="C928" i="5"/>
  <c r="B929" i="5"/>
  <c r="C929" i="5"/>
  <c r="B930" i="5"/>
  <c r="C930" i="5"/>
  <c r="B931" i="5"/>
  <c r="C931" i="5"/>
  <c r="B932" i="5"/>
  <c r="C932" i="5"/>
  <c r="B933" i="5"/>
  <c r="C933" i="5"/>
  <c r="B934" i="5"/>
  <c r="C934" i="5"/>
  <c r="B935" i="5"/>
  <c r="C935" i="5"/>
  <c r="B936" i="5"/>
  <c r="C936" i="5"/>
  <c r="B937" i="5"/>
  <c r="C937" i="5"/>
  <c r="B938" i="5"/>
  <c r="C938" i="5"/>
  <c r="B939" i="5"/>
  <c r="C939" i="5"/>
  <c r="B940" i="5"/>
  <c r="C940" i="5"/>
  <c r="B941" i="5"/>
  <c r="C941" i="5"/>
  <c r="B942" i="5"/>
  <c r="C942" i="5"/>
  <c r="B943" i="5"/>
  <c r="C943" i="5"/>
  <c r="B944" i="5"/>
  <c r="C944" i="5"/>
  <c r="B945" i="5"/>
  <c r="C945" i="5"/>
  <c r="B946" i="5"/>
  <c r="C946" i="5"/>
  <c r="B947" i="5"/>
  <c r="C947" i="5"/>
  <c r="B948" i="5"/>
  <c r="C948" i="5"/>
  <c r="B949" i="5"/>
  <c r="C949" i="5"/>
  <c r="B950" i="5"/>
  <c r="C950" i="5"/>
  <c r="B951" i="5"/>
  <c r="C951" i="5"/>
  <c r="B952" i="5"/>
  <c r="C952" i="5"/>
  <c r="B953" i="5"/>
  <c r="C953" i="5"/>
  <c r="B954" i="5"/>
  <c r="C954" i="5"/>
  <c r="B955" i="5"/>
  <c r="C955" i="5"/>
  <c r="B956" i="5"/>
  <c r="C956" i="5"/>
  <c r="B957" i="5"/>
  <c r="C957" i="5"/>
  <c r="B958" i="5"/>
  <c r="C958" i="5"/>
  <c r="B959" i="5"/>
  <c r="C959" i="5"/>
  <c r="B960" i="5"/>
  <c r="C960" i="5"/>
  <c r="B961" i="5"/>
  <c r="C961" i="5"/>
  <c r="B962" i="5"/>
  <c r="C962" i="5"/>
  <c r="B963" i="5"/>
  <c r="C963" i="5"/>
  <c r="B964" i="5"/>
  <c r="C964" i="5"/>
  <c r="B965" i="5"/>
  <c r="C965" i="5"/>
  <c r="B966" i="5"/>
  <c r="C966" i="5"/>
  <c r="B967" i="5"/>
  <c r="C967" i="5"/>
  <c r="B968" i="5"/>
  <c r="C968" i="5"/>
  <c r="B969" i="5"/>
  <c r="C969" i="5"/>
  <c r="B970" i="5"/>
  <c r="C970" i="5"/>
  <c r="B971" i="5"/>
  <c r="C971" i="5"/>
  <c r="B972" i="5"/>
  <c r="C972" i="5"/>
  <c r="B973" i="5"/>
  <c r="C973" i="5"/>
  <c r="B974" i="5"/>
  <c r="C974" i="5"/>
  <c r="B975" i="5"/>
  <c r="C975" i="5"/>
  <c r="B976" i="5"/>
  <c r="C976" i="5"/>
  <c r="B977" i="5"/>
  <c r="C977" i="5"/>
  <c r="B978" i="5"/>
  <c r="C978" i="5"/>
  <c r="B979" i="5"/>
  <c r="C979" i="5"/>
  <c r="B980" i="5"/>
  <c r="C980" i="5"/>
  <c r="B981" i="5"/>
  <c r="C981" i="5"/>
  <c r="B982" i="5"/>
  <c r="C982" i="5"/>
  <c r="B983" i="5"/>
  <c r="C983" i="5"/>
  <c r="B984" i="5"/>
  <c r="C984" i="5"/>
  <c r="B985" i="5"/>
  <c r="C985" i="5"/>
  <c r="B986" i="5"/>
  <c r="C986" i="5"/>
  <c r="B987" i="5"/>
  <c r="C987" i="5"/>
  <c r="B988" i="5"/>
  <c r="C988" i="5"/>
  <c r="B989" i="5"/>
  <c r="C989" i="5"/>
  <c r="B990" i="5"/>
  <c r="C990" i="5"/>
  <c r="B991" i="5"/>
  <c r="C991" i="5"/>
  <c r="B992" i="5"/>
  <c r="C992" i="5"/>
  <c r="B993" i="5"/>
  <c r="C993" i="5"/>
  <c r="B994" i="5"/>
  <c r="C994" i="5"/>
  <c r="B995" i="5"/>
  <c r="C995" i="5"/>
  <c r="B996" i="5"/>
  <c r="C996" i="5"/>
  <c r="B997" i="5"/>
  <c r="C997" i="5"/>
  <c r="B998" i="5"/>
  <c r="C998" i="5"/>
  <c r="B999" i="5"/>
  <c r="C999" i="5"/>
  <c r="B1000" i="5"/>
  <c r="C1000" i="5"/>
  <c r="B1001" i="5"/>
  <c r="C1001" i="5"/>
  <c r="B1002" i="5"/>
  <c r="C1002" i="5"/>
  <c r="B1003" i="5"/>
  <c r="C1003" i="5"/>
  <c r="B1004" i="5"/>
  <c r="C1004" i="5"/>
  <c r="B1005" i="5"/>
  <c r="C1005" i="5"/>
  <c r="B1006" i="5"/>
  <c r="C1006" i="5"/>
  <c r="B1007" i="5"/>
  <c r="C1007" i="5"/>
  <c r="B1008" i="5"/>
  <c r="C1008" i="5"/>
  <c r="B1009" i="5"/>
  <c r="C1009" i="5"/>
  <c r="B1010" i="5"/>
  <c r="C1010" i="5"/>
  <c r="B1011" i="5"/>
  <c r="C1011" i="5"/>
  <c r="B1012" i="5"/>
  <c r="C1012" i="5"/>
  <c r="B1013" i="5"/>
  <c r="C1013" i="5"/>
  <c r="B1014" i="5"/>
  <c r="C1014" i="5"/>
  <c r="B1015" i="5"/>
  <c r="C1015" i="5"/>
  <c r="B1016" i="5"/>
  <c r="C1016" i="5"/>
  <c r="B1017" i="5"/>
  <c r="C1017" i="5"/>
  <c r="B1018" i="5"/>
  <c r="C1018" i="5"/>
  <c r="B1019" i="5"/>
  <c r="C1019" i="5"/>
  <c r="B1020" i="5"/>
  <c r="C1020" i="5"/>
  <c r="B1021" i="5"/>
  <c r="C1021" i="5"/>
  <c r="B1022" i="5"/>
  <c r="C1022" i="5"/>
  <c r="B1023" i="5"/>
  <c r="C1023" i="5"/>
  <c r="B1024" i="5"/>
  <c r="C1024" i="5"/>
  <c r="B1025" i="5"/>
  <c r="C1025" i="5"/>
  <c r="B1026" i="5"/>
  <c r="C1026" i="5"/>
  <c r="B1027" i="5"/>
  <c r="C1027" i="5"/>
  <c r="B1028" i="5"/>
  <c r="C1028" i="5"/>
  <c r="B1029" i="5"/>
  <c r="C1029" i="5"/>
  <c r="B1030" i="5"/>
  <c r="C1030" i="5"/>
  <c r="B1031" i="5"/>
  <c r="C1031" i="5"/>
  <c r="B1032" i="5"/>
  <c r="C1032" i="5"/>
  <c r="B1033" i="5"/>
  <c r="C1033" i="5"/>
  <c r="B1034" i="5"/>
  <c r="C1034" i="5"/>
  <c r="B1035" i="5"/>
  <c r="C1035" i="5"/>
  <c r="B1036" i="5"/>
  <c r="C1036" i="5"/>
  <c r="B1037" i="5"/>
  <c r="C1037" i="5"/>
  <c r="B1038" i="5"/>
  <c r="C1038" i="5"/>
  <c r="B1039" i="5"/>
  <c r="C1039" i="5"/>
  <c r="B1040" i="5"/>
  <c r="C1040" i="5"/>
  <c r="B1041" i="5"/>
  <c r="C1041" i="5"/>
  <c r="B1042" i="5"/>
  <c r="C1042" i="5"/>
  <c r="B1043" i="5"/>
  <c r="C1043" i="5"/>
  <c r="B1044" i="5"/>
  <c r="C1044" i="5"/>
  <c r="B1045" i="5"/>
  <c r="C1045" i="5"/>
  <c r="B1046" i="5"/>
  <c r="C1046" i="5"/>
  <c r="B1047" i="5"/>
  <c r="C1047" i="5"/>
  <c r="B1048" i="5"/>
  <c r="C1048" i="5"/>
  <c r="B1049" i="5"/>
  <c r="C1049" i="5"/>
  <c r="B1050" i="5"/>
  <c r="C1050" i="5"/>
  <c r="B1051" i="5"/>
  <c r="C1051" i="5"/>
  <c r="B1052" i="5"/>
  <c r="C1052" i="5"/>
  <c r="B1053" i="5"/>
  <c r="C1053" i="5"/>
  <c r="B1054" i="5"/>
  <c r="C1054" i="5"/>
  <c r="B1055" i="5"/>
  <c r="C1055" i="5"/>
  <c r="B1056" i="5"/>
  <c r="C1056" i="5"/>
  <c r="B1057" i="5"/>
  <c r="C1057" i="5"/>
  <c r="B1058" i="5"/>
  <c r="C1058" i="5"/>
  <c r="B1059" i="5"/>
  <c r="C1059" i="5"/>
  <c r="B1060" i="5"/>
  <c r="C1060" i="5"/>
  <c r="B1061" i="5"/>
  <c r="C1061" i="5"/>
  <c r="B1062" i="5"/>
  <c r="C1062" i="5"/>
  <c r="B1063" i="5"/>
  <c r="C1063" i="5"/>
  <c r="B1064" i="5"/>
  <c r="C1064" i="5"/>
  <c r="B1065" i="5"/>
  <c r="C1065" i="5"/>
  <c r="B1066" i="5"/>
  <c r="C1066" i="5"/>
  <c r="B1067" i="5"/>
  <c r="C1067" i="5"/>
  <c r="B1068" i="5"/>
  <c r="C1068" i="5"/>
  <c r="B1069" i="5"/>
  <c r="C1069" i="5"/>
  <c r="B1070" i="5"/>
  <c r="C1070" i="5"/>
  <c r="B1071" i="5"/>
  <c r="C1071" i="5"/>
  <c r="B1072" i="5"/>
  <c r="C1072" i="5"/>
  <c r="B1073" i="5"/>
  <c r="C1073" i="5"/>
  <c r="B1074" i="5"/>
  <c r="C1074" i="5"/>
  <c r="B1075" i="5"/>
  <c r="C1075" i="5"/>
  <c r="B1076" i="5"/>
  <c r="C1076" i="5"/>
  <c r="B1077" i="5"/>
  <c r="C1077" i="5"/>
  <c r="B1078" i="5"/>
  <c r="C1078" i="5"/>
  <c r="B1079" i="5"/>
  <c r="C1079" i="5"/>
  <c r="B1080" i="5"/>
  <c r="C1080" i="5"/>
  <c r="B1081" i="5"/>
  <c r="C1081" i="5"/>
  <c r="B1082" i="5"/>
  <c r="C1082" i="5"/>
  <c r="B1083" i="5"/>
  <c r="C1083" i="5"/>
  <c r="B1084" i="5"/>
  <c r="C1084" i="5"/>
  <c r="B1085" i="5"/>
  <c r="C1085" i="5"/>
  <c r="B1086" i="5"/>
  <c r="C1086" i="5"/>
  <c r="B1087" i="5"/>
  <c r="C1087" i="5"/>
  <c r="B1088" i="5"/>
  <c r="C1088" i="5"/>
  <c r="B1089" i="5"/>
  <c r="C1089" i="5"/>
  <c r="B1090" i="5"/>
  <c r="C1090" i="5"/>
  <c r="B1091" i="5"/>
  <c r="C1091" i="5"/>
  <c r="B1092" i="5"/>
  <c r="C1092" i="5"/>
  <c r="B1093" i="5"/>
  <c r="C1093" i="5"/>
  <c r="B1094" i="5"/>
  <c r="C1094" i="5"/>
  <c r="B1095" i="5"/>
  <c r="C1095" i="5"/>
  <c r="B1096" i="5"/>
  <c r="C1096" i="5"/>
  <c r="B1097" i="5"/>
  <c r="C1097" i="5"/>
  <c r="B1098" i="5"/>
  <c r="C1098" i="5"/>
  <c r="B1099" i="5"/>
  <c r="C1099" i="5"/>
  <c r="B1100" i="5"/>
  <c r="C1100" i="5"/>
  <c r="B1101" i="5"/>
  <c r="C1101" i="5"/>
  <c r="B1102" i="5"/>
  <c r="C1102" i="5"/>
  <c r="B1103" i="5"/>
  <c r="C1103" i="5"/>
  <c r="B1104" i="5"/>
  <c r="C1104" i="5"/>
  <c r="B1105" i="5"/>
  <c r="C1105" i="5"/>
  <c r="B1106" i="5"/>
  <c r="C1106" i="5"/>
  <c r="B1107" i="5"/>
  <c r="C1107" i="5"/>
  <c r="B1108" i="5"/>
  <c r="C1108" i="5"/>
  <c r="B1109" i="5"/>
  <c r="C1109" i="5"/>
  <c r="B1110" i="5"/>
  <c r="C1110" i="5"/>
  <c r="B1111" i="5"/>
  <c r="C1111" i="5"/>
  <c r="B1112" i="5"/>
  <c r="C1112" i="5"/>
  <c r="B1113" i="5"/>
  <c r="C1113" i="5"/>
  <c r="B1114" i="5"/>
  <c r="C1114" i="5"/>
  <c r="B1115" i="5"/>
  <c r="C1115" i="5"/>
  <c r="B1116" i="5"/>
  <c r="C1116" i="5"/>
  <c r="B1117" i="5"/>
  <c r="C1117" i="5"/>
  <c r="B1118" i="5"/>
  <c r="C1118" i="5"/>
  <c r="B1119" i="5"/>
  <c r="C1119" i="5"/>
  <c r="B1120" i="5"/>
  <c r="C1120" i="5"/>
  <c r="B1121" i="5"/>
  <c r="C1121" i="5"/>
  <c r="B1122" i="5"/>
  <c r="C1122" i="5"/>
  <c r="B1123" i="5"/>
  <c r="C1123" i="5"/>
  <c r="B1124" i="5"/>
  <c r="C1124" i="5"/>
  <c r="B1125" i="5"/>
  <c r="C1125" i="5"/>
  <c r="B1126" i="5"/>
  <c r="C1126" i="5"/>
  <c r="B1127" i="5"/>
  <c r="C1127" i="5"/>
  <c r="B1128" i="5"/>
  <c r="C1128" i="5"/>
  <c r="B1129" i="5"/>
  <c r="C1129" i="5"/>
  <c r="B1130" i="5"/>
  <c r="C1130" i="5"/>
  <c r="B1131" i="5"/>
  <c r="C1131" i="5"/>
  <c r="B1132" i="5"/>
  <c r="C1132" i="5"/>
  <c r="B1133" i="5"/>
  <c r="C1133" i="5"/>
  <c r="B1134" i="5"/>
  <c r="C1134" i="5"/>
  <c r="B1135" i="5"/>
  <c r="C1135" i="5"/>
  <c r="B1136" i="5"/>
  <c r="C1136" i="5"/>
  <c r="B1137" i="5"/>
  <c r="C1137" i="5"/>
  <c r="B1138" i="5"/>
  <c r="C1138" i="5"/>
  <c r="B1139" i="5"/>
  <c r="C1139" i="5"/>
  <c r="B1140" i="5"/>
  <c r="C1140" i="5"/>
  <c r="B1141" i="5"/>
  <c r="C1141" i="5"/>
  <c r="B1142" i="5"/>
  <c r="C1142" i="5"/>
  <c r="B1143" i="5"/>
  <c r="C1143" i="5"/>
  <c r="B1144" i="5"/>
  <c r="C1144" i="5"/>
  <c r="B1145" i="5"/>
  <c r="C1145" i="5"/>
  <c r="B1146" i="5"/>
  <c r="C1146" i="5"/>
  <c r="B1147" i="5"/>
  <c r="C1147" i="5"/>
  <c r="B1148" i="5"/>
  <c r="C1148" i="5"/>
  <c r="B1149" i="5"/>
  <c r="C1149" i="5"/>
  <c r="B1150" i="5"/>
  <c r="C1150" i="5"/>
  <c r="B1151" i="5"/>
  <c r="C1151" i="5"/>
  <c r="B1152" i="5"/>
  <c r="C1152" i="5"/>
  <c r="B1153" i="5"/>
  <c r="C1153" i="5"/>
  <c r="B1154" i="5"/>
  <c r="C1154" i="5"/>
  <c r="B1155" i="5"/>
  <c r="C1155" i="5"/>
  <c r="B1156" i="5"/>
  <c r="C1156" i="5"/>
  <c r="B1157" i="5"/>
  <c r="C1157" i="5"/>
  <c r="B1158" i="5"/>
  <c r="C1158" i="5"/>
  <c r="B1159" i="5"/>
  <c r="C1159" i="5"/>
  <c r="B1160" i="5"/>
  <c r="C1160" i="5"/>
  <c r="B1161" i="5"/>
  <c r="C1161" i="5"/>
  <c r="B1162" i="5"/>
  <c r="C1162" i="5"/>
  <c r="B1163" i="5"/>
  <c r="C1163" i="5"/>
  <c r="B1164" i="5"/>
  <c r="C1164" i="5"/>
  <c r="B1165" i="5"/>
  <c r="C1165" i="5"/>
  <c r="B1166" i="5"/>
  <c r="C1166" i="5"/>
  <c r="B1167" i="5"/>
  <c r="C1167" i="5"/>
  <c r="B1168" i="5"/>
  <c r="C1168" i="5"/>
  <c r="B1169" i="5"/>
  <c r="C1169" i="5"/>
  <c r="B1170" i="5"/>
  <c r="C1170" i="5"/>
  <c r="B1171" i="5"/>
  <c r="C1171" i="5"/>
  <c r="B1172" i="5"/>
  <c r="C1172" i="5"/>
  <c r="B1173" i="5"/>
  <c r="C1173" i="5"/>
  <c r="B1174" i="5"/>
  <c r="C1174" i="5"/>
  <c r="B1175" i="5"/>
  <c r="C1175" i="5"/>
  <c r="B1176" i="5"/>
  <c r="C1176" i="5"/>
  <c r="B1177" i="5"/>
  <c r="C1177" i="5"/>
  <c r="B1178" i="5"/>
  <c r="C1178" i="5"/>
  <c r="B1179" i="5"/>
  <c r="C1179" i="5"/>
  <c r="B1180" i="5"/>
  <c r="C1180" i="5"/>
  <c r="B1181" i="5"/>
  <c r="C1181" i="5"/>
  <c r="B1182" i="5"/>
  <c r="C1182" i="5"/>
  <c r="B1183" i="5"/>
  <c r="C1183" i="5"/>
  <c r="B1184" i="5"/>
  <c r="C1184" i="5"/>
  <c r="B1185" i="5"/>
  <c r="C1185" i="5"/>
  <c r="B1186" i="5"/>
  <c r="C1186" i="5"/>
  <c r="B1187" i="5"/>
  <c r="C1187" i="5"/>
  <c r="B1188" i="5"/>
  <c r="C1188" i="5"/>
  <c r="B1189" i="5"/>
  <c r="C1189" i="5"/>
  <c r="B1190" i="5"/>
  <c r="C1190" i="5"/>
  <c r="B1191" i="5"/>
  <c r="C1191" i="5"/>
  <c r="B1192" i="5"/>
  <c r="C1192" i="5"/>
  <c r="B1193" i="5"/>
  <c r="C1193" i="5"/>
  <c r="B1194" i="5"/>
  <c r="C1194" i="5"/>
  <c r="B1195" i="5"/>
  <c r="C1195" i="5"/>
  <c r="B1196" i="5"/>
  <c r="C1196" i="5"/>
  <c r="B1197" i="5"/>
  <c r="C1197" i="5"/>
  <c r="B1198" i="5"/>
  <c r="C1198" i="5"/>
  <c r="B1199" i="5"/>
  <c r="C1199" i="5"/>
  <c r="B1200" i="5"/>
  <c r="C1200" i="5"/>
  <c r="B1201" i="5"/>
  <c r="C1201" i="5"/>
  <c r="B1202" i="5"/>
  <c r="C1202" i="5"/>
  <c r="B1203" i="5"/>
  <c r="C1203" i="5"/>
  <c r="B1204" i="5"/>
  <c r="C1204" i="5"/>
  <c r="B1205" i="5"/>
  <c r="C1205" i="5"/>
  <c r="B1206" i="5"/>
  <c r="C1206" i="5"/>
  <c r="B1207" i="5"/>
  <c r="C1207" i="5"/>
  <c r="B1208" i="5"/>
  <c r="C1208" i="5"/>
  <c r="B1209" i="5"/>
  <c r="C1209" i="5"/>
  <c r="B1210" i="5"/>
  <c r="C1210" i="5"/>
  <c r="B1211" i="5"/>
  <c r="C1211" i="5"/>
  <c r="B1212" i="5"/>
  <c r="C1212" i="5"/>
  <c r="B1213" i="5"/>
  <c r="C1213" i="5"/>
  <c r="B1214" i="5"/>
  <c r="C1214" i="5"/>
  <c r="B1215" i="5"/>
  <c r="C1215" i="5"/>
  <c r="B1216" i="5"/>
  <c r="C1216" i="5"/>
  <c r="B1217" i="5"/>
  <c r="C1217" i="5"/>
  <c r="B1218" i="5"/>
  <c r="C1218" i="5"/>
  <c r="B1219" i="5"/>
  <c r="C1219" i="5"/>
  <c r="B1220" i="5"/>
  <c r="C1220" i="5"/>
  <c r="B1221" i="5"/>
  <c r="C1221" i="5"/>
  <c r="B1222" i="5"/>
  <c r="C1222" i="5"/>
  <c r="B1223" i="5"/>
  <c r="C1223" i="5"/>
  <c r="B1224" i="5"/>
  <c r="C1224" i="5"/>
  <c r="B1225" i="5"/>
  <c r="C1225" i="5"/>
  <c r="B1226" i="5"/>
  <c r="C1226" i="5"/>
  <c r="B1227" i="5"/>
  <c r="C1227" i="5"/>
  <c r="B1228" i="5"/>
  <c r="C1228" i="5"/>
  <c r="B1229" i="5"/>
  <c r="C1229" i="5"/>
  <c r="B1230" i="5"/>
  <c r="C1230" i="5"/>
  <c r="B1231" i="5"/>
  <c r="C1231" i="5"/>
  <c r="B1232" i="5"/>
  <c r="C1232" i="5"/>
  <c r="B1233" i="5"/>
  <c r="C1233" i="5"/>
  <c r="B1234" i="5"/>
  <c r="C1234" i="5"/>
  <c r="B1235" i="5"/>
  <c r="C1235" i="5"/>
  <c r="B1236" i="5"/>
  <c r="C1236" i="5"/>
  <c r="B1237" i="5"/>
  <c r="C1237" i="5"/>
  <c r="B1238" i="5"/>
  <c r="C1238" i="5"/>
  <c r="B1239" i="5"/>
  <c r="C1239" i="5"/>
  <c r="B1240" i="5"/>
  <c r="C1240" i="5"/>
  <c r="B1241" i="5"/>
  <c r="C1241" i="5"/>
  <c r="B1242" i="5"/>
  <c r="C1242" i="5"/>
  <c r="B1243" i="5"/>
  <c r="C1243" i="5"/>
  <c r="B1244" i="5"/>
  <c r="C1244" i="5"/>
  <c r="B1245" i="5"/>
  <c r="C1245" i="5"/>
  <c r="B1246" i="5"/>
  <c r="C1246" i="5"/>
  <c r="B1247" i="5"/>
  <c r="C1247" i="5"/>
  <c r="B1248" i="5"/>
  <c r="C1248" i="5"/>
  <c r="B1249" i="5"/>
  <c r="C1249" i="5"/>
  <c r="B1250" i="5"/>
  <c r="C1250" i="5"/>
  <c r="B1251" i="5"/>
  <c r="C1251" i="5"/>
  <c r="B1252" i="5"/>
  <c r="C1252" i="5"/>
  <c r="B1253" i="5"/>
  <c r="C1253" i="5"/>
  <c r="B1254" i="5"/>
  <c r="C1254" i="5"/>
  <c r="B1255" i="5"/>
  <c r="C1255" i="5"/>
  <c r="B1256" i="5"/>
  <c r="C1256" i="5"/>
  <c r="B1257" i="5"/>
  <c r="C1257" i="5"/>
  <c r="B1258" i="5"/>
  <c r="C1258" i="5"/>
  <c r="B1259" i="5"/>
  <c r="C1259" i="5"/>
  <c r="B1260" i="5"/>
  <c r="C1260" i="5"/>
  <c r="B1261" i="5"/>
  <c r="C1261" i="5"/>
  <c r="B1262" i="5"/>
  <c r="C1262" i="5"/>
  <c r="B1263" i="5"/>
  <c r="C1263" i="5"/>
  <c r="B1264" i="5"/>
  <c r="C1264" i="5"/>
  <c r="B1265" i="5"/>
  <c r="C1265" i="5"/>
  <c r="B1266" i="5"/>
  <c r="C1266" i="5"/>
  <c r="B1267" i="5"/>
  <c r="C1267" i="5"/>
  <c r="B1268" i="5"/>
  <c r="C1268" i="5"/>
  <c r="B1269" i="5"/>
  <c r="C1269" i="5"/>
  <c r="B1270" i="5"/>
  <c r="C1270" i="5"/>
  <c r="B1271" i="5"/>
  <c r="C1271" i="5"/>
  <c r="B1272" i="5"/>
  <c r="C1272" i="5"/>
  <c r="B1273" i="5"/>
  <c r="C1273" i="5"/>
  <c r="B1274" i="5"/>
  <c r="C1274" i="5"/>
  <c r="B1275" i="5"/>
  <c r="C1275" i="5"/>
  <c r="B1276" i="5"/>
  <c r="C1276" i="5"/>
  <c r="B1277" i="5"/>
  <c r="C1277" i="5"/>
  <c r="B1278" i="5"/>
  <c r="C1278" i="5"/>
  <c r="B1279" i="5"/>
  <c r="C1279" i="5"/>
  <c r="B1280" i="5"/>
  <c r="C1280" i="5"/>
  <c r="B1281" i="5"/>
  <c r="C1281" i="5"/>
  <c r="B1282" i="5"/>
  <c r="C1282" i="5"/>
  <c r="B1283" i="5"/>
  <c r="C1283" i="5"/>
  <c r="B1284" i="5"/>
  <c r="C1284" i="5"/>
  <c r="B1285" i="5"/>
  <c r="C1285" i="5"/>
  <c r="B1286" i="5"/>
  <c r="C1286" i="5"/>
  <c r="B1287" i="5"/>
  <c r="C1287" i="5"/>
  <c r="B1288" i="5"/>
  <c r="C1288" i="5"/>
  <c r="B1289" i="5"/>
  <c r="C1289" i="5"/>
  <c r="B1290" i="5"/>
  <c r="C1290" i="5"/>
  <c r="B1291" i="5"/>
  <c r="C1291" i="5"/>
  <c r="B1292" i="5"/>
  <c r="C1292" i="5"/>
  <c r="B1293" i="5"/>
  <c r="C1293" i="5"/>
  <c r="B1294" i="5"/>
  <c r="C1294" i="5"/>
  <c r="B1295" i="5"/>
  <c r="C1295" i="5"/>
  <c r="B1296" i="5"/>
  <c r="C1296" i="5"/>
  <c r="B1297" i="5"/>
  <c r="C1297" i="5"/>
  <c r="B1298" i="5"/>
  <c r="C1298" i="5"/>
  <c r="B1299" i="5"/>
  <c r="C1299" i="5"/>
  <c r="B1300" i="5"/>
  <c r="C1300" i="5"/>
  <c r="B1301" i="5"/>
  <c r="C1301" i="5"/>
  <c r="B1302" i="5"/>
  <c r="C1302" i="5"/>
  <c r="B1303" i="5"/>
  <c r="C1303" i="5"/>
  <c r="B1304" i="5"/>
  <c r="C1304" i="5"/>
  <c r="B1305" i="5"/>
  <c r="C1305" i="5"/>
  <c r="B1306" i="5"/>
  <c r="C1306" i="5"/>
  <c r="B1307" i="5"/>
  <c r="C1307" i="5"/>
  <c r="B1308" i="5"/>
  <c r="C1308" i="5"/>
  <c r="B1309" i="5"/>
  <c r="C1309" i="5"/>
  <c r="B1310" i="5"/>
  <c r="C1310" i="5"/>
  <c r="B1311" i="5"/>
  <c r="C1311" i="5"/>
  <c r="B1312" i="5"/>
  <c r="C1312" i="5"/>
  <c r="B1313" i="5"/>
  <c r="C1313" i="5"/>
  <c r="B1314" i="5"/>
  <c r="C1314" i="5"/>
  <c r="B1315" i="5"/>
  <c r="C1315" i="5"/>
  <c r="B1316" i="5"/>
  <c r="C1316" i="5"/>
  <c r="C3" i="5"/>
  <c r="B3" i="5"/>
  <c r="C406" i="6"/>
  <c r="C402" i="6"/>
  <c r="C401" i="6"/>
  <c r="C390" i="6"/>
  <c r="C389" i="6"/>
  <c r="C388" i="6"/>
  <c r="C381" i="6"/>
  <c r="C374" i="6"/>
  <c r="C373" i="6"/>
  <c r="C364" i="6"/>
  <c r="C363" i="6"/>
  <c r="C361" i="6"/>
  <c r="C358" i="6"/>
  <c r="C357" i="6"/>
  <c r="C356" i="6"/>
  <c r="C355" i="6"/>
  <c r="C354" i="6"/>
  <c r="C353" i="6"/>
  <c r="C352" i="6"/>
  <c r="C341" i="6"/>
  <c r="C337" i="6"/>
  <c r="C336" i="6"/>
  <c r="C329" i="6"/>
  <c r="C328" i="6"/>
  <c r="C324" i="6"/>
  <c r="C323" i="6"/>
  <c r="C322" i="6"/>
  <c r="C316" i="6"/>
  <c r="C293" i="6"/>
  <c r="C289" i="6"/>
  <c r="C287" i="6"/>
  <c r="C282" i="6"/>
  <c r="C281" i="6"/>
  <c r="C280" i="6"/>
  <c r="C279" i="6"/>
  <c r="C277" i="6"/>
  <c r="C275" i="6"/>
  <c r="C274" i="6"/>
  <c r="C267" i="6"/>
  <c r="C266" i="6"/>
  <c r="C265" i="6"/>
  <c r="C264" i="6"/>
  <c r="C261" i="6"/>
  <c r="C257" i="6"/>
  <c r="C247" i="6"/>
  <c r="C245" i="6"/>
  <c r="C187" i="6"/>
  <c r="C186" i="6"/>
  <c r="C185" i="6"/>
  <c r="B406" i="6"/>
  <c r="B402" i="6"/>
  <c r="B401" i="6"/>
  <c r="B390" i="6"/>
  <c r="B389" i="6"/>
  <c r="B388" i="6"/>
  <c r="B381" i="6"/>
  <c r="B374" i="6"/>
  <c r="B373" i="6"/>
  <c r="B364" i="6"/>
  <c r="B363" i="6"/>
  <c r="B361" i="6"/>
  <c r="B358" i="6"/>
  <c r="B357" i="6"/>
  <c r="B356" i="6"/>
  <c r="B355" i="6"/>
  <c r="B354" i="6"/>
  <c r="B353" i="6"/>
  <c r="B352" i="6"/>
  <c r="B341" i="6"/>
  <c r="B337" i="6"/>
  <c r="B336" i="6"/>
  <c r="B329" i="6"/>
  <c r="B328" i="6"/>
  <c r="B324" i="6"/>
  <c r="B323" i="6"/>
  <c r="B322" i="6"/>
  <c r="B316" i="6"/>
  <c r="B293" i="6"/>
  <c r="B289" i="6"/>
  <c r="B287" i="6"/>
  <c r="B282" i="6"/>
  <c r="B281" i="6"/>
  <c r="B280" i="6"/>
  <c r="B279" i="6"/>
  <c r="B277" i="6"/>
  <c r="B275" i="6"/>
  <c r="B274" i="6"/>
  <c r="B267" i="6"/>
  <c r="B266" i="6"/>
  <c r="B265" i="6"/>
  <c r="B264" i="6"/>
  <c r="B261" i="6"/>
  <c r="B257" i="6"/>
  <c r="B247" i="6"/>
  <c r="B245" i="6"/>
  <c r="B187" i="6"/>
  <c r="B186" i="6"/>
  <c r="B185" i="6"/>
  <c r="B4" i="6" l="1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6" i="6"/>
  <c r="C246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8" i="6"/>
  <c r="C258" i="6"/>
  <c r="B259" i="6"/>
  <c r="C259" i="6"/>
  <c r="B260" i="6"/>
  <c r="C260" i="6"/>
  <c r="B262" i="6"/>
  <c r="C262" i="6"/>
  <c r="B263" i="6"/>
  <c r="C263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6" i="6"/>
  <c r="C276" i="6"/>
  <c r="B278" i="6"/>
  <c r="C278" i="6"/>
  <c r="B283" i="6"/>
  <c r="C283" i="6"/>
  <c r="B284" i="6"/>
  <c r="C284" i="6"/>
  <c r="B285" i="6"/>
  <c r="C285" i="6"/>
  <c r="B286" i="6"/>
  <c r="C286" i="6"/>
  <c r="B288" i="6"/>
  <c r="C288" i="6"/>
  <c r="B290" i="6"/>
  <c r="C290" i="6"/>
  <c r="B291" i="6"/>
  <c r="C291" i="6"/>
  <c r="B292" i="6"/>
  <c r="C292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7" i="6"/>
  <c r="C317" i="6"/>
  <c r="B318" i="6"/>
  <c r="C318" i="6"/>
  <c r="B319" i="6"/>
  <c r="C319" i="6"/>
  <c r="B320" i="6"/>
  <c r="C320" i="6"/>
  <c r="B325" i="6"/>
  <c r="C325" i="6"/>
  <c r="B326" i="6"/>
  <c r="C326" i="6"/>
  <c r="B327" i="6"/>
  <c r="C327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8" i="6"/>
  <c r="C338" i="6"/>
  <c r="B339" i="6"/>
  <c r="C339" i="6"/>
  <c r="B340" i="6"/>
  <c r="C340" i="6"/>
  <c r="B342" i="6"/>
  <c r="C342" i="6"/>
  <c r="B343" i="6"/>
  <c r="C343" i="6"/>
  <c r="B344" i="6"/>
  <c r="C344" i="6"/>
  <c r="B345" i="6"/>
  <c r="C345" i="6"/>
  <c r="B346" i="6"/>
  <c r="C346" i="6"/>
  <c r="B347" i="6"/>
  <c r="C347" i="6"/>
  <c r="B348" i="6"/>
  <c r="C348" i="6"/>
  <c r="B349" i="6"/>
  <c r="C349" i="6"/>
  <c r="B350" i="6"/>
  <c r="C350" i="6"/>
  <c r="B351" i="6"/>
  <c r="C351" i="6"/>
  <c r="B359" i="6"/>
  <c r="C359" i="6"/>
  <c r="B360" i="6"/>
  <c r="C360" i="6"/>
  <c r="B365" i="6"/>
  <c r="C365" i="6"/>
  <c r="B366" i="6"/>
  <c r="C366" i="6"/>
  <c r="B367" i="6"/>
  <c r="C367" i="6"/>
  <c r="B368" i="6"/>
  <c r="C368" i="6"/>
  <c r="B369" i="6"/>
  <c r="C369" i="6"/>
  <c r="B372" i="6"/>
  <c r="C372" i="6"/>
  <c r="B377" i="6"/>
  <c r="C377" i="6"/>
  <c r="B378" i="6"/>
  <c r="C378" i="6"/>
  <c r="B379" i="6"/>
  <c r="C379" i="6"/>
  <c r="B380" i="6"/>
  <c r="C380" i="6"/>
  <c r="B383" i="6"/>
  <c r="C383" i="6"/>
  <c r="B384" i="6"/>
  <c r="C384" i="6"/>
  <c r="B385" i="6"/>
  <c r="C385" i="6"/>
  <c r="B386" i="6"/>
  <c r="C386" i="6"/>
  <c r="B387" i="6"/>
  <c r="C387" i="6"/>
  <c r="B391" i="6"/>
  <c r="C391" i="6"/>
  <c r="B392" i="6"/>
  <c r="C392" i="6"/>
  <c r="B393" i="6"/>
  <c r="C393" i="6"/>
  <c r="B394" i="6"/>
  <c r="C394" i="6"/>
  <c r="B362" i="6"/>
  <c r="C362" i="6"/>
  <c r="B397" i="6"/>
  <c r="C397" i="6"/>
  <c r="B398" i="6"/>
  <c r="C398" i="6"/>
  <c r="B399" i="6"/>
  <c r="C399" i="6"/>
  <c r="B400" i="6"/>
  <c r="C400" i="6"/>
  <c r="B404" i="6"/>
  <c r="C404" i="6"/>
  <c r="B405" i="6"/>
  <c r="C405" i="6"/>
  <c r="B407" i="6"/>
  <c r="C407" i="6"/>
  <c r="B408" i="6"/>
  <c r="C408" i="6"/>
  <c r="B409" i="6"/>
  <c r="C409" i="6"/>
  <c r="B321" i="6"/>
  <c r="C321" i="6"/>
  <c r="B412" i="6"/>
  <c r="C412" i="6"/>
  <c r="B410" i="6"/>
  <c r="C410" i="6"/>
  <c r="B411" i="6"/>
  <c r="C411" i="6"/>
  <c r="B413" i="6"/>
  <c r="C413" i="6"/>
  <c r="B414" i="6"/>
  <c r="C414" i="6"/>
  <c r="B417" i="6"/>
  <c r="C417" i="6"/>
  <c r="B418" i="6"/>
  <c r="C418" i="6"/>
  <c r="B419" i="6"/>
  <c r="C419" i="6"/>
  <c r="B420" i="6"/>
  <c r="C420" i="6"/>
  <c r="B421" i="6"/>
  <c r="C421" i="6"/>
  <c r="B422" i="6"/>
  <c r="C422" i="6"/>
  <c r="B423" i="6"/>
  <c r="C423" i="6"/>
  <c r="B424" i="6"/>
  <c r="C424" i="6"/>
  <c r="B425" i="6"/>
  <c r="C425" i="6"/>
  <c r="B427" i="6"/>
  <c r="C427" i="6"/>
  <c r="B428" i="6"/>
  <c r="C428" i="6"/>
  <c r="B429" i="6"/>
  <c r="C429" i="6"/>
  <c r="B430" i="6"/>
  <c r="C430" i="6"/>
  <c r="B431" i="6"/>
  <c r="C431" i="6"/>
  <c r="B432" i="6"/>
  <c r="C432" i="6"/>
  <c r="B433" i="6"/>
  <c r="C433" i="6"/>
  <c r="B434" i="6"/>
  <c r="C434" i="6"/>
  <c r="B435" i="6"/>
  <c r="C435" i="6"/>
  <c r="B436" i="6"/>
  <c r="C436" i="6"/>
  <c r="B437" i="6"/>
  <c r="C437" i="6"/>
  <c r="B438" i="6"/>
  <c r="C438" i="6"/>
  <c r="B439" i="6"/>
  <c r="C439" i="6"/>
  <c r="B440" i="6"/>
  <c r="C440" i="6"/>
  <c r="B442" i="6"/>
  <c r="C442" i="6"/>
  <c r="B443" i="6"/>
  <c r="C443" i="6"/>
  <c r="B444" i="6"/>
  <c r="C444" i="6"/>
  <c r="B445" i="6"/>
  <c r="C445" i="6"/>
  <c r="B446" i="6"/>
  <c r="C446" i="6"/>
  <c r="B447" i="6"/>
  <c r="C447" i="6"/>
  <c r="B448" i="6"/>
  <c r="C448" i="6"/>
  <c r="B449" i="6"/>
  <c r="C449" i="6"/>
  <c r="B450" i="6"/>
  <c r="C450" i="6"/>
  <c r="B451" i="6"/>
  <c r="C451" i="6"/>
  <c r="B452" i="6"/>
  <c r="C452" i="6"/>
  <c r="B453" i="6"/>
  <c r="C453" i="6"/>
  <c r="B454" i="6"/>
  <c r="C454" i="6"/>
  <c r="B456" i="6"/>
  <c r="C456" i="6"/>
  <c r="B457" i="6"/>
  <c r="C457" i="6"/>
  <c r="B458" i="6"/>
  <c r="C458" i="6"/>
  <c r="B459" i="6"/>
  <c r="C459" i="6"/>
  <c r="B460" i="6"/>
  <c r="C460" i="6"/>
  <c r="B461" i="6"/>
  <c r="C461" i="6"/>
  <c r="B462" i="6"/>
  <c r="C462" i="6"/>
  <c r="B467" i="6"/>
  <c r="C467" i="6"/>
  <c r="B470" i="6"/>
  <c r="C470" i="6"/>
  <c r="B471" i="6"/>
  <c r="C471" i="6"/>
  <c r="B472" i="6"/>
  <c r="C472" i="6"/>
  <c r="B463" i="6"/>
  <c r="C463" i="6"/>
  <c r="B464" i="6"/>
  <c r="C464" i="6"/>
  <c r="B473" i="6"/>
  <c r="C473" i="6"/>
  <c r="B474" i="6"/>
  <c r="C474" i="6"/>
  <c r="B475" i="6"/>
  <c r="C475" i="6"/>
  <c r="B476" i="6"/>
  <c r="C476" i="6"/>
  <c r="B477" i="6"/>
  <c r="C477" i="6"/>
  <c r="B478" i="6"/>
  <c r="C478" i="6"/>
  <c r="B479" i="6"/>
  <c r="C479" i="6"/>
  <c r="B480" i="6"/>
  <c r="C480" i="6"/>
  <c r="B481" i="6"/>
  <c r="C481" i="6"/>
  <c r="B468" i="6"/>
  <c r="C468" i="6"/>
  <c r="B482" i="6"/>
  <c r="C482" i="6"/>
  <c r="B485" i="6"/>
  <c r="C485" i="6"/>
  <c r="B3" i="6"/>
  <c r="C3" i="6"/>
  <c r="B488" i="6"/>
  <c r="C488" i="6"/>
  <c r="B490" i="6"/>
  <c r="C490" i="6"/>
  <c r="B491" i="6"/>
  <c r="C491" i="6"/>
  <c r="B489" i="6"/>
  <c r="C489" i="6"/>
  <c r="B492" i="6"/>
  <c r="C492" i="6"/>
  <c r="B493" i="6"/>
  <c r="B494" i="6"/>
  <c r="C494" i="6"/>
  <c r="B497" i="6"/>
  <c r="C497" i="6"/>
  <c r="B498" i="6"/>
  <c r="C498" i="6"/>
  <c r="B499" i="6"/>
  <c r="C499" i="6"/>
  <c r="B500" i="6"/>
  <c r="C500" i="6"/>
  <c r="B501" i="6"/>
  <c r="C501" i="6"/>
  <c r="B502" i="6"/>
  <c r="C502" i="6"/>
  <c r="B504" i="6"/>
  <c r="C504" i="6"/>
  <c r="B505" i="6"/>
  <c r="C505" i="6"/>
  <c r="B506" i="6"/>
  <c r="C506" i="6"/>
  <c r="B509" i="6"/>
  <c r="C509" i="6"/>
  <c r="B507" i="6"/>
  <c r="C507" i="6"/>
  <c r="B508" i="6"/>
  <c r="C508" i="6"/>
  <c r="B510" i="6"/>
  <c r="C510" i="6"/>
  <c r="B511" i="6"/>
  <c r="C511" i="6"/>
  <c r="B512" i="6"/>
  <c r="C512" i="6"/>
  <c r="B503" i="6"/>
  <c r="C503" i="6"/>
  <c r="B516" i="6"/>
  <c r="C516" i="6"/>
  <c r="B517" i="6"/>
  <c r="C517" i="6"/>
  <c r="B455" i="6"/>
  <c r="C455" i="6"/>
  <c r="B518" i="6"/>
  <c r="C518" i="6"/>
  <c r="B520" i="6"/>
  <c r="C520" i="6"/>
  <c r="B521" i="6"/>
  <c r="C521" i="6"/>
  <c r="B523" i="6"/>
  <c r="C523" i="6"/>
  <c r="B524" i="6"/>
  <c r="C524" i="6"/>
  <c r="B525" i="6"/>
  <c r="C525" i="6"/>
  <c r="B522" i="6"/>
  <c r="C522" i="6"/>
  <c r="B526" i="6"/>
  <c r="C526" i="6"/>
  <c r="B527" i="6"/>
  <c r="C527" i="6"/>
  <c r="B528" i="6"/>
  <c r="C528" i="6"/>
  <c r="B529" i="6"/>
  <c r="C529" i="6"/>
  <c r="B531" i="6"/>
  <c r="C531" i="6"/>
  <c r="B532" i="6"/>
  <c r="C532" i="6"/>
  <c r="B533" i="6"/>
  <c r="C533" i="6"/>
  <c r="B534" i="6"/>
  <c r="C534" i="6"/>
  <c r="B535" i="6"/>
  <c r="B539" i="6"/>
  <c r="C539" i="6"/>
  <c r="B540" i="6"/>
  <c r="C540" i="6"/>
  <c r="B541" i="6"/>
  <c r="C541" i="6"/>
  <c r="B542" i="6"/>
  <c r="C542" i="6"/>
  <c r="B545" i="6"/>
  <c r="C545" i="6"/>
  <c r="B546" i="6"/>
  <c r="C546" i="6"/>
  <c r="B547" i="6"/>
  <c r="C547" i="6"/>
  <c r="B548" i="6"/>
  <c r="C548" i="6"/>
  <c r="B549" i="6"/>
  <c r="C549" i="6"/>
  <c r="B550" i="6"/>
  <c r="C550" i="6"/>
  <c r="B552" i="6"/>
  <c r="C552" i="6"/>
  <c r="B553" i="6"/>
  <c r="C553" i="6"/>
  <c r="B551" i="6"/>
  <c r="C551" i="6"/>
  <c r="B554" i="6"/>
  <c r="C554" i="6"/>
  <c r="B555" i="6"/>
  <c r="C555" i="6"/>
  <c r="B558" i="6"/>
  <c r="C558" i="6"/>
  <c r="B556" i="6"/>
  <c r="C556" i="6"/>
  <c r="B560" i="6"/>
  <c r="C560" i="6"/>
  <c r="B561" i="6"/>
  <c r="C561" i="6"/>
  <c r="B557" i="6"/>
  <c r="C557" i="6"/>
  <c r="B562" i="6"/>
  <c r="C562" i="6"/>
  <c r="B563" i="6"/>
  <c r="C563" i="6"/>
  <c r="B564" i="6"/>
  <c r="C564" i="6"/>
  <c r="B565" i="6"/>
  <c r="C565" i="6"/>
  <c r="B566" i="6"/>
  <c r="C566" i="6"/>
  <c r="B567" i="6"/>
  <c r="B568" i="6"/>
  <c r="C568" i="6"/>
  <c r="B569" i="6"/>
  <c r="C569" i="6"/>
  <c r="B559" i="6"/>
  <c r="C559" i="6"/>
  <c r="B570" i="6"/>
  <c r="C570" i="6"/>
  <c r="B571" i="6"/>
  <c r="C571" i="6"/>
  <c r="B572" i="6"/>
  <c r="C572" i="6"/>
  <c r="B573" i="6"/>
  <c r="C573" i="6"/>
  <c r="B574" i="6"/>
  <c r="C574" i="6"/>
  <c r="B575" i="6"/>
  <c r="C575" i="6"/>
  <c r="B576" i="6"/>
  <c r="C576" i="6"/>
  <c r="B577" i="6"/>
  <c r="C577" i="6"/>
  <c r="B578" i="6"/>
  <c r="C578" i="6"/>
  <c r="B579" i="6"/>
  <c r="C579" i="6"/>
  <c r="B580" i="6"/>
  <c r="C580" i="6"/>
  <c r="B469" i="6"/>
  <c r="C469" i="6"/>
  <c r="B584" i="6"/>
  <c r="C584" i="6"/>
  <c r="B587" i="6"/>
  <c r="C587" i="6"/>
  <c r="B588" i="6"/>
  <c r="C588" i="6"/>
  <c r="B585" i="6"/>
  <c r="C585" i="6"/>
  <c r="B589" i="6"/>
  <c r="C589" i="6"/>
  <c r="B590" i="6"/>
  <c r="C590" i="6"/>
  <c r="B591" i="6"/>
  <c r="C591" i="6"/>
  <c r="B592" i="6"/>
  <c r="C592" i="6"/>
  <c r="B593" i="6"/>
  <c r="C593" i="6"/>
  <c r="B594" i="6"/>
  <c r="C594" i="6"/>
  <c r="B519" i="6"/>
  <c r="C519" i="6"/>
  <c r="B370" i="6"/>
  <c r="C370" i="6"/>
  <c r="B395" i="6"/>
  <c r="C395" i="6"/>
  <c r="B483" i="6"/>
  <c r="C483" i="6"/>
  <c r="B484" i="6"/>
  <c r="C484" i="6"/>
  <c r="B543" i="6"/>
  <c r="C543" i="6"/>
  <c r="B544" i="6"/>
  <c r="C544" i="6"/>
  <c r="B371" i="6"/>
  <c r="C371" i="6"/>
  <c r="B375" i="6"/>
  <c r="C375" i="6"/>
  <c r="B376" i="6"/>
  <c r="C376" i="6"/>
  <c r="B382" i="6"/>
  <c r="C382" i="6"/>
  <c r="B396" i="6"/>
  <c r="C396" i="6"/>
  <c r="B403" i="6"/>
  <c r="C403" i="6"/>
  <c r="B415" i="6"/>
  <c r="C415" i="6"/>
  <c r="B416" i="6"/>
  <c r="C416" i="6"/>
  <c r="B426" i="6"/>
  <c r="C426" i="6"/>
  <c r="B441" i="6"/>
  <c r="C441" i="6"/>
  <c r="B465" i="6"/>
  <c r="C465" i="6"/>
  <c r="B466" i="6"/>
  <c r="C466" i="6"/>
  <c r="B495" i="6"/>
  <c r="C495" i="6"/>
  <c r="B496" i="6"/>
  <c r="C496" i="6"/>
  <c r="B513" i="6"/>
  <c r="C513" i="6"/>
  <c r="B514" i="6"/>
  <c r="C514" i="6"/>
  <c r="B515" i="6"/>
  <c r="C515" i="6"/>
  <c r="B530" i="6"/>
  <c r="C530" i="6"/>
  <c r="B536" i="6"/>
  <c r="C536" i="6"/>
  <c r="B537" i="6"/>
  <c r="C537" i="6"/>
  <c r="B538" i="6"/>
  <c r="C538" i="6"/>
  <c r="B581" i="6"/>
  <c r="C581" i="6"/>
  <c r="B582" i="6"/>
  <c r="C582" i="6"/>
  <c r="B583" i="6"/>
  <c r="C583" i="6"/>
  <c r="B586" i="6"/>
  <c r="C586" i="6"/>
  <c r="B596" i="6"/>
  <c r="C596" i="6"/>
  <c r="B597" i="6"/>
  <c r="C597" i="6"/>
  <c r="B598" i="6"/>
  <c r="C598" i="6"/>
  <c r="B599" i="6"/>
  <c r="C599" i="6"/>
  <c r="B600" i="6"/>
  <c r="C600" i="6"/>
  <c r="B601" i="6"/>
  <c r="C601" i="6"/>
  <c r="B602" i="6"/>
  <c r="C602" i="6"/>
  <c r="B603" i="6"/>
  <c r="C603" i="6"/>
  <c r="B604" i="6"/>
  <c r="C604" i="6"/>
  <c r="B605" i="6"/>
  <c r="C605" i="6"/>
  <c r="B608" i="6"/>
  <c r="C608" i="6"/>
  <c r="B606" i="6"/>
  <c r="C606" i="6"/>
  <c r="B611" i="6"/>
  <c r="C611" i="6"/>
  <c r="B612" i="6"/>
  <c r="C612" i="6"/>
  <c r="B613" i="6"/>
  <c r="C613" i="6"/>
  <c r="B614" i="6"/>
  <c r="C614" i="6"/>
  <c r="B617" i="6"/>
  <c r="C617" i="6"/>
  <c r="B618" i="6"/>
  <c r="C618" i="6"/>
  <c r="B615" i="6"/>
  <c r="C615" i="6"/>
  <c r="B619" i="6"/>
  <c r="C619" i="6"/>
  <c r="B620" i="6"/>
  <c r="C620" i="6"/>
  <c r="B621" i="6"/>
  <c r="C621" i="6"/>
  <c r="B623" i="6"/>
  <c r="C623" i="6"/>
  <c r="B624" i="6"/>
  <c r="C624" i="6"/>
  <c r="B625" i="6"/>
  <c r="C625" i="6"/>
  <c r="B626" i="6"/>
  <c r="C626" i="6"/>
  <c r="B627" i="6"/>
  <c r="C627" i="6"/>
  <c r="B628" i="6"/>
  <c r="C628" i="6"/>
  <c r="B629" i="6"/>
  <c r="C629" i="6"/>
  <c r="B631" i="6"/>
  <c r="C631" i="6"/>
  <c r="B632" i="6"/>
  <c r="C632" i="6"/>
  <c r="B633" i="6"/>
  <c r="C633" i="6"/>
  <c r="B634" i="6"/>
  <c r="C634" i="6"/>
  <c r="B635" i="6"/>
  <c r="C635" i="6"/>
  <c r="B636" i="6"/>
  <c r="C636" i="6"/>
  <c r="B637" i="6"/>
  <c r="C637" i="6"/>
  <c r="B640" i="6"/>
  <c r="C640" i="6"/>
  <c r="B641" i="6"/>
  <c r="C641" i="6"/>
  <c r="B642" i="6"/>
  <c r="C642" i="6"/>
  <c r="B643" i="6"/>
  <c r="C643" i="6"/>
  <c r="B644" i="6"/>
  <c r="C644" i="6"/>
  <c r="B645" i="6"/>
  <c r="C645" i="6"/>
  <c r="B646" i="6"/>
  <c r="C646" i="6"/>
  <c r="B647" i="6"/>
  <c r="C647" i="6"/>
  <c r="B648" i="6"/>
  <c r="C648" i="6"/>
  <c r="B649" i="6"/>
  <c r="C649" i="6"/>
  <c r="B650" i="6"/>
  <c r="C650" i="6"/>
  <c r="B651" i="6"/>
  <c r="C651" i="6"/>
  <c r="B652" i="6"/>
  <c r="C652" i="6"/>
  <c r="B653" i="6"/>
  <c r="C653" i="6"/>
  <c r="B654" i="6"/>
  <c r="C654" i="6"/>
  <c r="B655" i="6"/>
  <c r="C655" i="6"/>
  <c r="B656" i="6"/>
  <c r="C656" i="6"/>
  <c r="B657" i="6"/>
  <c r="C657" i="6"/>
  <c r="B658" i="6"/>
  <c r="C658" i="6"/>
  <c r="B659" i="6"/>
  <c r="C659" i="6"/>
  <c r="B660" i="6"/>
  <c r="C660" i="6"/>
  <c r="B661" i="6"/>
  <c r="C661" i="6"/>
  <c r="B662" i="6"/>
  <c r="C662" i="6"/>
  <c r="B663" i="6"/>
  <c r="C663" i="6"/>
  <c r="B609" i="6"/>
  <c r="C609" i="6"/>
  <c r="B610" i="6"/>
  <c r="C610" i="6"/>
  <c r="B616" i="6"/>
  <c r="C616" i="6"/>
  <c r="B622" i="6"/>
  <c r="C622" i="6"/>
  <c r="B630" i="6"/>
  <c r="C630" i="6"/>
  <c r="B638" i="6"/>
  <c r="C638" i="6"/>
  <c r="B639" i="6"/>
  <c r="C639" i="6"/>
  <c r="B664" i="6"/>
  <c r="C664" i="6"/>
  <c r="B665" i="6"/>
  <c r="C665" i="6"/>
  <c r="B595" i="6"/>
  <c r="C595" i="6"/>
  <c r="B666" i="6"/>
  <c r="C666" i="6"/>
  <c r="B667" i="6"/>
  <c r="C667" i="6"/>
  <c r="B668" i="6"/>
  <c r="C668" i="6"/>
  <c r="B670" i="6"/>
  <c r="C670" i="6"/>
  <c r="B671" i="6"/>
  <c r="C671" i="6"/>
  <c r="B672" i="6"/>
  <c r="C672" i="6"/>
  <c r="B673" i="6"/>
  <c r="C673" i="6"/>
  <c r="B669" i="6"/>
  <c r="C669" i="6"/>
  <c r="B607" i="6"/>
  <c r="C607" i="6"/>
  <c r="B674" i="6"/>
  <c r="C674" i="6"/>
  <c r="B675" i="6"/>
  <c r="C675" i="6"/>
  <c r="B676" i="6"/>
  <c r="C676" i="6"/>
  <c r="B677" i="6"/>
  <c r="C677" i="6"/>
  <c r="B678" i="6"/>
  <c r="C678" i="6"/>
  <c r="B679" i="6"/>
  <c r="C679" i="6"/>
  <c r="B684" i="6"/>
  <c r="C684" i="6"/>
  <c r="B685" i="6"/>
  <c r="C685" i="6"/>
  <c r="B686" i="6"/>
  <c r="C686" i="6"/>
  <c r="B687" i="6"/>
  <c r="C687" i="6"/>
  <c r="B680" i="6"/>
  <c r="C680" i="6"/>
  <c r="B681" i="6"/>
  <c r="C681" i="6"/>
  <c r="B682" i="6"/>
  <c r="C682" i="6"/>
  <c r="B683" i="6"/>
  <c r="C683" i="6"/>
  <c r="B688" i="6"/>
  <c r="C688" i="6"/>
  <c r="B689" i="6"/>
  <c r="C689" i="6"/>
  <c r="B690" i="6"/>
  <c r="C690" i="6"/>
  <c r="B691" i="6"/>
  <c r="C691" i="6"/>
  <c r="B692" i="6"/>
  <c r="C692" i="6"/>
  <c r="B693" i="6"/>
  <c r="C693" i="6"/>
  <c r="B694" i="6"/>
  <c r="C694" i="6"/>
  <c r="B695" i="6"/>
  <c r="C695" i="6"/>
  <c r="B696" i="6"/>
  <c r="C696" i="6"/>
  <c r="B704" i="6"/>
  <c r="C704" i="6"/>
  <c r="B705" i="6"/>
  <c r="C705" i="6"/>
  <c r="B706" i="6"/>
  <c r="C706" i="6"/>
  <c r="B707" i="6"/>
  <c r="C707" i="6"/>
  <c r="B708" i="6"/>
  <c r="C708" i="6"/>
  <c r="B709" i="6"/>
  <c r="C709" i="6"/>
  <c r="B712" i="6"/>
  <c r="C712" i="6"/>
  <c r="B713" i="6"/>
  <c r="C713" i="6"/>
  <c r="B714" i="6"/>
  <c r="C714" i="6"/>
  <c r="B715" i="6"/>
  <c r="C715" i="6"/>
  <c r="B716" i="6"/>
  <c r="C716" i="6"/>
  <c r="B718" i="6"/>
  <c r="C718" i="6"/>
  <c r="B710" i="6"/>
  <c r="C710" i="6"/>
  <c r="B719" i="6"/>
  <c r="C719" i="6"/>
  <c r="B717" i="6"/>
  <c r="C717" i="6"/>
  <c r="B711" i="6"/>
  <c r="C711" i="6"/>
  <c r="B720" i="6"/>
  <c r="C720" i="6"/>
  <c r="B697" i="6"/>
  <c r="C697" i="6"/>
  <c r="B698" i="6"/>
  <c r="C698" i="6"/>
  <c r="B699" i="6"/>
  <c r="C699" i="6"/>
  <c r="B700" i="6"/>
  <c r="C700" i="6"/>
  <c r="B721" i="6"/>
  <c r="C721" i="6"/>
  <c r="B722" i="6"/>
  <c r="C722" i="6"/>
  <c r="B723" i="6"/>
  <c r="C723" i="6"/>
  <c r="B724" i="6"/>
  <c r="C724" i="6"/>
  <c r="B725" i="6"/>
  <c r="C725" i="6"/>
  <c r="B726" i="6"/>
  <c r="C726" i="6"/>
  <c r="B727" i="6"/>
  <c r="C727" i="6"/>
  <c r="B728" i="6"/>
  <c r="C728" i="6"/>
  <c r="B729" i="6"/>
  <c r="C729" i="6"/>
  <c r="B730" i="6"/>
  <c r="C730" i="6"/>
  <c r="B731" i="6"/>
  <c r="C731" i="6"/>
  <c r="B732" i="6"/>
  <c r="C732" i="6"/>
  <c r="B733" i="6"/>
  <c r="C733" i="6"/>
  <c r="B734" i="6"/>
  <c r="C734" i="6"/>
  <c r="B735" i="6"/>
  <c r="C735" i="6"/>
  <c r="B736" i="6"/>
  <c r="C736" i="6"/>
  <c r="B737" i="6"/>
  <c r="C737" i="6"/>
  <c r="B738" i="6"/>
  <c r="C738" i="6"/>
  <c r="B739" i="6"/>
  <c r="C739" i="6"/>
  <c r="B740" i="6"/>
  <c r="C740" i="6"/>
  <c r="B741" i="6"/>
  <c r="C741" i="6"/>
  <c r="B742" i="6"/>
  <c r="C742" i="6"/>
  <c r="B743" i="6"/>
  <c r="C743" i="6"/>
  <c r="B744" i="6"/>
  <c r="C744" i="6"/>
  <c r="B745" i="6"/>
  <c r="C745" i="6"/>
  <c r="B746" i="6"/>
  <c r="C746" i="6"/>
  <c r="B747" i="6"/>
  <c r="C747" i="6"/>
  <c r="B749" i="6"/>
  <c r="C749" i="6"/>
  <c r="B750" i="6"/>
  <c r="C750" i="6"/>
  <c r="B751" i="6"/>
  <c r="C751" i="6"/>
  <c r="B752" i="6"/>
  <c r="C752" i="6"/>
  <c r="B753" i="6"/>
  <c r="C753" i="6"/>
  <c r="B754" i="6"/>
  <c r="C754" i="6"/>
  <c r="B755" i="6"/>
  <c r="C755" i="6"/>
  <c r="B756" i="6"/>
  <c r="C756" i="6"/>
  <c r="B757" i="6"/>
  <c r="C757" i="6"/>
  <c r="B758" i="6"/>
  <c r="C758" i="6"/>
  <c r="B759" i="6"/>
  <c r="C759" i="6"/>
  <c r="B760" i="6"/>
  <c r="C760" i="6"/>
  <c r="B761" i="6"/>
  <c r="C761" i="6"/>
  <c r="B762" i="6"/>
  <c r="C762" i="6"/>
  <c r="B763" i="6"/>
  <c r="C763" i="6"/>
  <c r="B764" i="6"/>
  <c r="C764" i="6"/>
  <c r="B765" i="6"/>
  <c r="C765" i="6"/>
  <c r="B766" i="6"/>
  <c r="C766" i="6"/>
  <c r="B767" i="6"/>
  <c r="C767" i="6"/>
  <c r="B768" i="6"/>
  <c r="C768" i="6"/>
  <c r="B769" i="6"/>
  <c r="C769" i="6"/>
  <c r="B770" i="6"/>
  <c r="C770" i="6"/>
  <c r="B771" i="6"/>
  <c r="C771" i="6"/>
  <c r="B772" i="6"/>
  <c r="C772" i="6"/>
  <c r="B773" i="6"/>
  <c r="C773" i="6"/>
  <c r="B774" i="6"/>
  <c r="C774" i="6"/>
  <c r="B748" i="6"/>
  <c r="C748" i="6"/>
  <c r="B775" i="6"/>
  <c r="C775" i="6"/>
  <c r="B776" i="6"/>
  <c r="C776" i="6"/>
  <c r="B777" i="6"/>
  <c r="C777" i="6"/>
  <c r="B778" i="6"/>
  <c r="C778" i="6"/>
  <c r="B779" i="6"/>
  <c r="C779" i="6"/>
  <c r="B780" i="6"/>
  <c r="C780" i="6"/>
  <c r="B781" i="6"/>
  <c r="C781" i="6"/>
  <c r="B782" i="6"/>
  <c r="C782" i="6"/>
  <c r="B783" i="6"/>
  <c r="C783" i="6"/>
  <c r="B784" i="6"/>
  <c r="C784" i="6"/>
  <c r="B785" i="6"/>
  <c r="C785" i="6"/>
  <c r="B786" i="6"/>
  <c r="C786" i="6"/>
  <c r="B787" i="6"/>
  <c r="C787" i="6"/>
  <c r="B790" i="6"/>
  <c r="C790" i="6"/>
  <c r="B791" i="6"/>
  <c r="C791" i="6"/>
  <c r="B788" i="6"/>
  <c r="C788" i="6"/>
  <c r="B793" i="6"/>
  <c r="C793" i="6"/>
  <c r="B794" i="6"/>
  <c r="C794" i="6"/>
  <c r="B701" i="6"/>
  <c r="C701" i="6"/>
  <c r="B702" i="6"/>
  <c r="B703" i="6"/>
  <c r="C703" i="6"/>
  <c r="B795" i="6"/>
  <c r="C795" i="6"/>
  <c r="B796" i="6"/>
  <c r="C796" i="6"/>
  <c r="B797" i="6"/>
  <c r="C797" i="6"/>
  <c r="B805" i="6"/>
  <c r="C805" i="6"/>
  <c r="B798" i="6"/>
  <c r="C798" i="6"/>
  <c r="B799" i="6"/>
  <c r="C799" i="6"/>
  <c r="B800" i="6"/>
  <c r="C800" i="6"/>
  <c r="B806" i="6"/>
  <c r="C806" i="6"/>
  <c r="B808" i="6"/>
  <c r="C808" i="6"/>
  <c r="B809" i="6"/>
  <c r="C809" i="6"/>
  <c r="B801" i="6"/>
  <c r="C801" i="6"/>
  <c r="B802" i="6"/>
  <c r="C802" i="6"/>
  <c r="B803" i="6"/>
  <c r="C803" i="6"/>
  <c r="B804" i="6"/>
  <c r="C804" i="6"/>
  <c r="B810" i="6"/>
  <c r="C810" i="6"/>
  <c r="B811" i="6"/>
  <c r="C811" i="6"/>
  <c r="B812" i="6"/>
  <c r="C812" i="6"/>
  <c r="B813" i="6"/>
  <c r="C813" i="6"/>
  <c r="B816" i="6"/>
  <c r="C816" i="6"/>
  <c r="B817" i="6"/>
  <c r="C817" i="6"/>
  <c r="B818" i="6"/>
  <c r="C818" i="6"/>
  <c r="B819" i="6"/>
  <c r="C819" i="6"/>
  <c r="B820" i="6"/>
  <c r="C820" i="6"/>
  <c r="B821" i="6"/>
  <c r="C821" i="6"/>
  <c r="B822" i="6"/>
  <c r="C822" i="6"/>
  <c r="B814" i="6"/>
  <c r="C814" i="6"/>
  <c r="B815" i="6"/>
  <c r="C815" i="6"/>
  <c r="B823" i="6"/>
  <c r="C823" i="6"/>
  <c r="B824" i="6"/>
  <c r="C824" i="6"/>
  <c r="B825" i="6"/>
  <c r="C825" i="6"/>
  <c r="B826" i="6"/>
  <c r="C826" i="6"/>
  <c r="B827" i="6"/>
  <c r="C827" i="6"/>
  <c r="B828" i="6"/>
  <c r="C828" i="6"/>
  <c r="B829" i="6"/>
  <c r="C829" i="6"/>
  <c r="B830" i="6"/>
  <c r="C830" i="6"/>
  <c r="B831" i="6"/>
  <c r="C831" i="6"/>
  <c r="B832" i="6"/>
  <c r="C832" i="6"/>
  <c r="B833" i="6"/>
  <c r="C833" i="6"/>
  <c r="B834" i="6"/>
  <c r="C834" i="6"/>
  <c r="B835" i="6"/>
  <c r="C835" i="6"/>
  <c r="B836" i="6"/>
  <c r="C836" i="6"/>
  <c r="B807" i="6"/>
  <c r="C807" i="6"/>
  <c r="B837" i="6"/>
  <c r="C837" i="6"/>
  <c r="B838" i="6"/>
  <c r="C838" i="6"/>
  <c r="B839" i="6"/>
  <c r="C839" i="6"/>
  <c r="B840" i="6"/>
  <c r="C840" i="6"/>
  <c r="B841" i="6"/>
  <c r="C841" i="6"/>
  <c r="B842" i="6"/>
  <c r="C842" i="6"/>
  <c r="B843" i="6"/>
  <c r="C843" i="6"/>
  <c r="B844" i="6"/>
  <c r="C844" i="6"/>
  <c r="B846" i="6"/>
  <c r="C846" i="6"/>
  <c r="B848" i="6"/>
  <c r="C848" i="6"/>
  <c r="B850" i="6"/>
  <c r="C850" i="6"/>
  <c r="B851" i="6"/>
  <c r="C851" i="6"/>
  <c r="B852" i="6"/>
  <c r="C852" i="6"/>
  <c r="B853" i="6"/>
  <c r="C853" i="6"/>
  <c r="B854" i="6"/>
  <c r="C854" i="6"/>
  <c r="B855" i="6"/>
  <c r="C855" i="6"/>
  <c r="B856" i="6"/>
  <c r="C856" i="6"/>
  <c r="B857" i="6"/>
  <c r="C857" i="6"/>
  <c r="B860" i="6"/>
  <c r="C860" i="6"/>
  <c r="B862" i="6"/>
  <c r="C862" i="6"/>
  <c r="B863" i="6"/>
  <c r="C863" i="6"/>
  <c r="B861" i="6"/>
  <c r="C861" i="6"/>
  <c r="B864" i="6"/>
  <c r="C864" i="6"/>
  <c r="B865" i="6"/>
  <c r="C865" i="6"/>
  <c r="B866" i="6"/>
  <c r="C866" i="6"/>
  <c r="B867" i="6"/>
  <c r="C867" i="6"/>
  <c r="B868" i="6"/>
  <c r="C868" i="6"/>
  <c r="B869" i="6"/>
  <c r="C869" i="6"/>
  <c r="B870" i="6"/>
  <c r="C870" i="6"/>
  <c r="B871" i="6"/>
  <c r="C871" i="6"/>
  <c r="B872" i="6"/>
  <c r="C872" i="6"/>
  <c r="B873" i="6"/>
  <c r="C873" i="6"/>
  <c r="B874" i="6"/>
  <c r="C874" i="6"/>
  <c r="B875" i="6"/>
  <c r="C875" i="6"/>
  <c r="B876" i="6"/>
  <c r="C876" i="6"/>
  <c r="B877" i="6"/>
  <c r="C877" i="6"/>
  <c r="B878" i="6"/>
  <c r="C878" i="6"/>
  <c r="B879" i="6"/>
  <c r="C879" i="6"/>
  <c r="B880" i="6"/>
  <c r="C880" i="6"/>
  <c r="B881" i="6"/>
  <c r="C881" i="6"/>
  <c r="B882" i="6"/>
  <c r="C882" i="6"/>
  <c r="B883" i="6"/>
  <c r="C883" i="6"/>
  <c r="B884" i="6"/>
  <c r="C884" i="6"/>
  <c r="B885" i="6"/>
  <c r="C885" i="6"/>
  <c r="B886" i="6"/>
  <c r="C886" i="6"/>
  <c r="B889" i="6"/>
  <c r="C889" i="6"/>
  <c r="B887" i="6"/>
  <c r="C887" i="6"/>
  <c r="B888" i="6"/>
  <c r="C888" i="6"/>
  <c r="B890" i="6"/>
  <c r="C890" i="6"/>
  <c r="B891" i="6"/>
  <c r="C891" i="6"/>
  <c r="B892" i="6"/>
  <c r="C892" i="6"/>
  <c r="B898" i="6"/>
  <c r="C898" i="6"/>
  <c r="B899" i="6"/>
  <c r="C899" i="6"/>
  <c r="B900" i="6"/>
  <c r="C900" i="6"/>
  <c r="B901" i="6"/>
  <c r="C901" i="6"/>
  <c r="B902" i="6"/>
  <c r="C902" i="6"/>
  <c r="B903" i="6"/>
  <c r="C903" i="6"/>
  <c r="B904" i="6"/>
  <c r="C904" i="6"/>
  <c r="B893" i="6"/>
  <c r="C893" i="6"/>
  <c r="B894" i="6"/>
  <c r="C894" i="6"/>
  <c r="B905" i="6"/>
  <c r="C905" i="6"/>
  <c r="B906" i="6"/>
  <c r="C906" i="6"/>
  <c r="B907" i="6"/>
  <c r="C907" i="6"/>
  <c r="B908" i="6"/>
  <c r="C908" i="6"/>
  <c r="B909" i="6"/>
  <c r="C909" i="6"/>
  <c r="B910" i="6"/>
  <c r="C910" i="6"/>
  <c r="B911" i="6"/>
  <c r="C911" i="6"/>
  <c r="B912" i="6"/>
  <c r="C912" i="6"/>
  <c r="B913" i="6"/>
  <c r="C913" i="6"/>
  <c r="B916" i="6"/>
  <c r="C916" i="6"/>
  <c r="B917" i="6"/>
  <c r="C917" i="6"/>
  <c r="B918" i="6"/>
  <c r="C918" i="6"/>
  <c r="B919" i="6"/>
  <c r="C919" i="6"/>
  <c r="B920" i="6"/>
  <c r="C920" i="6"/>
  <c r="B921" i="6"/>
  <c r="C921" i="6"/>
  <c r="B922" i="6"/>
  <c r="C922" i="6"/>
  <c r="B923" i="6"/>
  <c r="C923" i="6"/>
  <c r="B924" i="6"/>
  <c r="C924" i="6"/>
  <c r="B925" i="6"/>
  <c r="C925" i="6"/>
  <c r="B926" i="6"/>
  <c r="C926" i="6"/>
  <c r="B927" i="6"/>
  <c r="C927" i="6"/>
  <c r="B928" i="6"/>
  <c r="C928" i="6"/>
  <c r="B929" i="6"/>
  <c r="C929" i="6"/>
  <c r="B930" i="6"/>
  <c r="C930" i="6"/>
  <c r="B936" i="6"/>
  <c r="C936" i="6"/>
  <c r="B933" i="6"/>
  <c r="C933" i="6"/>
  <c r="B934" i="6"/>
  <c r="C934" i="6"/>
  <c r="B937" i="6"/>
  <c r="C937" i="6"/>
  <c r="B942" i="6"/>
  <c r="C942" i="6"/>
  <c r="B943" i="6"/>
  <c r="C943" i="6"/>
  <c r="B944" i="6"/>
  <c r="C944" i="6"/>
  <c r="B947" i="6"/>
  <c r="C947" i="6"/>
  <c r="B940" i="6"/>
  <c r="C940" i="6"/>
  <c r="B941" i="6"/>
  <c r="C941" i="6"/>
  <c r="B931" i="6"/>
  <c r="C931" i="6"/>
  <c r="B935" i="6"/>
  <c r="C935" i="6"/>
  <c r="B895" i="6"/>
  <c r="C895" i="6"/>
  <c r="B948" i="6"/>
  <c r="C948" i="6"/>
  <c r="B951" i="6"/>
  <c r="C951" i="6"/>
  <c r="B949" i="6"/>
  <c r="C949" i="6"/>
  <c r="B950" i="6"/>
  <c r="C950" i="6"/>
  <c r="B858" i="6"/>
  <c r="C858" i="6"/>
  <c r="B859" i="6"/>
  <c r="C859" i="6"/>
  <c r="B789" i="6"/>
  <c r="C789" i="6"/>
  <c r="B792" i="6"/>
  <c r="C792" i="6"/>
  <c r="B952" i="6"/>
  <c r="C952" i="6"/>
  <c r="B847" i="6"/>
  <c r="C847" i="6"/>
  <c r="B849" i="6"/>
  <c r="C849" i="6"/>
  <c r="B938" i="6"/>
  <c r="C938" i="6"/>
  <c r="B939" i="6"/>
  <c r="C939" i="6"/>
  <c r="B845" i="6"/>
  <c r="C845" i="6"/>
  <c r="B956" i="6"/>
  <c r="C956" i="6"/>
  <c r="B957" i="6"/>
  <c r="C957" i="6"/>
  <c r="B958" i="6"/>
  <c r="C958" i="6"/>
  <c r="B959" i="6"/>
  <c r="C959" i="6"/>
  <c r="B960" i="6"/>
  <c r="C960" i="6"/>
  <c r="B963" i="6"/>
  <c r="C963" i="6"/>
  <c r="B964" i="6"/>
  <c r="C964" i="6"/>
  <c r="B961" i="6"/>
  <c r="C961" i="6"/>
  <c r="B962" i="6"/>
  <c r="C962" i="6"/>
  <c r="B966" i="6"/>
  <c r="C966" i="6"/>
  <c r="B967" i="6"/>
  <c r="C967" i="6"/>
  <c r="B968" i="6"/>
  <c r="C968" i="6"/>
  <c r="B969" i="6"/>
  <c r="C969" i="6"/>
  <c r="B970" i="6"/>
  <c r="C970" i="6"/>
  <c r="B965" i="6"/>
  <c r="C965" i="6"/>
  <c r="B975" i="6"/>
  <c r="C975" i="6"/>
  <c r="B971" i="6"/>
  <c r="C971" i="6"/>
  <c r="B976" i="6"/>
  <c r="C976" i="6"/>
  <c r="B977" i="6"/>
  <c r="C977" i="6"/>
  <c r="B978" i="6"/>
  <c r="C978" i="6"/>
  <c r="B979" i="6"/>
  <c r="C979" i="6"/>
  <c r="B983" i="6"/>
  <c r="C983" i="6"/>
  <c r="B984" i="6"/>
  <c r="C984" i="6"/>
  <c r="B985" i="6"/>
  <c r="C985" i="6"/>
  <c r="B986" i="6"/>
  <c r="C986" i="6"/>
  <c r="B987" i="6"/>
  <c r="C987" i="6"/>
  <c r="B988" i="6"/>
  <c r="C988" i="6"/>
  <c r="B989" i="6"/>
  <c r="C989" i="6"/>
  <c r="B990" i="6"/>
  <c r="C990" i="6"/>
  <c r="B991" i="6"/>
  <c r="C991" i="6"/>
  <c r="B992" i="6"/>
  <c r="C992" i="6"/>
  <c r="B972" i="6"/>
  <c r="C972" i="6"/>
  <c r="B980" i="6"/>
  <c r="C980" i="6"/>
  <c r="B981" i="6"/>
  <c r="C981" i="6"/>
  <c r="B973" i="6"/>
  <c r="C973" i="6"/>
  <c r="B974" i="6"/>
  <c r="C974" i="6"/>
  <c r="B953" i="6"/>
  <c r="C953" i="6"/>
  <c r="B945" i="6"/>
  <c r="C945" i="6"/>
  <c r="B946" i="6"/>
  <c r="C946" i="6"/>
  <c r="B914" i="6"/>
  <c r="C914" i="6"/>
  <c r="B915" i="6"/>
  <c r="C915" i="6"/>
  <c r="B896" i="6"/>
  <c r="C896" i="6"/>
  <c r="B897" i="6"/>
  <c r="C897" i="6"/>
  <c r="B982" i="6"/>
  <c r="C982" i="6"/>
  <c r="B954" i="6"/>
  <c r="C954" i="6"/>
  <c r="B932" i="6"/>
  <c r="C932" i="6"/>
  <c r="B993" i="6"/>
  <c r="C993" i="6"/>
  <c r="B994" i="6"/>
  <c r="C994" i="6"/>
  <c r="B995" i="6"/>
  <c r="C995" i="6"/>
  <c r="B996" i="6"/>
  <c r="C996" i="6"/>
  <c r="B997" i="6"/>
  <c r="C997" i="6"/>
  <c r="B998" i="6"/>
  <c r="C998" i="6"/>
  <c r="B999" i="6"/>
  <c r="C999" i="6"/>
  <c r="C132" i="6"/>
  <c r="B132" i="6"/>
  <c r="L3" i="5" l="1"/>
  <c r="J16" i="5"/>
  <c r="K24" i="5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3" i="6"/>
  <c r="E3" i="15"/>
  <c r="D25" i="15"/>
  <c r="C43" i="15"/>
  <c r="B43" i="15"/>
  <c r="C19" i="15"/>
  <c r="C18" i="15"/>
  <c r="C17" i="15"/>
  <c r="D15" i="15"/>
  <c r="C15" i="15"/>
  <c r="D14" i="15"/>
  <c r="C14" i="15"/>
  <c r="D13" i="15"/>
  <c r="C13" i="15"/>
  <c r="D12" i="15"/>
  <c r="C12" i="15"/>
  <c r="D11" i="15"/>
  <c r="C11" i="15"/>
  <c r="D10" i="15"/>
  <c r="C10" i="15"/>
  <c r="D9" i="15"/>
  <c r="C9" i="15"/>
  <c r="D8" i="15"/>
  <c r="C8" i="15"/>
  <c r="D7" i="15"/>
  <c r="C7" i="15"/>
  <c r="L4" i="5" l="1"/>
  <c r="M4" i="5"/>
  <c r="B44" i="15"/>
  <c r="M5" i="5" l="1"/>
  <c r="L5" i="5"/>
  <c r="M6" i="5" l="1"/>
  <c r="L6" i="5"/>
  <c r="M7" i="5" l="1"/>
  <c r="L7" i="5"/>
  <c r="M8" i="5" l="1"/>
  <c r="L8" i="5"/>
  <c r="M9" i="5" l="1"/>
  <c r="L9" i="5"/>
  <c r="M10" i="5" l="1"/>
  <c r="L10" i="5"/>
  <c r="L11" i="5" l="1"/>
  <c r="M11" i="5"/>
  <c r="L12" i="5" l="1"/>
  <c r="M12" i="5"/>
  <c r="L13" i="5" l="1"/>
  <c r="M13" i="5"/>
  <c r="M14" i="5" l="1"/>
  <c r="L14" i="5"/>
  <c r="M15" i="5" l="1"/>
  <c r="L15" i="5"/>
  <c r="M16" i="5" l="1"/>
  <c r="L16" i="5"/>
  <c r="M17" i="5" l="1"/>
  <c r="L17" i="5"/>
  <c r="M18" i="5" l="1"/>
  <c r="L18" i="5"/>
  <c r="L19" i="5" l="1"/>
  <c r="M19" i="5"/>
  <c r="L20" i="5" l="1"/>
  <c r="M20" i="5"/>
  <c r="L21" i="5" l="1"/>
  <c r="M21" i="5"/>
  <c r="M22" i="5" l="1"/>
  <c r="L22" i="5"/>
  <c r="L23" i="5" l="1"/>
  <c r="M23" i="5"/>
  <c r="M24" i="5" l="1"/>
  <c r="L24" i="5"/>
  <c r="M25" i="5" l="1"/>
  <c r="L25" i="5"/>
  <c r="M26" i="5" l="1"/>
  <c r="L26" i="5"/>
  <c r="M27" i="5" l="1"/>
  <c r="L27" i="5"/>
  <c r="M28" i="5" l="1"/>
  <c r="L28" i="5"/>
  <c r="M29" i="5" l="1"/>
  <c r="L29" i="5"/>
  <c r="M30" i="5" l="1"/>
  <c r="L30" i="5"/>
  <c r="L31" i="5" l="1"/>
  <c r="M31" i="5"/>
  <c r="M32" i="5" l="1"/>
  <c r="L32" i="5"/>
  <c r="M33" i="5" l="1"/>
  <c r="L33" i="5"/>
  <c r="L34" i="5" l="1"/>
  <c r="M34" i="5"/>
  <c r="M35" i="5" l="1"/>
  <c r="L35" i="5"/>
  <c r="M36" i="5" l="1"/>
  <c r="L36" i="5"/>
  <c r="M37" i="5" l="1"/>
  <c r="L37" i="5"/>
  <c r="M38" i="5" l="1"/>
  <c r="L38" i="5"/>
  <c r="L39" i="5" l="1"/>
  <c r="M39" i="5"/>
  <c r="M40" i="5" l="1"/>
  <c r="L40" i="5"/>
  <c r="M41" i="5" l="1"/>
  <c r="L41" i="5"/>
  <c r="L42" i="5" l="1"/>
  <c r="M42" i="5"/>
  <c r="M43" i="5" l="1"/>
  <c r="L43" i="5"/>
  <c r="M44" i="5" l="1"/>
  <c r="L44" i="5"/>
  <c r="M45" i="5" l="1"/>
  <c r="L45" i="5"/>
  <c r="M46" i="5" l="1"/>
  <c r="L46" i="5"/>
  <c r="L47" i="5" l="1"/>
  <c r="M47" i="5"/>
  <c r="M48" i="5" l="1"/>
  <c r="L48" i="5"/>
  <c r="M49" i="5" l="1"/>
  <c r="L49" i="5"/>
  <c r="M50" i="5" l="1"/>
  <c r="L50" i="5"/>
  <c r="L51" i="5" l="1"/>
  <c r="M51" i="5"/>
  <c r="M52" i="5" l="1"/>
  <c r="L52" i="5"/>
  <c r="M53" i="5" l="1"/>
  <c r="L53" i="5"/>
  <c r="L54" i="5" l="1"/>
  <c r="M54" i="5"/>
  <c r="M55" i="5" l="1"/>
  <c r="L55" i="5"/>
  <c r="M56" i="5" l="1"/>
  <c r="L56" i="5"/>
  <c r="M57" i="5" l="1"/>
  <c r="L57" i="5"/>
  <c r="M58" i="5" l="1"/>
  <c r="L58" i="5"/>
  <c r="M59" i="5" l="1"/>
  <c r="L59" i="5"/>
  <c r="L60" i="5" l="1"/>
  <c r="M60" i="5"/>
  <c r="M61" i="5" l="1"/>
  <c r="L61" i="5"/>
  <c r="M62" i="5" l="1"/>
  <c r="L62" i="5"/>
  <c r="M63" i="5" l="1"/>
  <c r="L63" i="5"/>
  <c r="M64" i="5" l="1"/>
  <c r="L64" i="5"/>
  <c r="M65" i="5" l="1"/>
  <c r="L65" i="5"/>
  <c r="L66" i="5" l="1"/>
  <c r="M66" i="5"/>
  <c r="M67" i="5" l="1"/>
  <c r="L67" i="5"/>
  <c r="L68" i="5" l="1"/>
  <c r="M68" i="5"/>
  <c r="L69" i="5" l="1"/>
  <c r="M69" i="5"/>
  <c r="M70" i="5" l="1"/>
  <c r="L70" i="5"/>
  <c r="M71" i="5" l="1"/>
  <c r="L71" i="5"/>
  <c r="M72" i="5" l="1"/>
  <c r="L72" i="5"/>
  <c r="M73" i="5" l="1"/>
  <c r="L73" i="5"/>
  <c r="L74" i="5" l="1"/>
  <c r="M74" i="5"/>
  <c r="M75" i="5" l="1"/>
  <c r="L75" i="5"/>
  <c r="M76" i="5" l="1"/>
  <c r="L76" i="5"/>
  <c r="M77" i="5" l="1"/>
  <c r="L77" i="5"/>
  <c r="M78" i="5" l="1"/>
  <c r="L78" i="5"/>
  <c r="L79" i="5" l="1"/>
  <c r="M79" i="5"/>
  <c r="M80" i="5" l="1"/>
  <c r="L80" i="5"/>
  <c r="M81" i="5" l="1"/>
  <c r="L81" i="5"/>
  <c r="M82" i="5" l="1"/>
  <c r="L82" i="5"/>
  <c r="L83" i="5" l="1"/>
  <c r="M83" i="5"/>
  <c r="M84" i="5" l="1"/>
  <c r="L84" i="5"/>
  <c r="M85" i="5" l="1"/>
  <c r="L85" i="5"/>
  <c r="M86" i="5" l="1"/>
  <c r="L86" i="5"/>
  <c r="M87" i="5" l="1"/>
  <c r="L87" i="5"/>
  <c r="M88" i="5" l="1"/>
  <c r="L88" i="5"/>
  <c r="M89" i="5" l="1"/>
  <c r="L89" i="5"/>
  <c r="L90" i="5" l="1"/>
  <c r="M90" i="5"/>
  <c r="L91" i="5" l="1"/>
  <c r="M91" i="5"/>
  <c r="L92" i="5" l="1"/>
  <c r="M92" i="5"/>
  <c r="M93" i="5" l="1"/>
  <c r="L93" i="5"/>
  <c r="L94" i="5" l="1"/>
  <c r="M94" i="5"/>
  <c r="L95" i="5" l="1"/>
  <c r="M95" i="5"/>
  <c r="L96" i="5" l="1"/>
  <c r="M96" i="5"/>
  <c r="M97" i="5" l="1"/>
  <c r="L97" i="5"/>
  <c r="M98" i="5" l="1"/>
  <c r="L98" i="5"/>
  <c r="M99" i="5" l="1"/>
  <c r="L99" i="5"/>
  <c r="L100" i="5" l="1"/>
  <c r="M100" i="5"/>
  <c r="L101" i="5" l="1"/>
  <c r="M101" i="5"/>
  <c r="L102" i="5" l="1"/>
  <c r="M102" i="5"/>
  <c r="L103" i="5" l="1"/>
  <c r="M103" i="5"/>
  <c r="L104" i="5" l="1"/>
  <c r="M104" i="5"/>
  <c r="L105" i="5" l="1"/>
  <c r="M105" i="5"/>
  <c r="M106" i="5" l="1"/>
  <c r="L106" i="5"/>
  <c r="L107" i="5" l="1"/>
  <c r="M107" i="5"/>
  <c r="M108" i="5" l="1"/>
  <c r="L108" i="5"/>
  <c r="L109" i="5" l="1"/>
  <c r="M109" i="5"/>
  <c r="L110" i="5" l="1"/>
  <c r="M110" i="5"/>
  <c r="L111" i="5" l="1"/>
  <c r="M111" i="5"/>
  <c r="M112" i="5" l="1"/>
  <c r="L112" i="5"/>
  <c r="L113" i="5" l="1"/>
  <c r="M113" i="5"/>
  <c r="M114" i="5" l="1"/>
  <c r="L114" i="5"/>
  <c r="M115" i="5" l="1"/>
  <c r="L115" i="5"/>
  <c r="L116" i="5" l="1"/>
  <c r="M116" i="5"/>
  <c r="M117" i="5" l="1"/>
  <c r="L117" i="5"/>
  <c r="L118" i="5" l="1"/>
  <c r="M118" i="5"/>
  <c r="M119" i="5" l="1"/>
  <c r="L119" i="5"/>
  <c r="L120" i="5" l="1"/>
  <c r="M120" i="5"/>
  <c r="L121" i="5" l="1"/>
  <c r="M121" i="5"/>
  <c r="L122" i="5" l="1"/>
  <c r="M122" i="5"/>
  <c r="M123" i="5" l="1"/>
  <c r="L123" i="5"/>
  <c r="L124" i="5" l="1"/>
  <c r="M124" i="5"/>
  <c r="L125" i="5" l="1"/>
  <c r="M125" i="5"/>
  <c r="L126" i="5" l="1"/>
  <c r="M126" i="5"/>
  <c r="L127" i="5" l="1"/>
  <c r="M127" i="5"/>
  <c r="M128" i="5" l="1"/>
  <c r="L128" i="5"/>
  <c r="L129" i="5" l="1"/>
  <c r="M129" i="5"/>
  <c r="L130" i="5" l="1"/>
  <c r="M130" i="5"/>
  <c r="L131" i="5" l="1"/>
  <c r="M131" i="5"/>
  <c r="L132" i="5" l="1"/>
  <c r="M132" i="5"/>
  <c r="M133" i="5" l="1"/>
  <c r="L133" i="5"/>
  <c r="M134" i="5" l="1"/>
  <c r="L134" i="5"/>
  <c r="L135" i="5" l="1"/>
  <c r="M135" i="5"/>
  <c r="L136" i="5" l="1"/>
  <c r="M136" i="5"/>
  <c r="L137" i="5" l="1"/>
  <c r="M137" i="5"/>
  <c r="L138" i="5" l="1"/>
  <c r="M138" i="5"/>
  <c r="L139" i="5" l="1"/>
  <c r="M139" i="5"/>
  <c r="L140" i="5" l="1"/>
  <c r="M140" i="5"/>
  <c r="M141" i="5" l="1"/>
  <c r="L141" i="5"/>
  <c r="L142" i="5" l="1"/>
  <c r="M142" i="5"/>
  <c r="L143" i="5" l="1"/>
  <c r="M143" i="5"/>
  <c r="L144" i="5" l="1"/>
  <c r="M144" i="5"/>
  <c r="L145" i="5" l="1"/>
  <c r="M145" i="5"/>
  <c r="L146" i="5" l="1"/>
  <c r="M146" i="5"/>
  <c r="L147" i="5" l="1"/>
  <c r="M147" i="5"/>
  <c r="L148" i="5" l="1"/>
  <c r="M148" i="5"/>
  <c r="M149" i="5" l="1"/>
  <c r="L149" i="5"/>
  <c r="L150" i="5" l="1"/>
  <c r="M150" i="5"/>
  <c r="M151" i="5" l="1"/>
  <c r="L151" i="5"/>
  <c r="M152" i="5" l="1"/>
  <c r="L152" i="5"/>
  <c r="L153" i="5" l="1"/>
  <c r="M153" i="5"/>
  <c r="M154" i="5" l="1"/>
  <c r="L154" i="5"/>
  <c r="M155" i="5" l="1"/>
  <c r="L155" i="5"/>
  <c r="L156" i="5" l="1"/>
  <c r="M156" i="5"/>
  <c r="L157" i="5" l="1"/>
  <c r="M157" i="5"/>
  <c r="L158" i="5" l="1"/>
  <c r="M158" i="5"/>
  <c r="M159" i="5" l="1"/>
  <c r="L159" i="5"/>
  <c r="L160" i="5" l="1"/>
  <c r="M160" i="5"/>
  <c r="L161" i="5" l="1"/>
  <c r="M161" i="5"/>
  <c r="M162" i="5" l="1"/>
  <c r="L162" i="5"/>
  <c r="L163" i="5" l="1"/>
  <c r="M163" i="5"/>
  <c r="M164" i="5" l="1"/>
  <c r="L164" i="5"/>
  <c r="L165" i="5" l="1"/>
  <c r="M165" i="5"/>
  <c r="L166" i="5" l="1"/>
  <c r="M166" i="5"/>
  <c r="L167" i="5" l="1"/>
  <c r="M167" i="5"/>
  <c r="L168" i="5" l="1"/>
  <c r="M168" i="5"/>
  <c r="M169" i="5" l="1"/>
  <c r="L169" i="5"/>
  <c r="L170" i="5" l="1"/>
  <c r="M170" i="5"/>
  <c r="L171" i="5" l="1"/>
  <c r="M171" i="5"/>
  <c r="L172" i="5" l="1"/>
  <c r="M172" i="5"/>
  <c r="L173" i="5" l="1"/>
  <c r="M173" i="5"/>
  <c r="M174" i="5" l="1"/>
  <c r="L174" i="5"/>
  <c r="M175" i="5" l="1"/>
  <c r="L175" i="5"/>
  <c r="L176" i="5" l="1"/>
  <c r="M176" i="5"/>
  <c r="L177" i="5" l="1"/>
  <c r="M177" i="5"/>
  <c r="L178" i="5" l="1"/>
  <c r="M178" i="5"/>
  <c r="L179" i="5" l="1"/>
  <c r="M179" i="5"/>
  <c r="L180" i="5" l="1"/>
  <c r="M180" i="5"/>
  <c r="L181" i="5" l="1"/>
  <c r="M181" i="5"/>
  <c r="L182" i="5" l="1"/>
  <c r="M182" i="5"/>
  <c r="L183" i="5" l="1"/>
  <c r="M183" i="5"/>
  <c r="L184" i="5" l="1"/>
  <c r="M184" i="5"/>
  <c r="L185" i="5" l="1"/>
  <c r="M185" i="5"/>
  <c r="L186" i="5" l="1"/>
  <c r="M186" i="5"/>
  <c r="L187" i="5" l="1"/>
  <c r="M187" i="5"/>
  <c r="L188" i="5" l="1"/>
  <c r="M188" i="5"/>
  <c r="L189" i="5" l="1"/>
  <c r="M189" i="5"/>
  <c r="L190" i="5" l="1"/>
  <c r="M190" i="5"/>
  <c r="L191" i="5" l="1"/>
  <c r="M191" i="5"/>
  <c r="L192" i="5" l="1"/>
  <c r="M192" i="5"/>
  <c r="L193" i="5" l="1"/>
  <c r="M193" i="5"/>
  <c r="L194" i="5" l="1"/>
  <c r="M194" i="5"/>
  <c r="M195" i="5" l="1"/>
  <c r="L195" i="5"/>
  <c r="L196" i="5" l="1"/>
  <c r="M196" i="5"/>
  <c r="L197" i="5" l="1"/>
  <c r="M197" i="5"/>
  <c r="L198" i="5" l="1"/>
  <c r="M198" i="5"/>
  <c r="M199" i="5" l="1"/>
  <c r="L199" i="5"/>
  <c r="L200" i="5" l="1"/>
  <c r="M200" i="5"/>
  <c r="M201" i="5" l="1"/>
  <c r="L201" i="5"/>
  <c r="L202" i="5" l="1"/>
  <c r="M202" i="5"/>
  <c r="L203" i="5" l="1"/>
  <c r="M203" i="5"/>
  <c r="L204" i="5" l="1"/>
  <c r="M204" i="5"/>
  <c r="L205" i="5" l="1"/>
  <c r="M205" i="5"/>
  <c r="L206" i="5" l="1"/>
  <c r="M206" i="5"/>
  <c r="L207" i="5" l="1"/>
  <c r="M207" i="5"/>
  <c r="M208" i="5" l="1"/>
  <c r="L208" i="5"/>
  <c r="L209" i="5" l="1"/>
  <c r="M209" i="5"/>
  <c r="L210" i="5" l="1"/>
  <c r="M210" i="5"/>
  <c r="L211" i="5" l="1"/>
  <c r="M211" i="5"/>
  <c r="L212" i="5" l="1"/>
  <c r="M212" i="5"/>
  <c r="M213" i="5" l="1"/>
  <c r="L213" i="5"/>
  <c r="L214" i="5" l="1"/>
  <c r="M214" i="5"/>
  <c r="L215" i="5" l="1"/>
  <c r="M215" i="5"/>
  <c r="L216" i="5" l="1"/>
  <c r="M216" i="5"/>
  <c r="L217" i="5" l="1"/>
  <c r="M217" i="5"/>
  <c r="L218" i="5" l="1"/>
  <c r="M218" i="5"/>
  <c r="L219" i="5" l="1"/>
  <c r="M219" i="5"/>
  <c r="L220" i="5" l="1"/>
  <c r="M220" i="5"/>
  <c r="L221" i="5" l="1"/>
  <c r="M221" i="5"/>
  <c r="L222" i="5" l="1"/>
  <c r="M222" i="5"/>
  <c r="M223" i="5" l="1"/>
  <c r="L223" i="5"/>
  <c r="L224" i="5" l="1"/>
  <c r="M224" i="5"/>
  <c r="L225" i="5" l="1"/>
  <c r="M225" i="5"/>
  <c r="M226" i="5" l="1"/>
  <c r="L226" i="5"/>
  <c r="L227" i="5" l="1"/>
  <c r="M227" i="5"/>
  <c r="M228" i="5" l="1"/>
  <c r="L228" i="5"/>
  <c r="M229" i="5" l="1"/>
  <c r="L229" i="5"/>
  <c r="M230" i="5" l="1"/>
  <c r="L230" i="5"/>
  <c r="L231" i="5" l="1"/>
  <c r="M231" i="5"/>
  <c r="L232" i="5" l="1"/>
  <c r="M232" i="5"/>
  <c r="L233" i="5" l="1"/>
  <c r="M233" i="5"/>
  <c r="L234" i="5" l="1"/>
  <c r="M234" i="5"/>
  <c r="L235" i="5" l="1"/>
  <c r="M235" i="5"/>
  <c r="L236" i="5" s="1"/>
  <c r="M236" i="5" l="1"/>
  <c r="L237" i="5" s="1"/>
  <c r="M237" i="5"/>
  <c r="L238" i="5" l="1"/>
  <c r="M238" i="5"/>
  <c r="L239" i="5" l="1"/>
  <c r="M239" i="5"/>
  <c r="M240" i="5" l="1"/>
  <c r="L240" i="5"/>
  <c r="M241" i="5" l="1"/>
  <c r="L241" i="5"/>
  <c r="L242" i="5" l="1"/>
  <c r="M242" i="5"/>
  <c r="L243" i="5" l="1"/>
  <c r="M243" i="5"/>
  <c r="L244" i="5" l="1"/>
  <c r="M244" i="5"/>
  <c r="M245" i="5" l="1"/>
  <c r="L245" i="5"/>
  <c r="M246" i="5" l="1"/>
  <c r="L246" i="5"/>
  <c r="L247" i="5" l="1"/>
  <c r="M247" i="5"/>
  <c r="L248" i="5" l="1"/>
  <c r="M248" i="5"/>
  <c r="M249" i="5" l="1"/>
  <c r="L249" i="5"/>
  <c r="L250" i="5" l="1"/>
  <c r="M250" i="5"/>
  <c r="L251" i="5" l="1"/>
  <c r="M251" i="5"/>
  <c r="L252" i="5" l="1"/>
  <c r="M252" i="5"/>
  <c r="L253" i="5" l="1"/>
  <c r="M253" i="5"/>
  <c r="L254" i="5" l="1"/>
  <c r="M254" i="5"/>
  <c r="M255" i="5" l="1"/>
  <c r="L255" i="5"/>
  <c r="L256" i="5" l="1"/>
  <c r="M256" i="5"/>
  <c r="L257" i="5" l="1"/>
  <c r="M257" i="5"/>
  <c r="M258" i="5" l="1"/>
  <c r="L258" i="5"/>
  <c r="M259" i="5" l="1"/>
  <c r="L259" i="5"/>
  <c r="M260" i="5" l="1"/>
  <c r="L260" i="5"/>
  <c r="L261" i="5" l="1"/>
  <c r="M261" i="5"/>
  <c r="M262" i="5" l="1"/>
  <c r="L262" i="5"/>
  <c r="M263" i="5" l="1"/>
  <c r="L263" i="5"/>
  <c r="M264" i="5" l="1"/>
  <c r="L264" i="5"/>
  <c r="M265" i="5" l="1"/>
  <c r="L265" i="5"/>
  <c r="M266" i="5" l="1"/>
  <c r="L266" i="5"/>
  <c r="M267" i="5" l="1"/>
  <c r="L267" i="5"/>
  <c r="L268" i="5" l="1"/>
  <c r="M268" i="5"/>
  <c r="M269" i="5" l="1"/>
  <c r="L269" i="5"/>
  <c r="L270" i="5" l="1"/>
  <c r="M270" i="5"/>
  <c r="M271" i="5" l="1"/>
  <c r="L271" i="5"/>
  <c r="L272" i="5" l="1"/>
  <c r="M272" i="5"/>
  <c r="M273" i="5" l="1"/>
  <c r="L273" i="5"/>
  <c r="M274" i="5" l="1"/>
  <c r="L274" i="5"/>
  <c r="M275" i="5" l="1"/>
  <c r="L275" i="5"/>
  <c r="L276" i="5" l="1"/>
  <c r="M276" i="5"/>
  <c r="L277" i="5" l="1"/>
  <c r="M277" i="5"/>
  <c r="M278" i="5" l="1"/>
  <c r="L278" i="5"/>
  <c r="M279" i="5" l="1"/>
  <c r="L279" i="5"/>
  <c r="M280" i="5" l="1"/>
  <c r="L280" i="5"/>
  <c r="L281" i="5" l="1"/>
  <c r="M281" i="5"/>
  <c r="M282" i="5" l="1"/>
  <c r="L282" i="5"/>
  <c r="M283" i="5" l="1"/>
  <c r="L283" i="5"/>
  <c r="L284" i="5" l="1"/>
  <c r="M284" i="5"/>
  <c r="L285" i="5" l="1"/>
  <c r="M285" i="5"/>
  <c r="M286" i="5" l="1"/>
  <c r="L286" i="5"/>
  <c r="L287" i="5" l="1"/>
  <c r="M287" i="5"/>
  <c r="L288" i="5" l="1"/>
  <c r="M288" i="5"/>
  <c r="L289" i="5" l="1"/>
  <c r="M289" i="5"/>
  <c r="M290" i="5" l="1"/>
  <c r="L290" i="5"/>
  <c r="L291" i="5" l="1"/>
  <c r="M291" i="5"/>
  <c r="M292" i="5" l="1"/>
  <c r="L292" i="5"/>
  <c r="M293" i="5" l="1"/>
  <c r="L293" i="5"/>
  <c r="L294" i="5" l="1"/>
  <c r="M294" i="5"/>
  <c r="M295" i="5" l="1"/>
  <c r="L295" i="5"/>
  <c r="L296" i="5" l="1"/>
  <c r="M296" i="5"/>
  <c r="M297" i="5" l="1"/>
  <c r="L297" i="5"/>
  <c r="M298" i="5" l="1"/>
  <c r="L298" i="5"/>
  <c r="L299" i="5" l="1"/>
  <c r="M299" i="5"/>
  <c r="M300" i="5" l="1"/>
  <c r="L300" i="5"/>
  <c r="M301" i="5" l="1"/>
  <c r="L301" i="5"/>
  <c r="M302" i="5" l="1"/>
  <c r="L302" i="5"/>
  <c r="M303" i="5" l="1"/>
  <c r="L303" i="5"/>
  <c r="M304" i="5" l="1"/>
  <c r="L304" i="5"/>
  <c r="M305" i="5" l="1"/>
  <c r="L305" i="5"/>
  <c r="L306" i="5" l="1"/>
  <c r="M306" i="5"/>
  <c r="M307" i="5" l="1"/>
  <c r="L307" i="5"/>
  <c r="L308" i="5" l="1"/>
  <c r="M308" i="5"/>
  <c r="M309" i="5" l="1"/>
  <c r="L309" i="5"/>
  <c r="M310" i="5" l="1"/>
  <c r="L310" i="5"/>
  <c r="M311" i="5" l="1"/>
  <c r="L311" i="5"/>
  <c r="M312" i="5" l="1"/>
  <c r="L312" i="5"/>
  <c r="L313" i="5" l="1"/>
  <c r="M313" i="5"/>
  <c r="M314" i="5" l="1"/>
  <c r="L314" i="5"/>
  <c r="M315" i="5" l="1"/>
  <c r="L315" i="5"/>
  <c r="M316" i="5" l="1"/>
  <c r="L316" i="5"/>
  <c r="M317" i="5" l="1"/>
  <c r="L317" i="5"/>
  <c r="L318" i="5" l="1"/>
  <c r="M318" i="5"/>
  <c r="M319" i="5" l="1"/>
  <c r="L319" i="5"/>
  <c r="M320" i="5" l="1"/>
  <c r="L320" i="5"/>
  <c r="M321" i="5" l="1"/>
  <c r="L321" i="5"/>
  <c r="M322" i="5" l="1"/>
  <c r="L322" i="5"/>
  <c r="M323" i="5" l="1"/>
  <c r="L323" i="5"/>
  <c r="M324" i="5" l="1"/>
  <c r="L324" i="5"/>
  <c r="L325" i="5" l="1"/>
  <c r="M325" i="5"/>
  <c r="L326" i="5" l="1"/>
  <c r="M326" i="5"/>
  <c r="L327" i="5" l="1"/>
  <c r="M327" i="5"/>
  <c r="L328" i="5" l="1"/>
  <c r="M328" i="5"/>
  <c r="M329" i="5" l="1"/>
  <c r="L329" i="5"/>
  <c r="L330" i="5" l="1"/>
  <c r="M330" i="5"/>
  <c r="M331" i="5" l="1"/>
  <c r="L331" i="5"/>
  <c r="M332" i="5" l="1"/>
  <c r="L332" i="5"/>
  <c r="M333" i="5" l="1"/>
  <c r="L333" i="5"/>
  <c r="L334" i="5" l="1"/>
  <c r="M334" i="5"/>
  <c r="M335" i="5" l="1"/>
  <c r="L335" i="5"/>
  <c r="M336" i="5" l="1"/>
  <c r="L336" i="5"/>
  <c r="M337" i="5" l="1"/>
  <c r="L337" i="5"/>
  <c r="M338" i="5" l="1"/>
  <c r="L338" i="5"/>
  <c r="M339" i="5" l="1"/>
  <c r="L339" i="5"/>
  <c r="L340" i="5" l="1"/>
  <c r="M340" i="5"/>
  <c r="L341" i="5" l="1"/>
  <c r="M341" i="5"/>
  <c r="L342" i="5" l="1"/>
  <c r="M342" i="5"/>
  <c r="M343" i="5" l="1"/>
  <c r="L343" i="5"/>
  <c r="M344" i="5" l="1"/>
  <c r="L344" i="5"/>
  <c r="L345" i="5" l="1"/>
  <c r="M345" i="5"/>
  <c r="L346" i="5" l="1"/>
  <c r="M346" i="5"/>
  <c r="M347" i="5" l="1"/>
  <c r="L347" i="5"/>
  <c r="L348" i="5" l="1"/>
  <c r="M348" i="5"/>
  <c r="M349" i="5" l="1"/>
  <c r="L349" i="5"/>
  <c r="L350" i="5" l="1"/>
  <c r="M350" i="5"/>
  <c r="L351" i="5" l="1"/>
  <c r="M351" i="5"/>
  <c r="M352" i="5" l="1"/>
  <c r="L352" i="5"/>
  <c r="L353" i="5" l="1"/>
  <c r="M353" i="5"/>
  <c r="L354" i="5" l="1"/>
  <c r="M354" i="5"/>
  <c r="M355" i="5" l="1"/>
  <c r="L355" i="5"/>
  <c r="M356" i="5" l="1"/>
  <c r="L356" i="5"/>
  <c r="M357" i="5" l="1"/>
  <c r="L357" i="5"/>
  <c r="M358" i="5" l="1"/>
  <c r="L358" i="5"/>
  <c r="L359" i="5" l="1"/>
  <c r="M359" i="5"/>
  <c r="L360" i="5" l="1"/>
  <c r="M360" i="5"/>
  <c r="L361" i="5" l="1"/>
  <c r="M361" i="5"/>
  <c r="L362" i="5" l="1"/>
  <c r="M362" i="5"/>
  <c r="L363" i="5" l="1"/>
  <c r="M363" i="5"/>
  <c r="M364" i="5" l="1"/>
  <c r="L364" i="5"/>
  <c r="L365" i="5" l="1"/>
  <c r="M365" i="5"/>
  <c r="L366" i="5" l="1"/>
  <c r="M366" i="5"/>
  <c r="M367" i="5" l="1"/>
  <c r="L367" i="5"/>
  <c r="M368" i="5" l="1"/>
  <c r="L368" i="5"/>
  <c r="L369" i="5" l="1"/>
  <c r="M369" i="5"/>
  <c r="L370" i="5" l="1"/>
  <c r="M370" i="5"/>
  <c r="L371" i="5" l="1"/>
  <c r="M371" i="5"/>
  <c r="M372" i="5" l="1"/>
  <c r="L372" i="5"/>
  <c r="L373" i="5" l="1"/>
  <c r="M373" i="5"/>
  <c r="M374" i="5" l="1"/>
  <c r="L374" i="5"/>
  <c r="M375" i="5" l="1"/>
  <c r="L375" i="5"/>
  <c r="L376" i="5" l="1"/>
  <c r="M376" i="5"/>
  <c r="L377" i="5" l="1"/>
  <c r="M377" i="5"/>
  <c r="L378" i="5" l="1"/>
  <c r="M378" i="5"/>
  <c r="M379" i="5" l="1"/>
  <c r="L379" i="5"/>
  <c r="L380" i="5" l="1"/>
  <c r="M380" i="5"/>
  <c r="L381" i="5" l="1"/>
  <c r="M381" i="5"/>
  <c r="M382" i="5" l="1"/>
  <c r="L382" i="5"/>
  <c r="L383" i="5" l="1"/>
  <c r="M383" i="5"/>
  <c r="L384" i="5" l="1"/>
  <c r="M384" i="5"/>
  <c r="L385" i="5" l="1"/>
  <c r="M385" i="5"/>
  <c r="L386" i="5" l="1"/>
  <c r="M386" i="5"/>
  <c r="L387" i="5" l="1"/>
  <c r="M387" i="5"/>
  <c r="L388" i="5" l="1"/>
  <c r="M388" i="5"/>
  <c r="L389" i="5" l="1"/>
  <c r="M389" i="5"/>
  <c r="M390" i="5" l="1"/>
  <c r="L390" i="5"/>
  <c r="L391" i="5" l="1"/>
  <c r="M391" i="5"/>
  <c r="M392" i="5" l="1"/>
  <c r="L392" i="5"/>
  <c r="L393" i="5" l="1"/>
  <c r="M393" i="5"/>
  <c r="M394" i="5" l="1"/>
  <c r="L394" i="5"/>
  <c r="L395" i="5" l="1"/>
  <c r="M395" i="5"/>
  <c r="L396" i="5" l="1"/>
  <c r="M396" i="5"/>
  <c r="M397" i="5" l="1"/>
  <c r="L397" i="5"/>
  <c r="L398" i="5" l="1"/>
  <c r="M398" i="5"/>
  <c r="L399" i="5" l="1"/>
  <c r="M399" i="5"/>
  <c r="L400" i="5" l="1"/>
  <c r="M400" i="5"/>
  <c r="L401" i="5" l="1"/>
  <c r="M401" i="5"/>
  <c r="M402" i="5" l="1"/>
  <c r="L402" i="5"/>
  <c r="L403" i="5" l="1"/>
  <c r="M403" i="5"/>
  <c r="L404" i="5" l="1"/>
  <c r="M404" i="5"/>
  <c r="M405" i="5" l="1"/>
  <c r="L405" i="5"/>
  <c r="M406" i="5" l="1"/>
  <c r="L406" i="5"/>
  <c r="L407" i="5" l="1"/>
  <c r="M407" i="5"/>
  <c r="M408" i="5" l="1"/>
  <c r="L408" i="5"/>
  <c r="L409" i="5" l="1"/>
  <c r="M409" i="5"/>
  <c r="L410" i="5" l="1"/>
  <c r="M410" i="5"/>
  <c r="L411" i="5" l="1"/>
  <c r="M411" i="5"/>
  <c r="L412" i="5" l="1"/>
  <c r="M412" i="5"/>
  <c r="M413" i="5" l="1"/>
  <c r="L413" i="5"/>
  <c r="L414" i="5" l="1"/>
  <c r="M414" i="5"/>
  <c r="L415" i="5" l="1"/>
  <c r="M415" i="5"/>
  <c r="L416" i="5" l="1"/>
  <c r="M416" i="5"/>
  <c r="L417" i="5" l="1"/>
  <c r="M417" i="5"/>
  <c r="L418" i="5" l="1"/>
  <c r="M418" i="5"/>
  <c r="L419" i="5" l="1"/>
  <c r="M419" i="5"/>
  <c r="L420" i="5" l="1"/>
  <c r="M420" i="5"/>
  <c r="L421" i="5" l="1"/>
  <c r="M421" i="5"/>
  <c r="L422" i="5" l="1"/>
  <c r="M422" i="5"/>
  <c r="L423" i="5" l="1"/>
  <c r="M423" i="5"/>
  <c r="L424" i="5" l="1"/>
  <c r="M424" i="5"/>
  <c r="M425" i="5" l="1"/>
  <c r="L425" i="5"/>
  <c r="M426" i="5" l="1"/>
  <c r="L426" i="5"/>
  <c r="L427" i="5" l="1"/>
  <c r="M427" i="5"/>
  <c r="L428" i="5" l="1"/>
  <c r="M428" i="5"/>
  <c r="L429" i="5" l="1"/>
  <c r="M429" i="5"/>
  <c r="M430" i="5" l="1"/>
  <c r="L430" i="5"/>
  <c r="M431" i="5" l="1"/>
  <c r="L431" i="5"/>
  <c r="L432" i="5" l="1"/>
  <c r="M432" i="5"/>
  <c r="L433" i="5" l="1"/>
  <c r="M433" i="5"/>
  <c r="M434" i="5" l="1"/>
  <c r="L434" i="5"/>
  <c r="L435" i="5" l="1"/>
  <c r="M435" i="5"/>
  <c r="L436" i="5" l="1"/>
  <c r="M436" i="5"/>
  <c r="L437" i="5" l="1"/>
  <c r="M437" i="5"/>
  <c r="M438" i="5" l="1"/>
  <c r="L438" i="5"/>
  <c r="L439" i="5" l="1"/>
  <c r="M439" i="5"/>
  <c r="L440" i="5" l="1"/>
  <c r="M440" i="5"/>
  <c r="L441" i="5" l="1"/>
  <c r="M441" i="5"/>
  <c r="L442" i="5" l="1"/>
  <c r="M442" i="5"/>
  <c r="L443" i="5" l="1"/>
  <c r="M443" i="5"/>
  <c r="L444" i="5" l="1"/>
  <c r="M444" i="5"/>
  <c r="L445" i="5" l="1"/>
  <c r="M445" i="5"/>
  <c r="L446" i="5" l="1"/>
  <c r="M446" i="5"/>
  <c r="L447" i="5" l="1"/>
  <c r="M447" i="5"/>
  <c r="L448" i="5" l="1"/>
  <c r="M448" i="5"/>
  <c r="L449" i="5" l="1"/>
  <c r="M449" i="5"/>
  <c r="L450" i="5" l="1"/>
  <c r="M450" i="5"/>
  <c r="L451" i="5" l="1"/>
  <c r="M451" i="5"/>
  <c r="L452" i="5" l="1"/>
  <c r="M452" i="5"/>
  <c r="L453" i="5" l="1"/>
  <c r="M453" i="5"/>
  <c r="L454" i="5" l="1"/>
  <c r="M454" i="5"/>
  <c r="L455" i="5" l="1"/>
  <c r="M455" i="5"/>
  <c r="L456" i="5" l="1"/>
  <c r="M456" i="5"/>
  <c r="L457" i="5" l="1"/>
  <c r="M457" i="5"/>
  <c r="M458" i="5" l="1"/>
  <c r="L458" i="5"/>
  <c r="M459" i="5" l="1"/>
  <c r="L459" i="5"/>
  <c r="M460" i="5" l="1"/>
  <c r="L460" i="5"/>
  <c r="L461" i="5" l="1"/>
  <c r="M461" i="5"/>
  <c r="M462" i="5" l="1"/>
  <c r="L462" i="5"/>
  <c r="M463" i="5" l="1"/>
  <c r="L463" i="5"/>
  <c r="M464" i="5" l="1"/>
  <c r="L464" i="5"/>
  <c r="M465" i="5" l="1"/>
  <c r="L465" i="5"/>
  <c r="M466" i="5" l="1"/>
  <c r="L466" i="5"/>
  <c r="M467" i="5" l="1"/>
  <c r="L467" i="5"/>
  <c r="M468" i="5" l="1"/>
  <c r="L468" i="5"/>
  <c r="M469" i="5" l="1"/>
  <c r="L469" i="5"/>
  <c r="L470" i="5" l="1"/>
  <c r="M470" i="5"/>
  <c r="L471" i="5" l="1"/>
  <c r="M471" i="5"/>
  <c r="L472" i="5" l="1"/>
  <c r="M472" i="5"/>
  <c r="L473" i="5" l="1"/>
  <c r="M473" i="5"/>
  <c r="L474" i="5" l="1"/>
  <c r="M474" i="5"/>
  <c r="L475" i="5" l="1"/>
  <c r="M475" i="5"/>
  <c r="M476" i="5" l="1"/>
  <c r="L476" i="5"/>
  <c r="L477" i="5" l="1"/>
  <c r="M477" i="5"/>
  <c r="L478" i="5" l="1"/>
  <c r="M478" i="5"/>
  <c r="L479" i="5" l="1"/>
  <c r="M479" i="5"/>
  <c r="L480" i="5" l="1"/>
  <c r="M480" i="5"/>
  <c r="L481" i="5" l="1"/>
  <c r="M481" i="5"/>
  <c r="L482" i="5" l="1"/>
  <c r="M482" i="5"/>
  <c r="L483" i="5" l="1"/>
  <c r="M483" i="5"/>
  <c r="M484" i="5" l="1"/>
  <c r="L484" i="5"/>
  <c r="L485" i="5" l="1"/>
  <c r="M485" i="5"/>
  <c r="M486" i="5" l="1"/>
  <c r="L486" i="5"/>
  <c r="L487" i="5" l="1"/>
  <c r="M487" i="5"/>
  <c r="M488" i="5" l="1"/>
  <c r="L488" i="5"/>
  <c r="L489" i="5" l="1"/>
  <c r="M489" i="5"/>
  <c r="L490" i="5" l="1"/>
  <c r="M490" i="5"/>
  <c r="L491" i="5" l="1"/>
  <c r="M491" i="5"/>
  <c r="M492" i="5" l="1"/>
  <c r="L492" i="5"/>
  <c r="L493" i="5" l="1"/>
  <c r="M493" i="5"/>
  <c r="L494" i="5" l="1"/>
  <c r="M494" i="5"/>
  <c r="L495" i="5" l="1"/>
  <c r="M495" i="5"/>
  <c r="L496" i="5" l="1"/>
  <c r="M496" i="5"/>
  <c r="L497" i="5" l="1"/>
  <c r="M497" i="5"/>
  <c r="L498" i="5" l="1"/>
  <c r="M498" i="5"/>
  <c r="M499" i="5" l="1"/>
  <c r="L499" i="5"/>
  <c r="L500" i="5" l="1"/>
  <c r="M500" i="5"/>
  <c r="L501" i="5" l="1"/>
  <c r="M501" i="5"/>
  <c r="L502" i="5" l="1"/>
  <c r="M502" i="5"/>
  <c r="L503" i="5" l="1"/>
  <c r="M503" i="5"/>
  <c r="L504" i="5" l="1"/>
  <c r="M504" i="5"/>
  <c r="L505" i="5" l="1"/>
  <c r="M505" i="5"/>
  <c r="L506" i="5" l="1"/>
  <c r="M506" i="5"/>
  <c r="L507" i="5" l="1"/>
  <c r="M507" i="5"/>
  <c r="M508" i="5" l="1"/>
  <c r="L508" i="5"/>
  <c r="M509" i="5" l="1"/>
  <c r="L509" i="5"/>
  <c r="M510" i="5" l="1"/>
  <c r="L510" i="5"/>
  <c r="L511" i="5" l="1"/>
  <c r="M511" i="5"/>
  <c r="L512" i="5" l="1"/>
  <c r="M512" i="5"/>
  <c r="L513" i="5" l="1"/>
  <c r="M513" i="5"/>
  <c r="L514" i="5" l="1"/>
  <c r="M514" i="5"/>
  <c r="M515" i="5" l="1"/>
  <c r="L515" i="5"/>
  <c r="M516" i="5" l="1"/>
  <c r="L516" i="5"/>
  <c r="L517" i="5" l="1"/>
  <c r="M517" i="5"/>
  <c r="L518" i="5" l="1"/>
  <c r="M518" i="5"/>
  <c r="L519" i="5" l="1"/>
  <c r="M519" i="5"/>
  <c r="M520" i="5" l="1"/>
  <c r="L520" i="5"/>
  <c r="L521" i="5" l="1"/>
  <c r="M521" i="5"/>
  <c r="L522" i="5" l="1"/>
  <c r="M522" i="5"/>
  <c r="L523" i="5" l="1"/>
  <c r="M523" i="5"/>
  <c r="L524" i="5" l="1"/>
  <c r="M524" i="5"/>
  <c r="L525" i="5" l="1"/>
  <c r="M525" i="5"/>
  <c r="L526" i="5" l="1"/>
  <c r="M526" i="5"/>
  <c r="L527" i="5" l="1"/>
  <c r="M527" i="5"/>
  <c r="L528" i="5" l="1"/>
  <c r="M528" i="5"/>
  <c r="L529" i="5" l="1"/>
  <c r="M529" i="5"/>
  <c r="L530" i="5" l="1"/>
  <c r="M530" i="5"/>
  <c r="L531" i="5" l="1"/>
  <c r="M531" i="5"/>
  <c r="M532" i="5" l="1"/>
  <c r="L532" i="5"/>
  <c r="L533" i="5" l="1"/>
  <c r="M533" i="5"/>
  <c r="L534" i="5" l="1"/>
  <c r="M534" i="5"/>
  <c r="L535" i="5" l="1"/>
  <c r="M535" i="5"/>
  <c r="L536" i="5" l="1"/>
  <c r="M536" i="5"/>
  <c r="L537" i="5" l="1"/>
  <c r="M537" i="5"/>
  <c r="L538" i="5" l="1"/>
  <c r="M538" i="5"/>
  <c r="L539" i="5" l="1"/>
  <c r="M539" i="5"/>
  <c r="L540" i="5" l="1"/>
  <c r="M540" i="5"/>
  <c r="L541" i="5" l="1"/>
  <c r="M541" i="5"/>
  <c r="L542" i="5" l="1"/>
  <c r="M542" i="5"/>
  <c r="L543" i="5" l="1"/>
  <c r="M543" i="5"/>
  <c r="L544" i="5" l="1"/>
  <c r="M544" i="5"/>
  <c r="L545" i="5" l="1"/>
  <c r="M545" i="5"/>
  <c r="L546" i="5" l="1"/>
  <c r="M546" i="5"/>
  <c r="M547" i="5" l="1"/>
  <c r="L547" i="5"/>
  <c r="M548" i="5" l="1"/>
  <c r="L548" i="5"/>
  <c r="M549" i="5" l="1"/>
  <c r="L549" i="5"/>
  <c r="M550" i="5" l="1"/>
  <c r="L550" i="5"/>
  <c r="M551" i="5" l="1"/>
  <c r="L551" i="5"/>
  <c r="M552" i="5" l="1"/>
  <c r="L552" i="5"/>
  <c r="M553" i="5" l="1"/>
  <c r="L553" i="5"/>
  <c r="M554" i="5" l="1"/>
  <c r="L554" i="5"/>
  <c r="M555" i="5" l="1"/>
  <c r="L555" i="5"/>
  <c r="M556" i="5" l="1"/>
  <c r="L556" i="5"/>
  <c r="M557" i="5" l="1"/>
  <c r="L557" i="5"/>
  <c r="M558" i="5" l="1"/>
  <c r="L558" i="5"/>
  <c r="M559" i="5" l="1"/>
  <c r="L559" i="5"/>
  <c r="M560" i="5" l="1"/>
  <c r="L560" i="5"/>
  <c r="M561" i="5" l="1"/>
  <c r="L561" i="5"/>
  <c r="M562" i="5" l="1"/>
  <c r="L562" i="5"/>
  <c r="L563" i="5" l="1"/>
  <c r="M563" i="5"/>
  <c r="M564" i="5" l="1"/>
  <c r="L564" i="5"/>
  <c r="M565" i="5" l="1"/>
  <c r="L565" i="5"/>
  <c r="M566" i="5" l="1"/>
  <c r="L566" i="5"/>
  <c r="M567" i="5" l="1"/>
  <c r="L567" i="5"/>
  <c r="M568" i="5" l="1"/>
  <c r="L568" i="5"/>
  <c r="M569" i="5" l="1"/>
  <c r="L569" i="5"/>
  <c r="M570" i="5" l="1"/>
  <c r="L570" i="5"/>
  <c r="L571" i="5" l="1"/>
  <c r="M571" i="5"/>
  <c r="M572" i="5" l="1"/>
  <c r="L572" i="5"/>
  <c r="L573" i="5" l="1"/>
  <c r="M573" i="5"/>
  <c r="L574" i="5" l="1"/>
  <c r="M574" i="5"/>
  <c r="L575" i="5" l="1"/>
  <c r="M575" i="5"/>
  <c r="L576" i="5" l="1"/>
  <c r="M576" i="5"/>
  <c r="L577" i="5" l="1"/>
  <c r="M577" i="5"/>
  <c r="L578" i="5" l="1"/>
  <c r="M578" i="5"/>
  <c r="L579" i="5" l="1"/>
  <c r="M579" i="5"/>
  <c r="M580" i="5" l="1"/>
  <c r="L580" i="5"/>
  <c r="L581" i="5" l="1"/>
  <c r="M581" i="5"/>
  <c r="M582" i="5" l="1"/>
  <c r="L582" i="5"/>
  <c r="M583" i="5" l="1"/>
  <c r="L583" i="5"/>
  <c r="M584" i="5" l="1"/>
  <c r="L584" i="5"/>
  <c r="M585" i="5" l="1"/>
  <c r="L585" i="5"/>
  <c r="M586" i="5" l="1"/>
  <c r="L586" i="5"/>
  <c r="M587" i="5" l="1"/>
  <c r="L587" i="5"/>
  <c r="M588" i="5" l="1"/>
  <c r="L588" i="5"/>
  <c r="M589" i="5" l="1"/>
  <c r="L589" i="5"/>
  <c r="M590" i="5" l="1"/>
  <c r="L590" i="5"/>
  <c r="L591" i="5" l="1"/>
  <c r="M591" i="5"/>
  <c r="M592" i="5" l="1"/>
  <c r="L592" i="5"/>
  <c r="L593" i="5" l="1"/>
  <c r="M593" i="5"/>
  <c r="M594" i="5" l="1"/>
  <c r="L594" i="5"/>
  <c r="M595" i="5" l="1"/>
  <c r="L595" i="5"/>
  <c r="M596" i="5" l="1"/>
  <c r="L596" i="5"/>
  <c r="M597" i="5" l="1"/>
  <c r="L597" i="5"/>
  <c r="M598" i="5" l="1"/>
  <c r="L598" i="5"/>
  <c r="M599" i="5" l="1"/>
  <c r="L599" i="5"/>
  <c r="M600" i="5" l="1"/>
  <c r="L600" i="5"/>
  <c r="M601" i="5" l="1"/>
  <c r="L601" i="5"/>
  <c r="M602" i="5" l="1"/>
  <c r="L602" i="5"/>
  <c r="M603" i="5" l="1"/>
  <c r="L603" i="5"/>
  <c r="L604" i="5" l="1"/>
  <c r="M604" i="5"/>
  <c r="L605" i="5" l="1"/>
  <c r="M605" i="5"/>
  <c r="M606" i="5" l="1"/>
  <c r="L606" i="5"/>
  <c r="M607" i="5" l="1"/>
  <c r="L607" i="5"/>
  <c r="M608" i="5" l="1"/>
  <c r="L608" i="5"/>
  <c r="L609" i="5" l="1"/>
  <c r="M609" i="5"/>
  <c r="M610" i="5" l="1"/>
  <c r="L610" i="5"/>
  <c r="M611" i="5" l="1"/>
  <c r="L611" i="5"/>
  <c r="L612" i="5" l="1"/>
  <c r="M612" i="5"/>
  <c r="M613" i="5" l="1"/>
  <c r="L613" i="5"/>
  <c r="M614" i="5" l="1"/>
  <c r="L614" i="5"/>
  <c r="M615" i="5" l="1"/>
  <c r="L615" i="5"/>
  <c r="M616" i="5" l="1"/>
  <c r="L616" i="5"/>
  <c r="M617" i="5" l="1"/>
  <c r="L617" i="5"/>
  <c r="M618" i="5" l="1"/>
  <c r="L618" i="5"/>
  <c r="M619" i="5" l="1"/>
  <c r="L619" i="5"/>
  <c r="L620" i="5" l="1"/>
  <c r="M620" i="5"/>
  <c r="L621" i="5" l="1"/>
  <c r="M621" i="5"/>
  <c r="M622" i="5" l="1"/>
  <c r="L622" i="5"/>
  <c r="M623" i="5" l="1"/>
  <c r="L623" i="5"/>
  <c r="M624" i="5" l="1"/>
  <c r="L624" i="5"/>
  <c r="M625" i="5" l="1"/>
  <c r="L625" i="5"/>
  <c r="M626" i="5" l="1"/>
  <c r="L626" i="5"/>
  <c r="M627" i="5" l="1"/>
  <c r="L627" i="5"/>
  <c r="L628" i="5" l="1"/>
  <c r="M628" i="5"/>
  <c r="M629" i="5" l="1"/>
  <c r="L629" i="5"/>
  <c r="M630" i="5" l="1"/>
  <c r="L630" i="5"/>
  <c r="M631" i="5" l="1"/>
  <c r="L631" i="5"/>
  <c r="L632" i="5" l="1"/>
  <c r="M632" i="5"/>
  <c r="L633" i="5" l="1"/>
  <c r="M633" i="5"/>
  <c r="M634" i="5" l="1"/>
  <c r="L634" i="5"/>
  <c r="L635" i="5" l="1"/>
  <c r="M635" i="5"/>
  <c r="M636" i="5" l="1"/>
  <c r="L636" i="5"/>
  <c r="L637" i="5" l="1"/>
  <c r="M637" i="5"/>
  <c r="M638" i="5" l="1"/>
  <c r="L638" i="5"/>
  <c r="M639" i="5" l="1"/>
  <c r="L639" i="5"/>
  <c r="M640" i="5" l="1"/>
  <c r="L640" i="5"/>
  <c r="M641" i="5" l="1"/>
  <c r="L641" i="5"/>
  <c r="M642" i="5" l="1"/>
  <c r="L642" i="5"/>
  <c r="L643" i="5" l="1"/>
  <c r="M643" i="5"/>
  <c r="M644" i="5" l="1"/>
  <c r="L644" i="5"/>
  <c r="L645" i="5" l="1"/>
  <c r="M645" i="5"/>
  <c r="M646" i="5" l="1"/>
  <c r="L646" i="5"/>
  <c r="M647" i="5" l="1"/>
  <c r="L647" i="5"/>
  <c r="M648" i="5" l="1"/>
  <c r="L648" i="5"/>
  <c r="M649" i="5" l="1"/>
  <c r="L649" i="5"/>
  <c r="M650" i="5" l="1"/>
  <c r="L650" i="5"/>
  <c r="M651" i="5" l="1"/>
  <c r="L651" i="5"/>
  <c r="L652" i="5" l="1"/>
  <c r="M652" i="5"/>
  <c r="M653" i="5" l="1"/>
  <c r="L653" i="5"/>
  <c r="M654" i="5" l="1"/>
  <c r="L654" i="5"/>
  <c r="M655" i="5" l="1"/>
  <c r="L655" i="5"/>
  <c r="M656" i="5" l="1"/>
  <c r="L656" i="5"/>
  <c r="M657" i="5" l="1"/>
  <c r="L657" i="5"/>
  <c r="M658" i="5" l="1"/>
  <c r="L658" i="5"/>
  <c r="L659" i="5" l="1"/>
  <c r="M659" i="5"/>
  <c r="L660" i="5" l="1"/>
  <c r="M660" i="5"/>
  <c r="L661" i="5" l="1"/>
  <c r="M661" i="5"/>
  <c r="L662" i="5" l="1"/>
  <c r="M662" i="5"/>
  <c r="L663" i="5" l="1"/>
  <c r="M663" i="5"/>
  <c r="L664" i="5" l="1"/>
  <c r="M664" i="5"/>
  <c r="L665" i="5" l="1"/>
  <c r="M665" i="5"/>
  <c r="L666" i="5" l="1"/>
  <c r="M666" i="5"/>
  <c r="M667" i="5" l="1"/>
  <c r="L667" i="5"/>
  <c r="M668" i="5" l="1"/>
  <c r="L668" i="5"/>
  <c r="M669" i="5" l="1"/>
  <c r="L669" i="5"/>
  <c r="M670" i="5" l="1"/>
  <c r="L670" i="5"/>
  <c r="L671" i="5" l="1"/>
  <c r="M671" i="5"/>
  <c r="L672" i="5" l="1"/>
  <c r="M672" i="5"/>
  <c r="L673" i="5" l="1"/>
  <c r="M673" i="5"/>
  <c r="M674" i="5" l="1"/>
  <c r="L674" i="5"/>
  <c r="L675" i="5" l="1"/>
  <c r="M675" i="5"/>
  <c r="M676" i="5" l="1"/>
  <c r="L676" i="5"/>
  <c r="L677" i="5" l="1"/>
  <c r="M677" i="5"/>
  <c r="L678" i="5" l="1"/>
  <c r="M678" i="5"/>
  <c r="L679" i="5" l="1"/>
  <c r="M679" i="5"/>
  <c r="L680" i="5" l="1"/>
  <c r="M680" i="5"/>
  <c r="L681" i="5" l="1"/>
  <c r="M681" i="5"/>
  <c r="L682" i="5" l="1"/>
  <c r="M682" i="5"/>
  <c r="L683" i="5" l="1"/>
  <c r="M683" i="5"/>
  <c r="L684" i="5" l="1"/>
  <c r="M684" i="5"/>
  <c r="L685" i="5" l="1"/>
  <c r="M685" i="5"/>
  <c r="M686" i="5" l="1"/>
  <c r="L686" i="5"/>
  <c r="M687" i="5" l="1"/>
  <c r="L687" i="5"/>
  <c r="L688" i="5" l="1"/>
  <c r="M688" i="5"/>
  <c r="L689" i="5" l="1"/>
  <c r="M689" i="5"/>
  <c r="L690" i="5" l="1"/>
  <c r="M690" i="5"/>
  <c r="L691" i="5" l="1"/>
  <c r="M691" i="5"/>
  <c r="L692" i="5" l="1"/>
  <c r="M692" i="5"/>
  <c r="M693" i="5" l="1"/>
  <c r="L693" i="5"/>
  <c r="M694" i="5" l="1"/>
  <c r="L694" i="5"/>
  <c r="L695" i="5" l="1"/>
  <c r="M695" i="5"/>
  <c r="L696" i="5" l="1"/>
  <c r="M696" i="5"/>
  <c r="L697" i="5" l="1"/>
  <c r="M697" i="5"/>
  <c r="L698" i="5" l="1"/>
  <c r="M698" i="5"/>
  <c r="L699" i="5" l="1"/>
  <c r="M699" i="5"/>
  <c r="L700" i="5" l="1"/>
  <c r="M700" i="5"/>
  <c r="L701" i="5" l="1"/>
  <c r="M701" i="5"/>
  <c r="L702" i="5" l="1"/>
  <c r="M702" i="5"/>
  <c r="L703" i="5" l="1"/>
  <c r="M703" i="5"/>
  <c r="M704" i="5" l="1"/>
  <c r="L704" i="5"/>
  <c r="L705" i="5" l="1"/>
  <c r="M705" i="5"/>
  <c r="L706" i="5" l="1"/>
  <c r="M706" i="5"/>
  <c r="M707" i="5" l="1"/>
  <c r="L707" i="5"/>
  <c r="L708" i="5" l="1"/>
  <c r="M708" i="5"/>
  <c r="M709" i="5" l="1"/>
  <c r="L709" i="5"/>
  <c r="L710" i="5" l="1"/>
  <c r="M710" i="5"/>
  <c r="L711" i="5" l="1"/>
  <c r="M711" i="5"/>
  <c r="M712" i="5" l="1"/>
  <c r="L712" i="5"/>
  <c r="L713" i="5" l="1"/>
  <c r="M713" i="5"/>
  <c r="L714" i="5" l="1"/>
  <c r="M714" i="5"/>
  <c r="M715" i="5" l="1"/>
  <c r="L715" i="5"/>
  <c r="M716" i="5" l="1"/>
  <c r="L716" i="5"/>
  <c r="L717" i="5" l="1"/>
  <c r="M717" i="5"/>
  <c r="M718" i="5" l="1"/>
  <c r="L718" i="5"/>
  <c r="L719" i="5" l="1"/>
  <c r="M719" i="5"/>
  <c r="M720" i="5" l="1"/>
  <c r="L720" i="5"/>
  <c r="L721" i="5" l="1"/>
  <c r="M721" i="5"/>
  <c r="L722" i="5" l="1"/>
  <c r="M722" i="5"/>
  <c r="L723" i="5" l="1"/>
  <c r="M723" i="5"/>
  <c r="L724" i="5" l="1"/>
  <c r="M724" i="5"/>
  <c r="L725" i="5" l="1"/>
  <c r="M725" i="5"/>
  <c r="L726" i="5" l="1"/>
  <c r="M726" i="5"/>
  <c r="M727" i="5" l="1"/>
  <c r="L727" i="5"/>
  <c r="M728" i="5" l="1"/>
  <c r="L728" i="5"/>
  <c r="L729" i="5" l="1"/>
  <c r="M729" i="5"/>
  <c r="L730" i="5" l="1"/>
  <c r="M730" i="5"/>
  <c r="L731" i="5" l="1"/>
  <c r="M731" i="5"/>
  <c r="L732" i="5" l="1"/>
  <c r="M732" i="5"/>
  <c r="L733" i="5" l="1"/>
  <c r="M733" i="5"/>
  <c r="M734" i="5" l="1"/>
  <c r="L734" i="5"/>
  <c r="L735" i="5" l="1"/>
  <c r="M735" i="5"/>
  <c r="L736" i="5" l="1"/>
  <c r="M736" i="5"/>
  <c r="L737" i="5" l="1"/>
  <c r="M737" i="5"/>
  <c r="L738" i="5" l="1"/>
  <c r="M738" i="5"/>
  <c r="L739" i="5" l="1"/>
  <c r="M739" i="5"/>
  <c r="L740" i="5" l="1"/>
  <c r="M740" i="5"/>
  <c r="L741" i="5" l="1"/>
  <c r="M741" i="5"/>
  <c r="L742" i="5" l="1"/>
  <c r="M742" i="5"/>
  <c r="L743" i="5" l="1"/>
  <c r="M743" i="5"/>
  <c r="M744" i="5" l="1"/>
  <c r="L744" i="5"/>
  <c r="L745" i="5" l="1"/>
  <c r="M745" i="5"/>
  <c r="L746" i="5" l="1"/>
  <c r="M746" i="5"/>
  <c r="M747" i="5" l="1"/>
  <c r="L747" i="5"/>
  <c r="L748" i="5" l="1"/>
  <c r="M748" i="5"/>
  <c r="L749" i="5" l="1"/>
  <c r="M749" i="5"/>
  <c r="L750" i="5" l="1"/>
  <c r="M750" i="5"/>
  <c r="L751" i="5" l="1"/>
  <c r="M751" i="5"/>
  <c r="M752" i="5" l="1"/>
  <c r="L752" i="5"/>
  <c r="M753" i="5" l="1"/>
  <c r="L753" i="5"/>
  <c r="L754" i="5" l="1"/>
  <c r="M754" i="5"/>
  <c r="L755" i="5" l="1"/>
  <c r="M755" i="5"/>
  <c r="L756" i="5" l="1"/>
  <c r="M756" i="5"/>
  <c r="L757" i="5" l="1"/>
  <c r="M757" i="5"/>
  <c r="M758" i="5" l="1"/>
  <c r="L758" i="5"/>
  <c r="L759" i="5" l="1"/>
  <c r="M759" i="5"/>
  <c r="M760" i="5" l="1"/>
  <c r="L760" i="5"/>
  <c r="L761" i="5" l="1"/>
  <c r="M761" i="5"/>
  <c r="L762" i="5" l="1"/>
  <c r="M762" i="5"/>
  <c r="L763" i="5" l="1"/>
  <c r="M763" i="5"/>
  <c r="L764" i="5" l="1"/>
  <c r="M764" i="5"/>
  <c r="L765" i="5" l="1"/>
  <c r="M765" i="5"/>
  <c r="L766" i="5" l="1"/>
  <c r="M766" i="5"/>
  <c r="L767" i="5" l="1"/>
  <c r="M767" i="5"/>
  <c r="L768" i="5" l="1"/>
  <c r="M768" i="5"/>
  <c r="L769" i="5" l="1"/>
  <c r="M769" i="5"/>
  <c r="L770" i="5" l="1"/>
  <c r="M770" i="5"/>
  <c r="L771" i="5" l="1"/>
  <c r="M771" i="5"/>
  <c r="L772" i="5" l="1"/>
  <c r="M772" i="5"/>
  <c r="L773" i="5" l="1"/>
  <c r="M773" i="5"/>
  <c r="L774" i="5" l="1"/>
  <c r="M774" i="5"/>
  <c r="L775" i="5" l="1"/>
  <c r="M775" i="5"/>
  <c r="L776" i="5" l="1"/>
  <c r="M776" i="5"/>
  <c r="L777" i="5" l="1"/>
  <c r="M777" i="5"/>
  <c r="L778" i="5" l="1"/>
  <c r="M778" i="5"/>
  <c r="L779" i="5" l="1"/>
  <c r="M779" i="5"/>
  <c r="M780" i="5" l="1"/>
  <c r="L780" i="5"/>
  <c r="L781" i="5" l="1"/>
  <c r="M781" i="5"/>
  <c r="L782" i="5" l="1"/>
  <c r="M782" i="5"/>
  <c r="L783" i="5" l="1"/>
  <c r="M783" i="5"/>
  <c r="L784" i="5" l="1"/>
  <c r="M784" i="5"/>
  <c r="M785" i="5" l="1"/>
  <c r="L785" i="5"/>
  <c r="L786" i="5" l="1"/>
  <c r="M786" i="5"/>
  <c r="M787" i="5" l="1"/>
  <c r="L787" i="5"/>
  <c r="M788" i="5" l="1"/>
  <c r="L788" i="5"/>
  <c r="L789" i="5" l="1"/>
  <c r="M789" i="5"/>
  <c r="L790" i="5" l="1"/>
  <c r="M790" i="5"/>
  <c r="L791" i="5" l="1"/>
  <c r="M791" i="5"/>
  <c r="M792" i="5" l="1"/>
  <c r="L792" i="5"/>
  <c r="L793" i="5" l="1"/>
  <c r="M793" i="5"/>
  <c r="M794" i="5" l="1"/>
  <c r="L794" i="5"/>
  <c r="L795" i="5" l="1"/>
  <c r="M795" i="5"/>
  <c r="L796" i="5" l="1"/>
  <c r="M796" i="5"/>
  <c r="M797" i="5" l="1"/>
  <c r="L797" i="5"/>
  <c r="L798" i="5" l="1"/>
  <c r="M798" i="5"/>
  <c r="L799" i="5" l="1"/>
  <c r="M799" i="5"/>
  <c r="L800" i="5" l="1"/>
  <c r="M800" i="5"/>
  <c r="L801" i="5" l="1"/>
  <c r="M801" i="5"/>
  <c r="L802" i="5" l="1"/>
  <c r="M802" i="5"/>
  <c r="L803" i="5" l="1"/>
  <c r="M803" i="5"/>
  <c r="L804" i="5" l="1"/>
  <c r="M804" i="5"/>
  <c r="L805" i="5" l="1"/>
  <c r="M805" i="5"/>
  <c r="L806" i="5" l="1"/>
  <c r="M806" i="5"/>
  <c r="L807" i="5" l="1"/>
  <c r="M807" i="5"/>
  <c r="L808" i="5" l="1"/>
  <c r="M808" i="5"/>
  <c r="L809" i="5" l="1"/>
  <c r="M809" i="5"/>
  <c r="L810" i="5" l="1"/>
  <c r="M810" i="5"/>
  <c r="L811" i="5" l="1"/>
  <c r="M811" i="5"/>
  <c r="L812" i="5" l="1"/>
  <c r="M812" i="5"/>
  <c r="L813" i="5" l="1"/>
  <c r="M813" i="5"/>
  <c r="L814" i="5" l="1"/>
  <c r="M814" i="5"/>
  <c r="L815" i="5" l="1"/>
  <c r="M815" i="5"/>
  <c r="L816" i="5" l="1"/>
  <c r="M816" i="5"/>
  <c r="L817" i="5" l="1"/>
  <c r="M817" i="5"/>
  <c r="M818" i="5" l="1"/>
  <c r="L818" i="5"/>
  <c r="L819" i="5" l="1"/>
  <c r="M819" i="5"/>
  <c r="L820" i="5" l="1"/>
  <c r="M820" i="5"/>
  <c r="L821" i="5" l="1"/>
  <c r="M821" i="5"/>
  <c r="L822" i="5" l="1"/>
  <c r="M822" i="5"/>
  <c r="L823" i="5" l="1"/>
  <c r="M823" i="5"/>
  <c r="L824" i="5" l="1"/>
  <c r="M824" i="5"/>
  <c r="M825" i="5" l="1"/>
  <c r="L825" i="5"/>
  <c r="L826" i="5" l="1"/>
  <c r="M826" i="5"/>
  <c r="L827" i="5" l="1"/>
  <c r="M827" i="5"/>
  <c r="L828" i="5" l="1"/>
  <c r="M828" i="5"/>
  <c r="L829" i="5" l="1"/>
  <c r="M829" i="5"/>
  <c r="L830" i="5" l="1"/>
  <c r="M830" i="5"/>
  <c r="L831" i="5" l="1"/>
  <c r="M831" i="5"/>
  <c r="L832" i="5" l="1"/>
  <c r="M832" i="5"/>
  <c r="L833" i="5" l="1"/>
  <c r="M833" i="5"/>
  <c r="L834" i="5" l="1"/>
  <c r="M834" i="5"/>
  <c r="L835" i="5" l="1"/>
  <c r="M835" i="5"/>
  <c r="L836" i="5" l="1"/>
  <c r="M836" i="5"/>
  <c r="L837" i="5" l="1"/>
  <c r="M837" i="5"/>
  <c r="L838" i="5" l="1"/>
  <c r="M838" i="5"/>
  <c r="L839" i="5" l="1"/>
  <c r="M839" i="5"/>
  <c r="L840" i="5" l="1"/>
  <c r="M840" i="5"/>
  <c r="L841" i="5" l="1"/>
  <c r="M841" i="5"/>
  <c r="M842" i="5" l="1"/>
  <c r="L842" i="5"/>
  <c r="L843" i="5" l="1"/>
  <c r="M843" i="5"/>
  <c r="L844" i="5" l="1"/>
  <c r="M844" i="5"/>
  <c r="L845" i="5" l="1"/>
  <c r="M845" i="5"/>
  <c r="L846" i="5" l="1"/>
  <c r="M846" i="5"/>
  <c r="L847" i="5" l="1"/>
  <c r="M847" i="5"/>
  <c r="L848" i="5" l="1"/>
  <c r="M848" i="5"/>
  <c r="L849" i="5" l="1"/>
  <c r="M849" i="5"/>
  <c r="M850" i="5" l="1"/>
  <c r="L850" i="5"/>
  <c r="M851" i="5" l="1"/>
  <c r="L851" i="5"/>
  <c r="M852" i="5" l="1"/>
  <c r="L852" i="5"/>
  <c r="M853" i="5" l="1"/>
  <c r="L853" i="5"/>
  <c r="M854" i="5" l="1"/>
  <c r="L854" i="5"/>
  <c r="M855" i="5" l="1"/>
  <c r="L855" i="5"/>
  <c r="M856" i="5" l="1"/>
  <c r="L856" i="5"/>
  <c r="L857" i="5" l="1"/>
  <c r="M857" i="5"/>
  <c r="M858" i="5" l="1"/>
  <c r="L858" i="5"/>
  <c r="M859" i="5" l="1"/>
  <c r="L859" i="5"/>
  <c r="M860" i="5" l="1"/>
  <c r="L860" i="5"/>
  <c r="M861" i="5" l="1"/>
  <c r="L861" i="5"/>
  <c r="M862" i="5" l="1"/>
  <c r="L862" i="5"/>
  <c r="M863" i="5" l="1"/>
  <c r="L863" i="5"/>
  <c r="M864" i="5" l="1"/>
  <c r="L864" i="5"/>
  <c r="L865" i="5" l="1"/>
  <c r="M865" i="5"/>
  <c r="L866" i="5" l="1"/>
  <c r="M866" i="5"/>
  <c r="L867" i="5" l="1"/>
  <c r="M867" i="5"/>
  <c r="L868" i="5" l="1"/>
  <c r="M868" i="5"/>
  <c r="M869" i="5" l="1"/>
  <c r="L869" i="5"/>
  <c r="L870" i="5" l="1"/>
  <c r="M870" i="5"/>
  <c r="L871" i="5" l="1"/>
  <c r="M871" i="5"/>
  <c r="L872" i="5" l="1"/>
  <c r="M872" i="5"/>
  <c r="L873" i="5" l="1"/>
  <c r="M873" i="5"/>
  <c r="L874" i="5" l="1"/>
  <c r="M874" i="5"/>
  <c r="L875" i="5" l="1"/>
  <c r="M875" i="5"/>
  <c r="L876" i="5" l="1"/>
  <c r="M876" i="5"/>
  <c r="L877" i="5" l="1"/>
  <c r="M877" i="5"/>
  <c r="L878" i="5" l="1"/>
  <c r="M878" i="5"/>
  <c r="L879" i="5" l="1"/>
  <c r="M879" i="5"/>
  <c r="L880" i="5" l="1"/>
  <c r="M880" i="5"/>
  <c r="L881" i="5" l="1"/>
  <c r="M881" i="5"/>
  <c r="L882" i="5" l="1"/>
  <c r="M882" i="5"/>
  <c r="L883" i="5" l="1"/>
  <c r="M883" i="5"/>
  <c r="L884" i="5" l="1"/>
  <c r="M884" i="5"/>
  <c r="M885" i="5" l="1"/>
  <c r="L885" i="5"/>
  <c r="M886" i="5" l="1"/>
  <c r="L886" i="5"/>
  <c r="L887" i="5" l="1"/>
  <c r="M887" i="5"/>
  <c r="L888" i="5" l="1"/>
  <c r="M888" i="5"/>
  <c r="L889" i="5" l="1"/>
  <c r="M889" i="5"/>
  <c r="M890" i="5" l="1"/>
  <c r="L890" i="5"/>
  <c r="M891" i="5" l="1"/>
  <c r="L891" i="5"/>
  <c r="M892" i="5" l="1"/>
  <c r="L892" i="5"/>
  <c r="L893" i="5" l="1"/>
  <c r="M893" i="5"/>
  <c r="M894" i="5" l="1"/>
  <c r="L894" i="5"/>
  <c r="L895" i="5" l="1"/>
  <c r="M895" i="5"/>
  <c r="M896" i="5" l="1"/>
  <c r="L896" i="5"/>
  <c r="L897" i="5" l="1"/>
  <c r="M897" i="5"/>
  <c r="L898" i="5" l="1"/>
  <c r="M898" i="5"/>
  <c r="L899" i="5" l="1"/>
  <c r="M899" i="5"/>
  <c r="L900" i="5" l="1"/>
  <c r="M900" i="5"/>
  <c r="M901" i="5" l="1"/>
  <c r="L901" i="5"/>
  <c r="M902" i="5" l="1"/>
  <c r="L902" i="5"/>
  <c r="L903" i="5" l="1"/>
  <c r="M903" i="5"/>
  <c r="L904" i="5" l="1"/>
  <c r="M904" i="5"/>
  <c r="L905" i="5" l="1"/>
  <c r="M905" i="5"/>
  <c r="L906" i="5" l="1"/>
  <c r="M906" i="5"/>
  <c r="L907" i="5" l="1"/>
  <c r="M907" i="5"/>
  <c r="M908" i="5" l="1"/>
  <c r="L908" i="5"/>
  <c r="L909" i="5" l="1"/>
  <c r="M909" i="5"/>
  <c r="L910" i="5" l="1"/>
  <c r="M910" i="5"/>
  <c r="L911" i="5" l="1"/>
  <c r="M911" i="5"/>
  <c r="M912" i="5" l="1"/>
  <c r="L912" i="5"/>
  <c r="M913" i="5" l="1"/>
  <c r="L913" i="5"/>
  <c r="L914" i="5" l="1"/>
  <c r="M914" i="5"/>
  <c r="L915" i="5" l="1"/>
  <c r="M915" i="5"/>
  <c r="M916" i="5" l="1"/>
  <c r="L916" i="5"/>
  <c r="M917" i="5" l="1"/>
  <c r="L917" i="5"/>
  <c r="L918" i="5" l="1"/>
  <c r="M918" i="5"/>
  <c r="L919" i="5" l="1"/>
  <c r="M919" i="5"/>
  <c r="L920" i="5" l="1"/>
  <c r="M920" i="5"/>
  <c r="L921" i="5" l="1"/>
  <c r="M921" i="5"/>
  <c r="L922" i="5" l="1"/>
  <c r="M922" i="5"/>
  <c r="L923" i="5" l="1"/>
  <c r="M923" i="5"/>
  <c r="L924" i="5" l="1"/>
  <c r="M924" i="5"/>
  <c r="L925" i="5" l="1"/>
  <c r="M925" i="5"/>
  <c r="M926" i="5" l="1"/>
  <c r="L926" i="5"/>
  <c r="L927" i="5" l="1"/>
  <c r="M927" i="5"/>
  <c r="L928" i="5" l="1"/>
  <c r="M928" i="5"/>
  <c r="M929" i="5" l="1"/>
  <c r="L929" i="5"/>
  <c r="L930" i="5" l="1"/>
  <c r="M930" i="5"/>
  <c r="M931" i="5" l="1"/>
  <c r="L931" i="5"/>
  <c r="M932" i="5" l="1"/>
  <c r="L932" i="5"/>
  <c r="L933" i="5" l="1"/>
  <c r="M933" i="5"/>
  <c r="M934" i="5" l="1"/>
  <c r="L934" i="5"/>
  <c r="M935" i="5" l="1"/>
  <c r="L935" i="5"/>
  <c r="M936" i="5" l="1"/>
  <c r="L936" i="5"/>
  <c r="L937" i="5" l="1"/>
  <c r="M937" i="5"/>
  <c r="L938" i="5" l="1"/>
  <c r="M938" i="5"/>
  <c r="L939" i="5" l="1"/>
  <c r="M939" i="5"/>
  <c r="M940" i="5" l="1"/>
  <c r="L940" i="5"/>
  <c r="M941" i="5" l="1"/>
  <c r="L941" i="5"/>
  <c r="L942" i="5" l="1"/>
  <c r="M942" i="5"/>
  <c r="L943" i="5" l="1"/>
  <c r="M943" i="5"/>
  <c r="L944" i="5" l="1"/>
  <c r="M944" i="5"/>
  <c r="L945" i="5" l="1"/>
  <c r="M945" i="5"/>
  <c r="L946" i="5" l="1"/>
  <c r="M946" i="5"/>
  <c r="L947" i="5" l="1"/>
  <c r="M947" i="5"/>
  <c r="L948" i="5" l="1"/>
  <c r="M948" i="5"/>
  <c r="L949" i="5" l="1"/>
  <c r="M949" i="5"/>
  <c r="L950" i="5" l="1"/>
  <c r="M950" i="5"/>
  <c r="M951" i="5" l="1"/>
  <c r="L951" i="5"/>
  <c r="M952" i="5" l="1"/>
  <c r="L952" i="5"/>
  <c r="L953" i="5" l="1"/>
  <c r="M953" i="5"/>
  <c r="L954" i="5" l="1"/>
  <c r="M954" i="5"/>
  <c r="L955" i="5" l="1"/>
  <c r="M955" i="5"/>
  <c r="L956" i="5" l="1"/>
  <c r="M956" i="5"/>
  <c r="L957" i="5" l="1"/>
  <c r="M957" i="5"/>
  <c r="M958" i="5" l="1"/>
  <c r="L958" i="5"/>
  <c r="L959" i="5" l="1"/>
  <c r="M959" i="5"/>
  <c r="L960" i="5" l="1"/>
  <c r="M960" i="5"/>
  <c r="M961" i="5" l="1"/>
  <c r="L961" i="5"/>
  <c r="L962" i="5" l="1"/>
  <c r="M962" i="5"/>
  <c r="L963" i="5" l="1"/>
  <c r="M963" i="5"/>
  <c r="L964" i="5" l="1"/>
  <c r="M964" i="5"/>
  <c r="L965" i="5" l="1"/>
  <c r="M965" i="5"/>
  <c r="L966" i="5" l="1"/>
  <c r="M966" i="5"/>
  <c r="L967" i="5" l="1"/>
  <c r="M967" i="5"/>
  <c r="L968" i="5" l="1"/>
  <c r="M968" i="5"/>
  <c r="L969" i="5" l="1"/>
  <c r="M969" i="5"/>
  <c r="L970" i="5" l="1"/>
  <c r="M970" i="5"/>
  <c r="L971" i="5" l="1"/>
  <c r="M971" i="5"/>
  <c r="L972" i="5" l="1"/>
  <c r="M972" i="5"/>
  <c r="L973" i="5" l="1"/>
  <c r="M973" i="5"/>
  <c r="M974" i="5" l="1"/>
  <c r="L974" i="5"/>
  <c r="L975" i="5" l="1"/>
  <c r="M975" i="5"/>
  <c r="L976" i="5" l="1"/>
  <c r="M976" i="5"/>
  <c r="L977" i="5" l="1"/>
  <c r="M977" i="5"/>
  <c r="L978" i="5" l="1"/>
  <c r="M978" i="5"/>
  <c r="L979" i="5" l="1"/>
  <c r="M979" i="5"/>
  <c r="L980" i="5" l="1"/>
  <c r="M980" i="5"/>
  <c r="L981" i="5" l="1"/>
  <c r="M981" i="5"/>
  <c r="M982" i="5" l="1"/>
  <c r="L982" i="5"/>
  <c r="L983" i="5" l="1"/>
  <c r="M983" i="5"/>
  <c r="L984" i="5" l="1"/>
  <c r="M984" i="5"/>
  <c r="L985" i="5" l="1"/>
  <c r="M985" i="5"/>
  <c r="L986" i="5" l="1"/>
  <c r="M986" i="5"/>
  <c r="L987" i="5" l="1"/>
  <c r="M987" i="5"/>
  <c r="L988" i="5" l="1"/>
  <c r="M988" i="5"/>
  <c r="L989" i="5" l="1"/>
  <c r="M989" i="5"/>
  <c r="L990" i="5" l="1"/>
  <c r="M990" i="5"/>
  <c r="L991" i="5" l="1"/>
  <c r="M991" i="5"/>
  <c r="L992" i="5" l="1"/>
  <c r="M992" i="5"/>
  <c r="L993" i="5" l="1"/>
  <c r="M993" i="5"/>
  <c r="L994" i="5" l="1"/>
  <c r="M994" i="5"/>
  <c r="L995" i="5" l="1"/>
  <c r="M995" i="5"/>
  <c r="M996" i="5" l="1"/>
  <c r="L996" i="5"/>
  <c r="M997" i="5" l="1"/>
  <c r="L997" i="5"/>
  <c r="L998" i="5" l="1"/>
  <c r="M998" i="5"/>
  <c r="L999" i="5" l="1"/>
  <c r="M999" i="5"/>
  <c r="L1000" i="5" l="1"/>
  <c r="M1000" i="5"/>
  <c r="L1001" i="5" l="1"/>
  <c r="M1001" i="5"/>
  <c r="L1002" i="5" l="1"/>
  <c r="M1002" i="5"/>
  <c r="L1003" i="5" l="1"/>
  <c r="M1003" i="5"/>
  <c r="L1004" i="5" l="1"/>
  <c r="M1004" i="5"/>
  <c r="L1005" i="5" l="1"/>
  <c r="M1005" i="5"/>
  <c r="L1006" i="5" l="1"/>
  <c r="M1006" i="5"/>
  <c r="L1007" i="5" l="1"/>
  <c r="M1007" i="5"/>
  <c r="L1008" i="5" l="1"/>
  <c r="M1008" i="5"/>
  <c r="L1009" i="5" l="1"/>
  <c r="M1009" i="5"/>
  <c r="L1010" i="5" l="1"/>
  <c r="M1010" i="5"/>
  <c r="L1011" i="5" l="1"/>
  <c r="M1011" i="5"/>
  <c r="L1012" i="5" l="1"/>
  <c r="M1012" i="5"/>
  <c r="L1013" i="5" l="1"/>
  <c r="M1013" i="5"/>
  <c r="L1014" i="5" l="1"/>
  <c r="M1014" i="5"/>
  <c r="L1015" i="5" l="1"/>
  <c r="M1015" i="5"/>
  <c r="L1016" i="5" l="1"/>
  <c r="M1016" i="5"/>
  <c r="L1017" i="5" l="1"/>
  <c r="M1017" i="5"/>
  <c r="L1018" i="5" l="1"/>
  <c r="M1018" i="5"/>
  <c r="L1019" i="5" l="1"/>
  <c r="M1019" i="5"/>
  <c r="M1020" i="5" l="1"/>
  <c r="L1020" i="5"/>
  <c r="L1021" i="5" l="1"/>
  <c r="M1021" i="5"/>
  <c r="L1022" i="5" l="1"/>
  <c r="M1022" i="5"/>
  <c r="L1023" i="5" l="1"/>
  <c r="M1023" i="5"/>
  <c r="L1024" i="5" l="1"/>
  <c r="M1024" i="5"/>
  <c r="L1025" i="5" l="1"/>
  <c r="M1025" i="5"/>
  <c r="L1026" i="5" l="1"/>
  <c r="M1026" i="5"/>
  <c r="L1027" i="5" l="1"/>
  <c r="M1027" i="5"/>
  <c r="L1028" i="5" l="1"/>
  <c r="M1028" i="5"/>
  <c r="L1029" i="5" l="1"/>
  <c r="M1029" i="5"/>
  <c r="L1030" i="5" l="1"/>
  <c r="M1030" i="5"/>
  <c r="L1031" i="5" l="1"/>
  <c r="M1031" i="5"/>
  <c r="L1032" i="5" l="1"/>
  <c r="M1032" i="5"/>
  <c r="L1033" i="5" l="1"/>
  <c r="M1033" i="5"/>
  <c r="L1034" i="5" l="1"/>
  <c r="M1034" i="5"/>
  <c r="L1035" i="5" l="1"/>
  <c r="M1035" i="5"/>
  <c r="L1036" i="5" l="1"/>
  <c r="M1036" i="5"/>
  <c r="L1037" i="5" l="1"/>
  <c r="M1037" i="5"/>
  <c r="L1038" i="5" l="1"/>
  <c r="M1038" i="5"/>
  <c r="L1039" i="5" l="1"/>
  <c r="M1039" i="5"/>
  <c r="L1040" i="5" l="1"/>
  <c r="M1040" i="5"/>
  <c r="L1041" i="5" l="1"/>
  <c r="M1041" i="5"/>
  <c r="L1042" i="5" l="1"/>
  <c r="M1042" i="5"/>
  <c r="L1043" i="5" l="1"/>
  <c r="M1043" i="5"/>
  <c r="L1044" i="5" l="1"/>
  <c r="M1044" i="5"/>
  <c r="M1045" i="5" l="1"/>
  <c r="L1045" i="5"/>
  <c r="M1046" i="5" l="1"/>
  <c r="L1046" i="5"/>
  <c r="L1047" i="5" l="1"/>
  <c r="M1047" i="5"/>
  <c r="L1048" i="5" l="1"/>
  <c r="M1048" i="5"/>
  <c r="M1049" i="5" l="1"/>
  <c r="L1049" i="5"/>
  <c r="M1050" i="5" l="1"/>
  <c r="L1050" i="5"/>
  <c r="L1051" i="5" l="1"/>
  <c r="M1051" i="5"/>
  <c r="M1052" i="5" l="1"/>
  <c r="L1052" i="5"/>
  <c r="M1053" i="5" l="1"/>
  <c r="L1053" i="5"/>
  <c r="L1054" i="5" l="1"/>
  <c r="M1054" i="5"/>
  <c r="L1055" i="5" l="1"/>
  <c r="M1055" i="5"/>
  <c r="L1056" i="5" l="1"/>
  <c r="M1056" i="5"/>
  <c r="M1057" i="5" l="1"/>
  <c r="L1057" i="5"/>
  <c r="L1058" i="5" l="1"/>
  <c r="M1058" i="5"/>
  <c r="L1059" i="5" l="1"/>
  <c r="M1059" i="5"/>
  <c r="L1060" i="5" l="1"/>
  <c r="M1060" i="5"/>
  <c r="L1061" i="5" l="1"/>
  <c r="M1061" i="5"/>
  <c r="L1062" i="5" l="1"/>
  <c r="M1062" i="5"/>
  <c r="L1063" i="5" l="1"/>
  <c r="M1063" i="5"/>
  <c r="L1064" i="5" l="1"/>
  <c r="M1064" i="5"/>
  <c r="L1065" i="5" l="1"/>
  <c r="M1065" i="5"/>
  <c r="L1066" i="5" l="1"/>
  <c r="M1066" i="5"/>
  <c r="L1067" i="5" l="1"/>
  <c r="M1067" i="5"/>
  <c r="L1068" i="5" l="1"/>
  <c r="M1068" i="5"/>
  <c r="L1069" i="5" l="1"/>
  <c r="M1069" i="5"/>
  <c r="M1070" i="5" l="1"/>
  <c r="L1070" i="5"/>
  <c r="L1071" i="5" l="1"/>
  <c r="M1071" i="5"/>
  <c r="L1072" i="5" l="1"/>
  <c r="M1072" i="5"/>
  <c r="L1073" i="5" l="1"/>
  <c r="M1073" i="5"/>
  <c r="L1074" i="5" l="1"/>
  <c r="M1074" i="5"/>
  <c r="L1075" i="5" l="1"/>
  <c r="M1075" i="5"/>
  <c r="L1076" i="5" l="1"/>
  <c r="M1076" i="5"/>
  <c r="L1077" i="5" l="1"/>
  <c r="M1077" i="5"/>
  <c r="L1078" i="5" l="1"/>
  <c r="M1078" i="5"/>
  <c r="M1079" i="5" l="1"/>
  <c r="L1079" i="5"/>
  <c r="L1080" i="5" l="1"/>
  <c r="M1080" i="5"/>
  <c r="L1081" i="5" l="1"/>
  <c r="M1081" i="5"/>
  <c r="L1082" i="5" l="1"/>
  <c r="M1082" i="5"/>
  <c r="L1083" i="5" l="1"/>
  <c r="M1083" i="5"/>
  <c r="L1084" i="5" l="1"/>
  <c r="M1084" i="5"/>
  <c r="L1085" i="5" l="1"/>
  <c r="M1085" i="5"/>
  <c r="L1086" i="5" l="1"/>
  <c r="M1086" i="5"/>
  <c r="L1087" i="5" l="1"/>
  <c r="M1087" i="5"/>
  <c r="L1088" i="5" l="1"/>
  <c r="M1088" i="5"/>
  <c r="M1089" i="5" l="1"/>
  <c r="L1089" i="5"/>
  <c r="L1090" i="5" l="1"/>
  <c r="M1090" i="5"/>
  <c r="L1091" i="5" l="1"/>
  <c r="M1091" i="5"/>
  <c r="L1092" i="5" l="1"/>
  <c r="M1092" i="5"/>
  <c r="L1093" i="5" l="1"/>
  <c r="M1093" i="5"/>
  <c r="L1094" i="5" l="1"/>
  <c r="M1094" i="5"/>
  <c r="L1095" i="5" l="1"/>
  <c r="M1095" i="5"/>
  <c r="L1096" i="5" l="1"/>
  <c r="M1096" i="5"/>
  <c r="L1097" i="5" l="1"/>
  <c r="M1097" i="5"/>
  <c r="L1098" i="5" l="1"/>
  <c r="M1098" i="5"/>
  <c r="L1099" i="5" l="1"/>
  <c r="M1099" i="5"/>
  <c r="L1100" i="5" l="1"/>
  <c r="M1100" i="5"/>
  <c r="M1101" i="5" l="1"/>
  <c r="L1101" i="5"/>
  <c r="L1102" i="5" l="1"/>
  <c r="M1102" i="5"/>
  <c r="L1103" i="5" l="1"/>
  <c r="M1103" i="5"/>
  <c r="L1104" i="5" l="1"/>
  <c r="M1104" i="5"/>
  <c r="L1105" i="5" l="1"/>
  <c r="M1105" i="5"/>
  <c r="L1106" i="5" l="1"/>
  <c r="M1106" i="5"/>
  <c r="L1107" i="5" l="1"/>
  <c r="M1107" i="5"/>
  <c r="M1108" i="5" l="1"/>
  <c r="L1108" i="5"/>
  <c r="M1109" i="5" l="1"/>
  <c r="L1109" i="5"/>
  <c r="L1110" i="5" l="1"/>
  <c r="M1110" i="5"/>
  <c r="L1111" i="5" l="1"/>
  <c r="M1111" i="5"/>
  <c r="L1112" i="5" l="1"/>
  <c r="M1112" i="5"/>
  <c r="M1113" i="5" l="1"/>
  <c r="L1113" i="5"/>
  <c r="L1114" i="5" l="1"/>
  <c r="M1114" i="5"/>
  <c r="M1115" i="5" l="1"/>
  <c r="L1115" i="5"/>
  <c r="L1116" i="5" l="1"/>
  <c r="M1116" i="5"/>
  <c r="L1117" i="5" l="1"/>
  <c r="M1117" i="5"/>
  <c r="L1118" i="5" l="1"/>
  <c r="M1118" i="5"/>
  <c r="L1119" i="5" l="1"/>
  <c r="M1119" i="5"/>
  <c r="L1120" i="5" l="1"/>
  <c r="M1120" i="5"/>
  <c r="M1121" i="5" l="1"/>
  <c r="L1121" i="5"/>
  <c r="M1122" i="5" l="1"/>
  <c r="L1122" i="5"/>
  <c r="L1123" i="5" l="1"/>
  <c r="M1123" i="5"/>
  <c r="L1124" i="5" l="1"/>
  <c r="M1124" i="5"/>
  <c r="L1125" i="5" l="1"/>
  <c r="M1125" i="5"/>
  <c r="M1126" i="5" l="1"/>
  <c r="L1126" i="5"/>
  <c r="M1127" i="5" l="1"/>
  <c r="L1127" i="5"/>
  <c r="L1128" i="5" l="1"/>
  <c r="M1128" i="5"/>
  <c r="L1129" i="5" l="1"/>
  <c r="M1129" i="5"/>
  <c r="L1130" i="5" l="1"/>
  <c r="M1130" i="5"/>
  <c r="L1131" i="5" l="1"/>
  <c r="M1131" i="5"/>
  <c r="L1132" i="5" l="1"/>
  <c r="M1132" i="5"/>
  <c r="M1133" i="5" l="1"/>
  <c r="L1133" i="5"/>
  <c r="M1134" i="5" l="1"/>
  <c r="L1134" i="5"/>
  <c r="L1135" i="5" l="1"/>
  <c r="M1135" i="5"/>
  <c r="L1136" i="5" l="1"/>
  <c r="M1136" i="5"/>
  <c r="M1137" i="5" l="1"/>
  <c r="L1137" i="5"/>
  <c r="L1138" i="5" l="1"/>
  <c r="M1138" i="5"/>
  <c r="L1139" i="5" l="1"/>
  <c r="M1139" i="5"/>
  <c r="L1140" i="5" l="1"/>
  <c r="M1140" i="5"/>
  <c r="L1141" i="5" l="1"/>
  <c r="M1141" i="5"/>
  <c r="L1142" i="5" l="1"/>
  <c r="M1142" i="5"/>
  <c r="L1143" i="5" l="1"/>
  <c r="M1143" i="5"/>
  <c r="M1144" i="5" l="1"/>
  <c r="L1144" i="5"/>
  <c r="M1145" i="5" l="1"/>
  <c r="L1145" i="5"/>
  <c r="L1146" i="5" l="1"/>
  <c r="M1146" i="5"/>
  <c r="M1147" i="5" l="1"/>
  <c r="L1147" i="5"/>
  <c r="L1148" i="5" l="1"/>
  <c r="M1148" i="5"/>
  <c r="L1149" i="5" l="1"/>
  <c r="M1149" i="5"/>
  <c r="M1150" i="5" l="1"/>
  <c r="L1150" i="5"/>
  <c r="L1151" i="5" l="1"/>
  <c r="M1151" i="5"/>
  <c r="M1152" i="5" l="1"/>
  <c r="L1152" i="5"/>
  <c r="L1153" i="5" l="1"/>
  <c r="M1153" i="5"/>
  <c r="M1154" i="5" l="1"/>
  <c r="L1154" i="5"/>
  <c r="M1155" i="5" l="1"/>
  <c r="L1155" i="5"/>
  <c r="L1156" i="5" l="1"/>
  <c r="M1156" i="5"/>
  <c r="L1157" i="5" l="1"/>
  <c r="M1157" i="5"/>
  <c r="L1158" i="5" l="1"/>
  <c r="M1158" i="5"/>
  <c r="M1159" i="5" l="1"/>
  <c r="L1159" i="5"/>
  <c r="M1160" i="5" l="1"/>
  <c r="L1160" i="5"/>
  <c r="L1161" i="5" l="1"/>
  <c r="M1161" i="5"/>
  <c r="L1162" i="5" l="1"/>
  <c r="M1162" i="5"/>
  <c r="L1163" i="5" l="1"/>
  <c r="M1163" i="5"/>
  <c r="L1164" i="5" l="1"/>
  <c r="M1164" i="5"/>
  <c r="L1165" i="5" l="1"/>
  <c r="M1165" i="5"/>
  <c r="M1166" i="5" l="1"/>
  <c r="L1166" i="5"/>
  <c r="M1167" i="5" l="1"/>
  <c r="L1167" i="5"/>
  <c r="L1168" i="5" l="1"/>
  <c r="M1168" i="5"/>
  <c r="L1169" i="5" l="1"/>
  <c r="M1169" i="5"/>
  <c r="L1170" i="5" l="1"/>
  <c r="M1170" i="5"/>
  <c r="M1171" i="5" l="1"/>
  <c r="L1171" i="5"/>
  <c r="L1172" i="5" l="1"/>
  <c r="M1172" i="5"/>
  <c r="L1173" i="5" l="1"/>
  <c r="M1173" i="5"/>
  <c r="L1174" i="5" l="1"/>
  <c r="M1174" i="5"/>
  <c r="L1175" i="5" l="1"/>
  <c r="M1175" i="5"/>
  <c r="M1176" i="5" l="1"/>
  <c r="L1176" i="5"/>
  <c r="M1177" i="5" l="1"/>
  <c r="L1177" i="5"/>
  <c r="L1178" i="5" l="1"/>
  <c r="M1178" i="5"/>
  <c r="M1179" i="5" l="1"/>
  <c r="L1179" i="5"/>
  <c r="L1180" i="5" l="1"/>
  <c r="M1180" i="5"/>
  <c r="L1181" i="5" l="1"/>
  <c r="M1181" i="5"/>
  <c r="M1182" i="5" l="1"/>
  <c r="L1182" i="5"/>
  <c r="L1183" i="5" l="1"/>
  <c r="M1183" i="5"/>
  <c r="L1184" i="5" l="1"/>
  <c r="M1184" i="5"/>
  <c r="M1185" i="5" l="1"/>
  <c r="L1185" i="5"/>
  <c r="L1186" i="5" l="1"/>
  <c r="M1186" i="5"/>
  <c r="M1187" i="5" l="1"/>
  <c r="L1187" i="5"/>
  <c r="L1188" i="5" l="1"/>
  <c r="M1188" i="5"/>
  <c r="L1189" i="5" l="1"/>
  <c r="M1189" i="5"/>
  <c r="L1190" i="5" l="1"/>
  <c r="M1190" i="5"/>
  <c r="L1191" i="5" l="1"/>
  <c r="M1191" i="5"/>
  <c r="L1192" i="5" l="1"/>
  <c r="M1192" i="5"/>
  <c r="L1193" i="5" l="1"/>
  <c r="M1193" i="5"/>
  <c r="L1194" i="5" l="1"/>
  <c r="M1194" i="5"/>
  <c r="L1195" i="5" l="1"/>
  <c r="M1195" i="5"/>
  <c r="L1196" i="5" l="1"/>
  <c r="M1196" i="5"/>
  <c r="L1197" i="5" l="1"/>
  <c r="M1197" i="5"/>
  <c r="L1198" i="5" l="1"/>
  <c r="M1198" i="5"/>
  <c r="L1199" i="5" l="1"/>
  <c r="M1199" i="5"/>
  <c r="L1200" i="5" l="1"/>
  <c r="M1200" i="5"/>
  <c r="L1201" i="5" l="1"/>
  <c r="M1201" i="5"/>
  <c r="L1202" i="5" l="1"/>
  <c r="M1202" i="5"/>
  <c r="L1203" i="5" l="1"/>
  <c r="M1203" i="5"/>
  <c r="L1204" i="5" l="1"/>
  <c r="M1204" i="5"/>
  <c r="L1205" i="5" l="1"/>
  <c r="M1205" i="5"/>
  <c r="M1206" i="5" l="1"/>
  <c r="L1206" i="5"/>
  <c r="L1207" i="5" l="1"/>
  <c r="M1207" i="5"/>
  <c r="M1208" i="5" l="1"/>
  <c r="L1208" i="5"/>
  <c r="L1209" i="5" l="1"/>
  <c r="M1209" i="5"/>
  <c r="L1210" i="5" l="1"/>
  <c r="M1210" i="5"/>
  <c r="M1211" i="5" l="1"/>
  <c r="L1211" i="5"/>
  <c r="L1212" i="5" l="1"/>
  <c r="M1212" i="5"/>
  <c r="M1213" i="5" l="1"/>
  <c r="L1213" i="5"/>
  <c r="L1214" i="5" l="1"/>
  <c r="M1214" i="5"/>
  <c r="M1215" i="5" l="1"/>
  <c r="L1215" i="5"/>
  <c r="M1216" i="5" l="1"/>
  <c r="L1216" i="5"/>
  <c r="M1217" i="5" l="1"/>
  <c r="L1217" i="5"/>
  <c r="L1218" i="5" l="1"/>
  <c r="M1218" i="5"/>
  <c r="L1219" i="5" l="1"/>
  <c r="M1219" i="5"/>
  <c r="M1220" i="5" l="1"/>
  <c r="L1220" i="5"/>
  <c r="L1221" i="5" l="1"/>
  <c r="M1221" i="5"/>
  <c r="M1222" i="5" l="1"/>
  <c r="L1222" i="5"/>
  <c r="L1223" i="5" l="1"/>
  <c r="M1223" i="5"/>
  <c r="L1224" i="5" l="1"/>
  <c r="M1224" i="5"/>
  <c r="L1225" i="5" l="1"/>
  <c r="M1225" i="5"/>
  <c r="M1226" i="5" l="1"/>
  <c r="L1226" i="5"/>
  <c r="L1227" i="5" l="1"/>
  <c r="M1227" i="5"/>
  <c r="L1228" i="5" l="1"/>
  <c r="M1228" i="5"/>
  <c r="M1229" i="5" l="1"/>
  <c r="L1229" i="5"/>
  <c r="L1230" i="5" l="1"/>
  <c r="M1230" i="5"/>
  <c r="M1231" i="5" l="1"/>
  <c r="L1231" i="5"/>
  <c r="L1232" i="5" l="1"/>
  <c r="M1232" i="5"/>
  <c r="M1233" i="5" l="1"/>
  <c r="L1233" i="5"/>
  <c r="L1234" i="5" l="1"/>
  <c r="M1234" i="5"/>
  <c r="L1235" i="5" l="1"/>
  <c r="M1235" i="5"/>
  <c r="M1236" i="5" l="1"/>
  <c r="L1236" i="5"/>
  <c r="M1237" i="5" l="1"/>
  <c r="L1237" i="5"/>
  <c r="L1238" i="5" l="1"/>
  <c r="M1238" i="5"/>
  <c r="L1239" i="5" l="1"/>
  <c r="M1239" i="5"/>
  <c r="L1240" i="5" l="1"/>
  <c r="M1240" i="5"/>
  <c r="M1241" i="5" l="1"/>
  <c r="L1241" i="5"/>
  <c r="L1242" i="5" l="1"/>
  <c r="M1242" i="5"/>
  <c r="M1243" i="5" l="1"/>
  <c r="L1243" i="5"/>
  <c r="L1244" i="5" l="1"/>
  <c r="M1244" i="5"/>
  <c r="L1245" i="5" l="1"/>
  <c r="M1245" i="5"/>
  <c r="M1246" i="5" l="1"/>
  <c r="L1246" i="5"/>
  <c r="M1247" i="5" l="1"/>
  <c r="L1247" i="5"/>
  <c r="M1248" i="5" l="1"/>
  <c r="L1248" i="5"/>
  <c r="M1249" i="5" l="1"/>
  <c r="L1249" i="5"/>
  <c r="L1250" i="5" l="1"/>
  <c r="M1250" i="5"/>
  <c r="L1251" i="5" l="1"/>
  <c r="M1251" i="5"/>
  <c r="M1252" i="5" l="1"/>
  <c r="L1252" i="5"/>
  <c r="M1253" i="5" l="1"/>
  <c r="L1253" i="5"/>
  <c r="L1254" i="5" l="1"/>
  <c r="M1254" i="5"/>
  <c r="L1255" i="5" l="1"/>
  <c r="M1255" i="5"/>
  <c r="M1256" i="5" l="1"/>
  <c r="L1256" i="5"/>
  <c r="L1257" i="5" l="1"/>
  <c r="M1257" i="5"/>
  <c r="L1258" i="5" l="1"/>
  <c r="M1258" i="5"/>
  <c r="M1259" i="5" l="1"/>
  <c r="L1259" i="5"/>
  <c r="L1260" i="5" l="1"/>
  <c r="M1260" i="5"/>
  <c r="M1261" i="5" l="1"/>
  <c r="L1261" i="5"/>
  <c r="M1262" i="5" l="1"/>
  <c r="L1262" i="5"/>
  <c r="M1263" i="5" l="1"/>
  <c r="L1263" i="5"/>
  <c r="L1264" i="5" l="1"/>
  <c r="M1264" i="5"/>
  <c r="M1265" i="5" l="1"/>
  <c r="L1265" i="5"/>
  <c r="M1266" i="5" l="1"/>
  <c r="L1266" i="5"/>
  <c r="L1267" i="5" l="1"/>
  <c r="M1267" i="5"/>
  <c r="L1268" i="5" l="1"/>
  <c r="M1268" i="5"/>
  <c r="M1269" i="5" l="1"/>
  <c r="L1269" i="5"/>
  <c r="L1270" i="5" l="1"/>
  <c r="M1270" i="5"/>
  <c r="L1271" i="5" l="1"/>
  <c r="M1271" i="5"/>
  <c r="M1272" i="5" l="1"/>
  <c r="L1272" i="5"/>
  <c r="L1273" i="5" l="1"/>
  <c r="M1273" i="5"/>
  <c r="L1274" i="5" l="1"/>
  <c r="M1274" i="5"/>
  <c r="L1275" i="5" l="1"/>
  <c r="M1275" i="5"/>
  <c r="M1276" i="5" l="1"/>
  <c r="L1276" i="5"/>
  <c r="L1277" i="5" l="1"/>
  <c r="M1277" i="5"/>
  <c r="M1278" i="5" l="1"/>
  <c r="L1278" i="5"/>
  <c r="M1279" i="5" l="1"/>
  <c r="L1279" i="5"/>
  <c r="L1280" i="5" l="1"/>
  <c r="M1280" i="5"/>
  <c r="L1281" i="5" l="1"/>
  <c r="M1281" i="5"/>
  <c r="L1282" i="5" l="1"/>
  <c r="M1282" i="5"/>
  <c r="L1283" i="5" l="1"/>
  <c r="M1283" i="5"/>
  <c r="M1284" i="5" l="1"/>
  <c r="L1284" i="5"/>
  <c r="L1285" i="5" l="1"/>
  <c r="M1285" i="5"/>
  <c r="M1286" i="5" l="1"/>
  <c r="L1286" i="5"/>
  <c r="L1287" i="5" l="1"/>
  <c r="M1287" i="5"/>
  <c r="M1288" i="5" l="1"/>
  <c r="L1288" i="5"/>
  <c r="M1289" i="5" l="1"/>
  <c r="L1289" i="5"/>
  <c r="L1290" i="5" l="1"/>
  <c r="M1290" i="5"/>
  <c r="M1291" i="5" l="1"/>
  <c r="L1291" i="5"/>
  <c r="M1292" i="5" l="1"/>
  <c r="L1292" i="5"/>
  <c r="M1293" i="5" l="1"/>
  <c r="L1293" i="5"/>
  <c r="L1294" i="5" l="1"/>
  <c r="M1294" i="5"/>
  <c r="L1295" i="5" l="1"/>
  <c r="M1295" i="5"/>
  <c r="L1296" i="5" l="1"/>
  <c r="M1296" i="5"/>
  <c r="M1297" i="5" l="1"/>
  <c r="L1297" i="5"/>
  <c r="L1298" i="5" l="1"/>
  <c r="M1298" i="5"/>
  <c r="M1299" i="5" l="1"/>
  <c r="L1299" i="5"/>
  <c r="L1300" i="5" l="1"/>
  <c r="M1300" i="5"/>
  <c r="L1301" i="5" l="1"/>
  <c r="M1301" i="5"/>
  <c r="M1302" i="5" l="1"/>
  <c r="L1302" i="5"/>
  <c r="L1303" i="5" l="1"/>
  <c r="M1303" i="5"/>
  <c r="L1304" i="5" l="1"/>
  <c r="M1304" i="5"/>
  <c r="L1305" i="5" l="1"/>
  <c r="M1305" i="5"/>
  <c r="L1306" i="5" l="1"/>
  <c r="M1306" i="5"/>
  <c r="M1307" i="5" l="1"/>
  <c r="L1307" i="5"/>
  <c r="L1308" i="5" l="1"/>
  <c r="M1308" i="5"/>
  <c r="L1309" i="5" l="1"/>
  <c r="M1309" i="5"/>
  <c r="L1310" i="5" l="1"/>
  <c r="M1310" i="5"/>
  <c r="M1311" i="5" l="1"/>
  <c r="L1311" i="5"/>
  <c r="L1312" i="5" l="1"/>
  <c r="M1312" i="5"/>
  <c r="M1313" i="5" l="1"/>
  <c r="L1313" i="5"/>
  <c r="L1314" i="5" l="1"/>
  <c r="M1314" i="5"/>
  <c r="M1315" i="5" l="1"/>
  <c r="L1315" i="5"/>
  <c r="M1316" i="5" l="1"/>
  <c r="L1316" i="5"/>
  <c r="L1317" i="5" l="1"/>
  <c r="M1317" i="5"/>
  <c r="M1318" i="5" l="1"/>
  <c r="L1318" i="5"/>
  <c r="L1319" i="5" l="1"/>
  <c r="M1319" i="5"/>
  <c r="M1320" i="5" l="1"/>
  <c r="L1320" i="5"/>
  <c r="L1321" i="5" l="1"/>
  <c r="M1321" i="5"/>
  <c r="L1322" i="5" l="1"/>
  <c r="M1322" i="5"/>
  <c r="M1323" i="5" l="1"/>
  <c r="L1323" i="5"/>
  <c r="M1324" i="5" l="1"/>
  <c r="L1324" i="5"/>
  <c r="M1325" i="5" l="1"/>
  <c r="L1325" i="5"/>
  <c r="L1326" i="5" l="1"/>
  <c r="M1326" i="5"/>
  <c r="M1327" i="5" l="1"/>
  <c r="L1327" i="5"/>
  <c r="M1328" i="5" l="1"/>
  <c r="L1328" i="5"/>
  <c r="M1329" i="5" l="1"/>
  <c r="L1329" i="5"/>
  <c r="L1330" i="5" l="1"/>
  <c r="M1330" i="5"/>
  <c r="L1331" i="5" l="1"/>
  <c r="M1331" i="5"/>
  <c r="L1332" i="5" l="1"/>
  <c r="M1332" i="5"/>
  <c r="M1333" i="5" l="1"/>
  <c r="L1333" i="5"/>
  <c r="M1334" i="5" l="1"/>
  <c r="L1334" i="5"/>
  <c r="M1335" i="5" l="1"/>
  <c r="L1335" i="5"/>
  <c r="L1336" i="5" l="1"/>
  <c r="M1336" i="5"/>
  <c r="M1337" i="5" l="1"/>
  <c r="L1337" i="5"/>
  <c r="L1338" i="5" l="1"/>
  <c r="M1338" i="5"/>
  <c r="L1339" i="5" l="1"/>
  <c r="M1339" i="5"/>
  <c r="L1340" i="5" l="1"/>
  <c r="M1340" i="5"/>
  <c r="M1341" i="5" l="1"/>
  <c r="L1341" i="5"/>
  <c r="L1342" i="5" l="1"/>
  <c r="M1342" i="5"/>
  <c r="M1343" i="5" l="1"/>
  <c r="L1343" i="5"/>
  <c r="L1344" i="5" l="1"/>
  <c r="M1344" i="5"/>
  <c r="M1345" i="5" l="1"/>
  <c r="L1345" i="5"/>
  <c r="M1346" i="5" l="1"/>
  <c r="L1346" i="5"/>
  <c r="M1347" i="5" l="1"/>
  <c r="L1347" i="5"/>
  <c r="L1348" i="5" l="1"/>
  <c r="M1348" i="5"/>
  <c r="L1349" i="5" l="1"/>
  <c r="M1349" i="5"/>
  <c r="L1350" i="5" l="1"/>
  <c r="M1350" i="5"/>
  <c r="L1351" i="5" l="1"/>
  <c r="M1351" i="5"/>
  <c r="M1352" i="5" l="1"/>
  <c r="L1352" i="5"/>
  <c r="L1353" i="5" l="1"/>
  <c r="M1353" i="5"/>
  <c r="M1354" i="5" l="1"/>
  <c r="L1354" i="5"/>
  <c r="M1355" i="5" l="1"/>
  <c r="L1355" i="5"/>
  <c r="L1356" i="5" l="1"/>
  <c r="M1356" i="5"/>
  <c r="L1357" i="5" l="1"/>
  <c r="L1358" i="5" s="1"/>
  <c r="L1359" i="5" s="1"/>
  <c r="L1360" i="5" s="1"/>
  <c r="L1361" i="5" s="1"/>
  <c r="L1362" i="5" s="1"/>
  <c r="L1363" i="5" s="1"/>
  <c r="L1364" i="5" s="1"/>
  <c r="L1365" i="5" s="1"/>
  <c r="L1366" i="5" s="1"/>
  <c r="L1367" i="5" s="1"/>
  <c r="L1368" i="5" s="1"/>
  <c r="L1369" i="5" s="1"/>
  <c r="L1370" i="5" s="1"/>
  <c r="L1371" i="5" s="1"/>
  <c r="L1372" i="5" s="1"/>
  <c r="L1373" i="5" s="1"/>
  <c r="L1374" i="5" s="1"/>
  <c r="L1375" i="5" s="1"/>
  <c r="L1376" i="5" s="1"/>
  <c r="L1377" i="5" s="1"/>
  <c r="L1378" i="5" s="1"/>
  <c r="L1379" i="5" s="1"/>
  <c r="L1380" i="5" s="1"/>
  <c r="L1381" i="5" s="1"/>
  <c r="L1382" i="5" s="1"/>
  <c r="L1383" i="5" s="1"/>
  <c r="L1384" i="5" s="1"/>
  <c r="L1385" i="5" s="1"/>
  <c r="L1386" i="5" s="1"/>
  <c r="L1387" i="5" s="1"/>
  <c r="L1388" i="5" s="1"/>
  <c r="L1389" i="5" s="1"/>
  <c r="L1390" i="5" s="1"/>
  <c r="L1391" i="5" s="1"/>
  <c r="L1392" i="5" s="1"/>
  <c r="L1393" i="5" s="1"/>
  <c r="L1394" i="5" s="1"/>
  <c r="L1395" i="5" s="1"/>
  <c r="L1396" i="5" s="1"/>
  <c r="L1397" i="5" s="1"/>
  <c r="L1398" i="5" s="1"/>
  <c r="L1399" i="5" s="1"/>
  <c r="L1400" i="5" s="1"/>
  <c r="L1401" i="5" s="1"/>
  <c r="L1402" i="5" s="1"/>
  <c r="L1403" i="5" s="1"/>
  <c r="L1404" i="5" s="1"/>
  <c r="L1405" i="5" s="1"/>
  <c r="L1406" i="5" s="1"/>
  <c r="L1407" i="5" s="1"/>
  <c r="L1408" i="5" s="1"/>
  <c r="L1409" i="5" s="1"/>
  <c r="L1410" i="5" s="1"/>
  <c r="L1411" i="5" s="1"/>
  <c r="L1412" i="5" s="1"/>
  <c r="L1413" i="5" s="1"/>
  <c r="L1414" i="5" s="1"/>
  <c r="L1415" i="5" s="1"/>
  <c r="L1416" i="5" s="1"/>
  <c r="L1417" i="5" s="1"/>
  <c r="L1418" i="5" s="1"/>
  <c r="L1419" i="5" s="1"/>
  <c r="L1420" i="5" s="1"/>
  <c r="L1421" i="5" s="1"/>
  <c r="L1422" i="5" s="1"/>
  <c r="L1423" i="5" s="1"/>
  <c r="L1424" i="5" s="1"/>
  <c r="L1425" i="5" s="1"/>
  <c r="L1426" i="5" s="1"/>
  <c r="L1427" i="5" s="1"/>
  <c r="L1428" i="5" s="1"/>
  <c r="L1429" i="5" s="1"/>
  <c r="L1430" i="5" s="1"/>
  <c r="L1431" i="5" s="1"/>
  <c r="L1432" i="5" s="1"/>
  <c r="L1433" i="5" s="1"/>
  <c r="L1434" i="5" s="1"/>
  <c r="L1435" i="5" s="1"/>
  <c r="L1436" i="5" s="1"/>
  <c r="L1437" i="5" s="1"/>
  <c r="L1438" i="5" s="1"/>
  <c r="L1439" i="5" s="1"/>
  <c r="L1440" i="5" s="1"/>
  <c r="L1441" i="5" s="1"/>
  <c r="L1442" i="5" s="1"/>
  <c r="L1443" i="5" s="1"/>
  <c r="L1444" i="5" s="1"/>
  <c r="L1445" i="5" s="1"/>
  <c r="L1446" i="5" s="1"/>
  <c r="L1447" i="5" s="1"/>
  <c r="L1448" i="5" s="1"/>
  <c r="L1449" i="5" s="1"/>
  <c r="L1450" i="5" s="1"/>
  <c r="L1451" i="5" s="1"/>
  <c r="L1452" i="5" s="1"/>
  <c r="L1453" i="5" s="1"/>
  <c r="L1454" i="5" s="1"/>
  <c r="L1455" i="5" s="1"/>
  <c r="L1456" i="5" s="1"/>
  <c r="L1457" i="5" s="1"/>
  <c r="L1458" i="5" s="1"/>
  <c r="L1459" i="5" s="1"/>
  <c r="L1460" i="5" s="1"/>
  <c r="L1461" i="5" s="1"/>
  <c r="L1462" i="5" s="1"/>
  <c r="L1463" i="5" s="1"/>
  <c r="L1464" i="5" s="1"/>
  <c r="L1465" i="5" s="1"/>
  <c r="L1466" i="5" s="1"/>
  <c r="L1467" i="5" s="1"/>
  <c r="L1468" i="5" s="1"/>
  <c r="L1469" i="5" s="1"/>
  <c r="L1470" i="5" s="1"/>
  <c r="L1471" i="5" s="1"/>
  <c r="L1472" i="5" s="1"/>
  <c r="L1473" i="5" s="1"/>
  <c r="L1474" i="5" s="1"/>
  <c r="L1475" i="5" s="1"/>
  <c r="L1476" i="5" s="1"/>
  <c r="L1477" i="5" s="1"/>
  <c r="L1478" i="5" s="1"/>
  <c r="L1479" i="5" s="1"/>
  <c r="L1480" i="5" s="1"/>
  <c r="L1481" i="5" s="1"/>
  <c r="L1482" i="5" s="1"/>
  <c r="L1483" i="5" s="1"/>
  <c r="L1484" i="5" s="1"/>
  <c r="L1485" i="5" s="1"/>
  <c r="L1486" i="5" s="1"/>
  <c r="L1487" i="5" s="1"/>
  <c r="L1488" i="5" s="1"/>
  <c r="L1489" i="5" s="1"/>
  <c r="L1490" i="5" s="1"/>
  <c r="L1491" i="5" s="1"/>
  <c r="L1492" i="5" s="1"/>
  <c r="L1493" i="5" s="1"/>
  <c r="L1494" i="5" s="1"/>
  <c r="L1495" i="5" s="1"/>
  <c r="L1496" i="5" s="1"/>
  <c r="L1497" i="5" s="1"/>
  <c r="L1498" i="5" s="1"/>
  <c r="L1499" i="5" s="1"/>
  <c r="L1500" i="5" s="1"/>
  <c r="L1501" i="5" s="1"/>
  <c r="L1502" i="5" s="1"/>
  <c r="L1503" i="5" s="1"/>
  <c r="L1504" i="5" s="1"/>
  <c r="L1505" i="5" s="1"/>
  <c r="L1506" i="5" s="1"/>
  <c r="L1507" i="5" s="1"/>
  <c r="L1508" i="5" s="1"/>
  <c r="L1509" i="5" s="1"/>
  <c r="L1510" i="5" s="1"/>
  <c r="L1511" i="5" s="1"/>
  <c r="L1512" i="5" s="1"/>
  <c r="L1513" i="5" s="1"/>
  <c r="L1514" i="5" s="1"/>
  <c r="L1515" i="5" s="1"/>
  <c r="L1516" i="5" s="1"/>
  <c r="L1517" i="5" s="1"/>
  <c r="L1518" i="5" s="1"/>
  <c r="L1519" i="5" s="1"/>
  <c r="L1520" i="5" s="1"/>
  <c r="L1521" i="5" s="1"/>
  <c r="L1522" i="5" s="1"/>
  <c r="L1523" i="5" s="1"/>
  <c r="L1524" i="5" s="1"/>
  <c r="L1525" i="5" s="1"/>
  <c r="L1526" i="5" s="1"/>
  <c r="L1527" i="5" s="1"/>
  <c r="L1528" i="5" s="1"/>
  <c r="L1529" i="5" s="1"/>
  <c r="L1530" i="5" s="1"/>
  <c r="L1531" i="5" s="1"/>
  <c r="L1532" i="5" s="1"/>
  <c r="L1533" i="5" s="1"/>
  <c r="L1534" i="5" s="1"/>
  <c r="L1535" i="5" s="1"/>
  <c r="L1536" i="5" s="1"/>
  <c r="L1537" i="5" s="1"/>
  <c r="L1538" i="5" s="1"/>
  <c r="L1539" i="5" s="1"/>
  <c r="L1540" i="5" s="1"/>
  <c r="L1541" i="5" s="1"/>
  <c r="L1542" i="5" s="1"/>
  <c r="L1543" i="5" s="1"/>
  <c r="L1544" i="5" s="1"/>
  <c r="L1545" i="5" s="1"/>
  <c r="L1546" i="5" s="1"/>
  <c r="L1547" i="5" s="1"/>
  <c r="L1548" i="5" s="1"/>
  <c r="L1549" i="5" s="1"/>
  <c r="L1550" i="5" s="1"/>
  <c r="L1551" i="5" s="1"/>
  <c r="L1552" i="5" s="1"/>
  <c r="L1553" i="5" s="1"/>
  <c r="L1554" i="5" s="1"/>
  <c r="L1555" i="5" s="1"/>
  <c r="L1556" i="5" s="1"/>
  <c r="L1557" i="5" s="1"/>
  <c r="L1558" i="5" s="1"/>
  <c r="L1559" i="5" s="1"/>
  <c r="L1560" i="5" s="1"/>
  <c r="L1561" i="5" s="1"/>
  <c r="L1562" i="5" s="1"/>
  <c r="L1563" i="5" s="1"/>
  <c r="L1564" i="5" s="1"/>
  <c r="L1565" i="5" s="1"/>
  <c r="L1566" i="5" s="1"/>
  <c r="L1567" i="5" s="1"/>
  <c r="L1568" i="5" s="1"/>
  <c r="L1569" i="5" s="1"/>
  <c r="L1570" i="5" s="1"/>
  <c r="L1571" i="5" s="1"/>
  <c r="L1572" i="5" s="1"/>
  <c r="L1573" i="5" s="1"/>
  <c r="L1574" i="5" s="1"/>
  <c r="L1575" i="5" s="1"/>
  <c r="L1576" i="5" s="1"/>
  <c r="L1577" i="5" s="1"/>
  <c r="L1578" i="5" s="1"/>
  <c r="L1579" i="5" s="1"/>
  <c r="L1580" i="5" s="1"/>
  <c r="L1581" i="5" s="1"/>
  <c r="L1582" i="5" s="1"/>
  <c r="L1583" i="5" s="1"/>
  <c r="L1584" i="5" s="1"/>
  <c r="L1585" i="5" s="1"/>
  <c r="L1586" i="5" s="1"/>
  <c r="L1587" i="5" s="1"/>
  <c r="L1588" i="5" s="1"/>
  <c r="L1589" i="5" s="1"/>
  <c r="L1590" i="5" s="1"/>
  <c r="L1591" i="5" s="1"/>
  <c r="L1592" i="5" s="1"/>
  <c r="L1593" i="5" s="1"/>
  <c r="L1594" i="5" s="1"/>
  <c r="L1595" i="5" s="1"/>
  <c r="L1596" i="5" s="1"/>
  <c r="L1597" i="5" s="1"/>
  <c r="L1598" i="5" s="1"/>
  <c r="L1599" i="5" s="1"/>
  <c r="L1600" i="5" s="1"/>
  <c r="L1601" i="5" s="1"/>
  <c r="L1602" i="5" s="1"/>
  <c r="L1603" i="5" s="1"/>
  <c r="L1604" i="5" s="1"/>
  <c r="L1605" i="5" s="1"/>
  <c r="L1606" i="5" s="1"/>
  <c r="L1607" i="5" s="1"/>
  <c r="L1608" i="5" s="1"/>
  <c r="L1609" i="5" s="1"/>
  <c r="L1610" i="5" s="1"/>
  <c r="L1611" i="5" s="1"/>
  <c r="L1612" i="5" s="1"/>
  <c r="L1613" i="5" s="1"/>
  <c r="L1614" i="5" s="1"/>
  <c r="L1615" i="5" s="1"/>
  <c r="L1616" i="5" s="1"/>
  <c r="L1617" i="5" s="1"/>
  <c r="L1618" i="5" s="1"/>
  <c r="L1619" i="5" s="1"/>
  <c r="L1620" i="5" s="1"/>
  <c r="L1621" i="5" s="1"/>
  <c r="L1622" i="5" s="1"/>
  <c r="L1623" i="5" s="1"/>
  <c r="L1624" i="5" s="1"/>
  <c r="L1625" i="5" s="1"/>
  <c r="L1626" i="5" s="1"/>
  <c r="L1627" i="5" s="1"/>
  <c r="L1628" i="5" s="1"/>
  <c r="L1629" i="5" s="1"/>
  <c r="L1630" i="5" s="1"/>
  <c r="L1631" i="5" s="1"/>
  <c r="L1632" i="5" s="1"/>
  <c r="L1633" i="5" s="1"/>
  <c r="L1634" i="5" s="1"/>
  <c r="L1635" i="5" s="1"/>
  <c r="L1636" i="5" s="1"/>
  <c r="L1637" i="5" s="1"/>
  <c r="L1638" i="5" s="1"/>
  <c r="L1639" i="5" s="1"/>
  <c r="L1640" i="5" s="1"/>
  <c r="L1641" i="5" s="1"/>
  <c r="L1642" i="5" s="1"/>
  <c r="L1643" i="5" s="1"/>
  <c r="L1644" i="5" s="1"/>
  <c r="L1645" i="5" s="1"/>
  <c r="L1646" i="5" s="1"/>
  <c r="L1647" i="5" s="1"/>
  <c r="L1648" i="5" s="1"/>
  <c r="L1649" i="5" s="1"/>
  <c r="L1650" i="5" s="1"/>
  <c r="L1651" i="5" s="1"/>
  <c r="L1652" i="5" s="1"/>
  <c r="L1653" i="5" s="1"/>
  <c r="L1654" i="5" s="1"/>
  <c r="L1655" i="5" s="1"/>
  <c r="L1656" i="5" s="1"/>
  <c r="L1657" i="5" s="1"/>
  <c r="L1658" i="5" s="1"/>
  <c r="L1659" i="5" s="1"/>
  <c r="L1660" i="5" s="1"/>
  <c r="L1661" i="5" s="1"/>
  <c r="L1662" i="5" s="1"/>
  <c r="L1663" i="5" s="1"/>
  <c r="L1664" i="5" s="1"/>
  <c r="L1665" i="5" s="1"/>
  <c r="L1666" i="5" s="1"/>
  <c r="L1667" i="5" s="1"/>
  <c r="L1668" i="5" s="1"/>
  <c r="L1669" i="5" s="1"/>
  <c r="L1670" i="5" s="1"/>
  <c r="L1671" i="5" s="1"/>
  <c r="L1672" i="5" s="1"/>
  <c r="L1673" i="5" s="1"/>
  <c r="L1674" i="5" s="1"/>
  <c r="L1675" i="5" s="1"/>
  <c r="L1676" i="5" s="1"/>
  <c r="L1677" i="5" s="1"/>
  <c r="L1678" i="5" s="1"/>
  <c r="L1679" i="5" s="1"/>
  <c r="L1680" i="5" s="1"/>
  <c r="L1681" i="5" s="1"/>
  <c r="L1682" i="5" s="1"/>
  <c r="L1683" i="5" s="1"/>
  <c r="L1684" i="5" s="1"/>
  <c r="L1685" i="5" s="1"/>
  <c r="L1686" i="5" s="1"/>
  <c r="L1687" i="5" s="1"/>
  <c r="L1688" i="5" s="1"/>
  <c r="L1689" i="5" s="1"/>
  <c r="L1690" i="5" s="1"/>
  <c r="L1691" i="5" s="1"/>
  <c r="L1692" i="5" s="1"/>
  <c r="L1693" i="5" s="1"/>
  <c r="L1694" i="5" s="1"/>
  <c r="L1695" i="5" s="1"/>
  <c r="L1696" i="5" s="1"/>
  <c r="L1697" i="5" s="1"/>
  <c r="L1698" i="5" s="1"/>
  <c r="L1699" i="5" s="1"/>
  <c r="L1700" i="5" s="1"/>
  <c r="L1701" i="5" s="1"/>
  <c r="L1702" i="5" s="1"/>
  <c r="L1703" i="5" s="1"/>
  <c r="L1704" i="5" s="1"/>
  <c r="L1705" i="5" s="1"/>
  <c r="L1706" i="5" s="1"/>
  <c r="L1707" i="5" s="1"/>
  <c r="L1708" i="5" s="1"/>
  <c r="L1709" i="5" s="1"/>
  <c r="L1710" i="5" s="1"/>
  <c r="L1711" i="5" s="1"/>
  <c r="L1712" i="5" s="1"/>
  <c r="L1713" i="5" s="1"/>
  <c r="L1714" i="5" s="1"/>
  <c r="L1715" i="5" s="1"/>
  <c r="L1716" i="5" s="1"/>
  <c r="L1717" i="5" s="1"/>
  <c r="L1718" i="5" s="1"/>
  <c r="L1719" i="5" s="1"/>
  <c r="L1720" i="5" s="1"/>
  <c r="L1721" i="5" s="1"/>
  <c r="L1722" i="5" s="1"/>
  <c r="L1723" i="5" s="1"/>
  <c r="L1724" i="5" s="1"/>
  <c r="L1725" i="5" s="1"/>
  <c r="L1726" i="5" s="1"/>
  <c r="L1727" i="5" s="1"/>
  <c r="L1728" i="5" s="1"/>
  <c r="L1729" i="5" s="1"/>
  <c r="L1730" i="5" s="1"/>
  <c r="L1731" i="5" s="1"/>
  <c r="L1732" i="5" s="1"/>
  <c r="L1733" i="5" s="1"/>
  <c r="L1734" i="5" s="1"/>
  <c r="L1735" i="5" s="1"/>
  <c r="L1736" i="5" s="1"/>
  <c r="L1737" i="5" s="1"/>
  <c r="L1738" i="5" s="1"/>
  <c r="L1739" i="5" s="1"/>
  <c r="L1740" i="5" s="1"/>
  <c r="L1741" i="5" s="1"/>
  <c r="L1742" i="5" s="1"/>
  <c r="L1743" i="5" s="1"/>
  <c r="L1744" i="5" s="1"/>
  <c r="L1745" i="5" s="1"/>
  <c r="L1746" i="5" s="1"/>
  <c r="L1747" i="5" s="1"/>
  <c r="L1748" i="5" s="1"/>
  <c r="L1749" i="5" s="1"/>
  <c r="L1750" i="5" s="1"/>
  <c r="L1751" i="5" s="1"/>
  <c r="L1752" i="5" s="1"/>
  <c r="L1753" i="5" s="1"/>
  <c r="L1754" i="5" s="1"/>
  <c r="L1755" i="5" s="1"/>
  <c r="L1756" i="5" s="1"/>
  <c r="L1757" i="5" s="1"/>
  <c r="L1758" i="5" s="1"/>
  <c r="L1759" i="5" s="1"/>
  <c r="L1760" i="5" s="1"/>
  <c r="L1761" i="5" s="1"/>
  <c r="L1762" i="5" s="1"/>
  <c r="L1763" i="5" s="1"/>
  <c r="L1764" i="5" s="1"/>
  <c r="L1765" i="5" s="1"/>
  <c r="L1766" i="5" s="1"/>
  <c r="L1767" i="5" s="1"/>
  <c r="L1768" i="5" s="1"/>
  <c r="L1769" i="5" s="1"/>
  <c r="L1770" i="5" s="1"/>
  <c r="L1771" i="5" s="1"/>
  <c r="L1772" i="5" s="1"/>
  <c r="L1773" i="5" s="1"/>
  <c r="L1774" i="5" s="1"/>
  <c r="L1775" i="5" s="1"/>
  <c r="L1776" i="5" s="1"/>
  <c r="L1777" i="5" s="1"/>
  <c r="L1778" i="5" s="1"/>
  <c r="L1779" i="5" s="1"/>
  <c r="L1780" i="5" s="1"/>
  <c r="L1781" i="5" s="1"/>
  <c r="L1782" i="5" s="1"/>
  <c r="L1783" i="5" s="1"/>
  <c r="L1784" i="5" s="1"/>
  <c r="L1785" i="5" s="1"/>
  <c r="L1786" i="5" s="1"/>
  <c r="L1787" i="5" s="1"/>
  <c r="L1788" i="5" s="1"/>
  <c r="L1789" i="5" s="1"/>
  <c r="L1790" i="5" s="1"/>
  <c r="L1791" i="5" s="1"/>
  <c r="L1792" i="5" s="1"/>
  <c r="L1793" i="5" s="1"/>
  <c r="L1794" i="5" s="1"/>
  <c r="L1795" i="5" s="1"/>
  <c r="L1796" i="5" s="1"/>
  <c r="L1797" i="5" s="1"/>
  <c r="L1798" i="5" s="1"/>
  <c r="L1799" i="5" s="1"/>
  <c r="L1800" i="5" s="1"/>
  <c r="L1801" i="5" s="1"/>
  <c r="L1802" i="5" s="1"/>
  <c r="L1803" i="5" s="1"/>
  <c r="L1804" i="5" s="1"/>
  <c r="L1805" i="5" s="1"/>
  <c r="L1806" i="5" s="1"/>
  <c r="L1807" i="5" s="1"/>
  <c r="L1808" i="5" s="1"/>
  <c r="L1809" i="5" s="1"/>
  <c r="L1810" i="5" s="1"/>
  <c r="L1811" i="5" s="1"/>
  <c r="L1812" i="5" s="1"/>
  <c r="L1813" i="5" s="1"/>
  <c r="L1814" i="5" s="1"/>
  <c r="L1815" i="5" s="1"/>
  <c r="L1816" i="5" s="1"/>
  <c r="L1817" i="5" s="1"/>
  <c r="L1818" i="5" s="1"/>
  <c r="L1819" i="5" s="1"/>
  <c r="L1820" i="5" s="1"/>
  <c r="L1821" i="5" s="1"/>
  <c r="L1822" i="5" s="1"/>
  <c r="L1823" i="5" s="1"/>
  <c r="L1824" i="5" s="1"/>
  <c r="L1825" i="5" s="1"/>
  <c r="L1826" i="5" s="1"/>
  <c r="L1827" i="5" s="1"/>
  <c r="L1828" i="5" s="1"/>
  <c r="L1829" i="5" s="1"/>
  <c r="L1830" i="5" s="1"/>
  <c r="L1831" i="5" s="1"/>
  <c r="L1832" i="5" s="1"/>
  <c r="L1833" i="5" s="1"/>
  <c r="L1834" i="5" s="1"/>
  <c r="L1835" i="5" s="1"/>
  <c r="L1836" i="5" s="1"/>
  <c r="L1837" i="5" s="1"/>
  <c r="L1838" i="5" s="1"/>
  <c r="L1839" i="5" s="1"/>
  <c r="L1840" i="5" s="1"/>
  <c r="L1841" i="5" s="1"/>
  <c r="L1842" i="5" s="1"/>
  <c r="L1843" i="5" s="1"/>
  <c r="L1844" i="5" s="1"/>
  <c r="L1845" i="5" s="1"/>
  <c r="L1846" i="5" s="1"/>
  <c r="L1847" i="5" s="1"/>
  <c r="L1848" i="5" s="1"/>
  <c r="L1849" i="5" s="1"/>
  <c r="L1850" i="5" s="1"/>
  <c r="L1851" i="5" s="1"/>
  <c r="L1852" i="5" s="1"/>
  <c r="L1853" i="5" s="1"/>
  <c r="L1854" i="5" s="1"/>
  <c r="L1855" i="5" s="1"/>
  <c r="L1856" i="5" s="1"/>
  <c r="L1857" i="5" s="1"/>
  <c r="L1858" i="5" s="1"/>
  <c r="L1859" i="5" s="1"/>
  <c r="L1860" i="5" s="1"/>
  <c r="L1861" i="5" s="1"/>
  <c r="L1862" i="5" s="1"/>
  <c r="L1863" i="5" s="1"/>
  <c r="L1864" i="5" s="1"/>
  <c r="L1865" i="5" s="1"/>
  <c r="L1866" i="5" s="1"/>
  <c r="L1867" i="5" s="1"/>
  <c r="L1868" i="5" s="1"/>
  <c r="L1869" i="5" s="1"/>
  <c r="L1870" i="5" s="1"/>
  <c r="L1871" i="5" s="1"/>
  <c r="L1872" i="5" s="1"/>
  <c r="L1873" i="5" s="1"/>
  <c r="L1874" i="5" s="1"/>
  <c r="L1875" i="5" s="1"/>
  <c r="L1876" i="5" s="1"/>
  <c r="L1877" i="5" s="1"/>
  <c r="L1878" i="5" s="1"/>
  <c r="L1879" i="5" s="1"/>
  <c r="L1880" i="5" s="1"/>
  <c r="L1881" i="5" s="1"/>
  <c r="L1882" i="5" s="1"/>
  <c r="L1883" i="5" s="1"/>
  <c r="L1884" i="5" s="1"/>
  <c r="L1885" i="5" s="1"/>
  <c r="L1886" i="5" s="1"/>
  <c r="L1887" i="5" s="1"/>
  <c r="L1888" i="5" s="1"/>
  <c r="L1889" i="5" s="1"/>
  <c r="L1890" i="5" s="1"/>
  <c r="L1891" i="5" s="1"/>
  <c r="L1892" i="5" s="1"/>
  <c r="L1893" i="5" s="1"/>
  <c r="L1894" i="5" s="1"/>
  <c r="L1895" i="5" s="1"/>
  <c r="L1896" i="5" s="1"/>
  <c r="L1897" i="5" s="1"/>
  <c r="L1898" i="5" s="1"/>
  <c r="L1899" i="5" s="1"/>
  <c r="L1900" i="5" s="1"/>
  <c r="L1901" i="5" s="1"/>
  <c r="L1902" i="5" s="1"/>
  <c r="L1903" i="5" s="1"/>
  <c r="L1904" i="5" s="1"/>
  <c r="L1905" i="5" s="1"/>
  <c r="L1906" i="5" s="1"/>
  <c r="L1907" i="5" s="1"/>
  <c r="L1908" i="5" s="1"/>
  <c r="L1909" i="5" s="1"/>
  <c r="L1910" i="5" s="1"/>
  <c r="L1911" i="5" s="1"/>
  <c r="L1912" i="5" s="1"/>
  <c r="L1913" i="5" s="1"/>
  <c r="L1914" i="5" s="1"/>
  <c r="L1915" i="5" s="1"/>
  <c r="L1916" i="5" s="1"/>
  <c r="L1917" i="5" s="1"/>
  <c r="L1918" i="5" s="1"/>
  <c r="L1919" i="5" s="1"/>
  <c r="L1920" i="5" s="1"/>
  <c r="L1921" i="5" s="1"/>
  <c r="L1922" i="5" s="1"/>
  <c r="L1923" i="5" s="1"/>
  <c r="L1924" i="5" s="1"/>
  <c r="L1925" i="5" s="1"/>
  <c r="L1926" i="5" s="1"/>
  <c r="L1927" i="5" s="1"/>
  <c r="L1928" i="5" s="1"/>
  <c r="L1929" i="5" s="1"/>
  <c r="L1930" i="5" s="1"/>
  <c r="L1931" i="5" s="1"/>
  <c r="L1932" i="5" s="1"/>
  <c r="L1933" i="5" s="1"/>
  <c r="L1934" i="5" s="1"/>
  <c r="L1935" i="5" s="1"/>
  <c r="L1936" i="5" s="1"/>
  <c r="L1937" i="5" s="1"/>
  <c r="L1938" i="5" s="1"/>
  <c r="L1939" i="5" s="1"/>
  <c r="L1940" i="5" s="1"/>
  <c r="L1941" i="5" s="1"/>
  <c r="L1942" i="5" s="1"/>
  <c r="L1943" i="5" s="1"/>
  <c r="L1944" i="5" s="1"/>
  <c r="L1945" i="5" s="1"/>
  <c r="L1946" i="5" s="1"/>
  <c r="L1947" i="5" s="1"/>
  <c r="L1948" i="5" s="1"/>
  <c r="L1949" i="5" s="1"/>
  <c r="L1950" i="5" s="1"/>
  <c r="L1951" i="5" s="1"/>
  <c r="L1952" i="5" s="1"/>
  <c r="L1953" i="5" s="1"/>
  <c r="L1954" i="5" s="1"/>
  <c r="L1955" i="5" s="1"/>
  <c r="L1956" i="5" s="1"/>
  <c r="L1957" i="5" s="1"/>
  <c r="L1958" i="5" s="1"/>
  <c r="L1959" i="5" s="1"/>
  <c r="L1960" i="5" s="1"/>
  <c r="L1961" i="5" s="1"/>
  <c r="L1962" i="5" s="1"/>
  <c r="L1963" i="5" s="1"/>
  <c r="L1964" i="5" s="1"/>
  <c r="L1965" i="5" s="1"/>
  <c r="L1966" i="5" s="1"/>
  <c r="L1967" i="5" s="1"/>
  <c r="L1968" i="5" s="1"/>
  <c r="L1969" i="5" s="1"/>
  <c r="L1970" i="5" s="1"/>
  <c r="L1971" i="5" s="1"/>
  <c r="L1972" i="5" s="1"/>
  <c r="L1973" i="5" s="1"/>
  <c r="L1974" i="5" s="1"/>
  <c r="L1975" i="5" s="1"/>
  <c r="L1976" i="5" s="1"/>
  <c r="L1977" i="5" s="1"/>
  <c r="L1978" i="5" s="1"/>
  <c r="L1979" i="5" s="1"/>
  <c r="L1980" i="5" s="1"/>
  <c r="L1981" i="5" s="1"/>
  <c r="L1982" i="5" s="1"/>
  <c r="L1983" i="5" s="1"/>
  <c r="L1984" i="5" s="1"/>
  <c r="L1985" i="5" s="1"/>
  <c r="L1986" i="5" s="1"/>
  <c r="L1987" i="5" s="1"/>
  <c r="L1988" i="5" s="1"/>
  <c r="L1989" i="5" s="1"/>
  <c r="L1990" i="5" s="1"/>
  <c r="L1991" i="5" s="1"/>
  <c r="L1992" i="5" s="1"/>
  <c r="L1993" i="5" s="1"/>
  <c r="L1994" i="5" s="1"/>
  <c r="L1995" i="5" s="1"/>
  <c r="L1996" i="5" s="1"/>
  <c r="L1997" i="5" s="1"/>
  <c r="L1998" i="5" s="1"/>
  <c r="L1999" i="5" s="1"/>
  <c r="L2000" i="5" s="1"/>
  <c r="L2001" i="5" s="1"/>
  <c r="L2002" i="5" s="1"/>
  <c r="L2003" i="5" s="1"/>
  <c r="L2004" i="5" s="1"/>
  <c r="L2005" i="5" s="1"/>
  <c r="L2006" i="5" s="1"/>
  <c r="L2007" i="5" s="1"/>
  <c r="L2008" i="5" s="1"/>
  <c r="L2009" i="5" s="1"/>
  <c r="L2010" i="5" s="1"/>
  <c r="L2011" i="5" s="1"/>
  <c r="L2012" i="5" s="1"/>
  <c r="L2013" i="5" s="1"/>
  <c r="L2014" i="5" s="1"/>
  <c r="L2015" i="5" s="1"/>
  <c r="L2016" i="5" s="1"/>
  <c r="L2017" i="5" s="1"/>
  <c r="L2018" i="5" s="1"/>
  <c r="L2019" i="5" s="1"/>
  <c r="L2020" i="5" s="1"/>
  <c r="L2021" i="5" s="1"/>
  <c r="L2022" i="5" s="1"/>
  <c r="L2023" i="5" s="1"/>
  <c r="L2024" i="5" s="1"/>
  <c r="L2025" i="5" s="1"/>
  <c r="L2026" i="5" s="1"/>
  <c r="L2027" i="5" s="1"/>
  <c r="L2028" i="5" s="1"/>
  <c r="L2029" i="5" s="1"/>
  <c r="L2030" i="5" s="1"/>
  <c r="L2031" i="5" s="1"/>
  <c r="L2032" i="5" s="1"/>
  <c r="L2033" i="5" s="1"/>
  <c r="L2034" i="5" s="1"/>
  <c r="L2035" i="5" s="1"/>
  <c r="L2036" i="5" s="1"/>
  <c r="L2037" i="5" s="1"/>
  <c r="L2038" i="5" s="1"/>
  <c r="L2039" i="5" s="1"/>
  <c r="L2040" i="5" s="1"/>
  <c r="L2041" i="5" s="1"/>
  <c r="L2042" i="5" s="1"/>
  <c r="L2043" i="5" s="1"/>
  <c r="L2044" i="5" s="1"/>
  <c r="L2045" i="5" s="1"/>
  <c r="L2046" i="5" s="1"/>
  <c r="L2047" i="5" s="1"/>
  <c r="L2048" i="5" s="1"/>
  <c r="L2049" i="5" s="1"/>
  <c r="L2050" i="5" s="1"/>
  <c r="L2051" i="5" s="1"/>
  <c r="L2052" i="5" s="1"/>
  <c r="L2053" i="5" s="1"/>
  <c r="L2054" i="5" s="1"/>
  <c r="L2055" i="5" s="1"/>
  <c r="L2056" i="5" s="1"/>
  <c r="L2057" i="5" s="1"/>
  <c r="L2058" i="5" s="1"/>
  <c r="L2059" i="5" s="1"/>
  <c r="L2060" i="5" s="1"/>
</calcChain>
</file>

<file path=xl/sharedStrings.xml><?xml version="1.0" encoding="utf-8"?>
<sst xmlns="http://schemas.openxmlformats.org/spreadsheetml/2006/main" count="10814" uniqueCount="1199">
  <si>
    <t>Alquiler</t>
  </si>
  <si>
    <t>Ingresos brutos</t>
  </si>
  <si>
    <t>DETALLE</t>
  </si>
  <si>
    <t>SALDO DEUDOR</t>
  </si>
  <si>
    <t>SALDO ACREEDOR</t>
  </si>
  <si>
    <t>Sueldos</t>
  </si>
  <si>
    <t>Pago electrónico de aportes y cargas sociales</t>
  </si>
  <si>
    <t>Gastos varios caja chica</t>
  </si>
  <si>
    <t>IVA 21% comisiones</t>
  </si>
  <si>
    <t>Impuesto débito/crédito</t>
  </si>
  <si>
    <t>Comisión canje Bp</t>
  </si>
  <si>
    <t>Gastos mantenimiento /comisiones varias</t>
  </si>
  <si>
    <t>CONCEPTO</t>
  </si>
  <si>
    <t>MES</t>
  </si>
  <si>
    <t>AÑO</t>
  </si>
  <si>
    <t>Total general</t>
  </si>
  <si>
    <t>Rótulos de fila</t>
  </si>
  <si>
    <t>Certificación de firma</t>
  </si>
  <si>
    <t>Supermercado</t>
  </si>
  <si>
    <t>Gasto administrativo alquiler Rotary</t>
  </si>
  <si>
    <t>Servicio de limpieza</t>
  </si>
  <si>
    <t>Gasto franqueo</t>
  </si>
  <si>
    <t>Gastos de mantenimiento</t>
  </si>
  <si>
    <t>Saldo inicial</t>
  </si>
  <si>
    <t>cheque anulado</t>
  </si>
  <si>
    <t>Gastos Varios</t>
  </si>
  <si>
    <t>Valores</t>
  </si>
  <si>
    <t>Mantenimiento VCL</t>
  </si>
  <si>
    <t>Publicidad</t>
  </si>
  <si>
    <t>Comisionistas</t>
  </si>
  <si>
    <t>Librería</t>
  </si>
  <si>
    <t>Imprenta</t>
  </si>
  <si>
    <t>Insumos limpieza</t>
  </si>
  <si>
    <t>Reuniones</t>
  </si>
  <si>
    <t>Impuestos y servicios</t>
  </si>
  <si>
    <t>Pago electrónico Impuestos</t>
  </si>
  <si>
    <t>2</t>
  </si>
  <si>
    <t>3</t>
  </si>
  <si>
    <t>Sale</t>
  </si>
  <si>
    <t>Egreso</t>
  </si>
  <si>
    <t>Funcionamiento</t>
  </si>
  <si>
    <t>Bancario</t>
  </si>
  <si>
    <t>Cuota Colegio</t>
  </si>
  <si>
    <t>Gtos adm Colegio Médico</t>
  </si>
  <si>
    <t>Ingreso</t>
  </si>
  <si>
    <t>Enero</t>
  </si>
  <si>
    <t>Febrero</t>
  </si>
  <si>
    <t>Marzo</t>
  </si>
  <si>
    <t>Abril</t>
  </si>
  <si>
    <t>Mayo</t>
  </si>
  <si>
    <t>Papelería</t>
  </si>
  <si>
    <t>Comisiones</t>
  </si>
  <si>
    <t>Gastos bancarios</t>
  </si>
  <si>
    <t>Contabilidad</t>
  </si>
  <si>
    <t>Papeleria</t>
  </si>
  <si>
    <t>Honorarios</t>
  </si>
  <si>
    <t>Limpieza</t>
  </si>
  <si>
    <t>Concepto</t>
  </si>
  <si>
    <t>Suma de Total 19</t>
  </si>
  <si>
    <t>Tarjeta socio</t>
  </si>
  <si>
    <t>Arredo regalos cena medicos</t>
  </si>
  <si>
    <t>Camoati moños y bolsas regalos cena medico</t>
  </si>
  <si>
    <t>Mercado libre copa copon cristal</t>
  </si>
  <si>
    <t>Mercado libre cotillon</t>
  </si>
  <si>
    <t>Mercado libre minipimer</t>
  </si>
  <si>
    <t>Mercado libre plancha vapor</t>
  </si>
  <si>
    <t>Mercado libre secador pelo</t>
  </si>
  <si>
    <t>Cotillon cotimundo</t>
  </si>
  <si>
    <t>Muñiz musica</t>
  </si>
  <si>
    <t>Música carranza mauro</t>
  </si>
  <si>
    <t>Hotel colonial menu</t>
  </si>
  <si>
    <t>TOTAL</t>
  </si>
  <si>
    <t>ENTRADA</t>
  </si>
  <si>
    <t>SALIDA</t>
  </si>
  <si>
    <t>RESULTADO</t>
  </si>
  <si>
    <t>FIESTA DÍA DEL MÉDICO 2019</t>
  </si>
  <si>
    <t>% total Egr</t>
  </si>
  <si>
    <t>% total Ing</t>
  </si>
  <si>
    <t>Debito/credito</t>
  </si>
  <si>
    <t>Ing brutos</t>
  </si>
  <si>
    <t>Funcionamiento general</t>
  </si>
  <si>
    <t>Plazo fijo</t>
  </si>
  <si>
    <t>Sobrante</t>
  </si>
  <si>
    <t>El total de ingresos podemos decir que es un 9,8 % de la liquidación. El 85% , que equivale a 8,2 puntos se utiliza para pagar gastos de funcionamiento de la estructura y 15% que equivale al 1,6 se utiliza para "ahorro".  1 punto aproximadamente hoy es lo que se tiene en plazo fijo. Con estos datos vemos que lo que se podría reducir es 1 punto en general que sería el 0,6 de sobrante + 0,34 de ingresos brutos que descontaba Osde y ya no lo descuenta más.</t>
  </si>
  <si>
    <t xml:space="preserve">Galvez - Propall plantea abonar al Colegio Médico un 3% sobre facturación. Los servicios que si o si debería abonar son  2,26 de funcionamiento general + 0,3 de gastos bancarios . realizar la parte operativa de facturación y liquidación en sus oficinas propias y utilizar el servicio de negociación de aranceles y gestión de pagos del Colegio Médico. También que la OS abone las facturas directamente a Propall para evitar el 1,2 de débito/crédito y abonar en lugar </t>
  </si>
  <si>
    <t>Detalle</t>
  </si>
  <si>
    <t>Moviemieto</t>
  </si>
  <si>
    <t>Egresos</t>
  </si>
  <si>
    <t>FECHA</t>
  </si>
  <si>
    <t>Pago cliente</t>
  </si>
  <si>
    <t>Unidad de negocio</t>
  </si>
  <si>
    <t>UNIDAD DE NEGOCIO</t>
  </si>
  <si>
    <t>Personal</t>
  </si>
  <si>
    <t>Taller</t>
  </si>
  <si>
    <t>DEBE (INGRESO)</t>
  </si>
  <si>
    <t>HABER (EGRESO)</t>
  </si>
  <si>
    <t>PROVEEDOR</t>
  </si>
  <si>
    <t>Barotto</t>
  </si>
  <si>
    <t>Ferrando</t>
  </si>
  <si>
    <t>Bata rio 4</t>
  </si>
  <si>
    <t>Vetaro</t>
  </si>
  <si>
    <t>Stabio</t>
  </si>
  <si>
    <t>Accotto Aldo</t>
  </si>
  <si>
    <t>Color Plus</t>
  </si>
  <si>
    <t>Magliano Metal</t>
  </si>
  <si>
    <t>Marglas S.A</t>
  </si>
  <si>
    <t>Refiat</t>
  </si>
  <si>
    <t>Rep Center</t>
  </si>
  <si>
    <t>Proveedor</t>
  </si>
  <si>
    <t>Gastos generales</t>
  </si>
  <si>
    <t>Pago cliente casual</t>
  </si>
  <si>
    <t>Articulos de limpieza</t>
  </si>
  <si>
    <t>Combustible</t>
  </si>
  <si>
    <t>Pago con transferencia</t>
  </si>
  <si>
    <t>efectivo</t>
  </si>
  <si>
    <t>pago Cristian</t>
  </si>
  <si>
    <t>Mutual Medic</t>
  </si>
  <si>
    <t>cierre caja</t>
  </si>
  <si>
    <t>leña</t>
  </si>
  <si>
    <t>comisionista</t>
  </si>
  <si>
    <t>analisis</t>
  </si>
  <si>
    <t>caja grande</t>
  </si>
  <si>
    <t>Ingreso a Caja grande</t>
  </si>
  <si>
    <t>Ingreso a Caja chica</t>
  </si>
  <si>
    <t>Pago proveedor</t>
  </si>
  <si>
    <t>RC distribuciones</t>
  </si>
  <si>
    <t>vuelto</t>
  </si>
  <si>
    <t>100 dolares</t>
  </si>
  <si>
    <t>TIPO</t>
  </si>
  <si>
    <t>Tipo</t>
  </si>
  <si>
    <t>Transferencia</t>
  </si>
  <si>
    <t>Cheque de terceros</t>
  </si>
  <si>
    <t>Cele</t>
  </si>
  <si>
    <t>n cheque</t>
  </si>
  <si>
    <t>Sandra carrara</t>
  </si>
  <si>
    <t>Vuelto cliente</t>
  </si>
  <si>
    <t>Bernard abu grillo</t>
  </si>
  <si>
    <t>Alemandi Banina</t>
  </si>
  <si>
    <t>fumigador</t>
  </si>
  <si>
    <t>gas</t>
  </si>
  <si>
    <t>Service Palloni</t>
  </si>
  <si>
    <t>Martin Jose</t>
  </si>
  <si>
    <t>publicidad web</t>
  </si>
  <si>
    <t>Juan Pablo Lang</t>
  </si>
  <si>
    <t>Castro Martin</t>
  </si>
  <si>
    <t>panaderia</t>
  </si>
  <si>
    <t>municipalidad</t>
  </si>
  <si>
    <t>Servicios</t>
  </si>
  <si>
    <t>Impuestos Municipales</t>
  </si>
  <si>
    <t>honorarios</t>
  </si>
  <si>
    <t>Cane Emiliano</t>
  </si>
  <si>
    <t>cane</t>
  </si>
  <si>
    <t>Teresa Merlo</t>
  </si>
  <si>
    <t>caballetes</t>
  </si>
  <si>
    <t>herramientas</t>
  </si>
  <si>
    <t>Ana Paula Goico</t>
  </si>
  <si>
    <t>bobinas de papel</t>
  </si>
  <si>
    <t>rifa perros</t>
  </si>
  <si>
    <t>Cane Mauri</t>
  </si>
  <si>
    <t>toyos</t>
  </si>
  <si>
    <t>Adelanto x trabajo Ricchi</t>
  </si>
  <si>
    <t>Duran</t>
  </si>
  <si>
    <t>color plus</t>
  </si>
  <si>
    <t>comision x cheque</t>
  </si>
  <si>
    <t>Isasi</t>
  </si>
  <si>
    <t>Gimenez</t>
  </si>
  <si>
    <t>foco</t>
  </si>
  <si>
    <t>creativity</t>
  </si>
  <si>
    <t>barotto</t>
  </si>
  <si>
    <t>pablo</t>
  </si>
  <si>
    <t>pago semana empleados</t>
  </si>
  <si>
    <t>di genaro</t>
  </si>
  <si>
    <t>luz</t>
  </si>
  <si>
    <t>claro</t>
  </si>
  <si>
    <t>telecom</t>
  </si>
  <si>
    <t>luz y gas</t>
  </si>
  <si>
    <t>camaras</t>
  </si>
  <si>
    <t>Barroso</t>
  </si>
  <si>
    <t>Mutual</t>
  </si>
  <si>
    <t>palloni</t>
  </si>
  <si>
    <t>Rodriguez</t>
  </si>
  <si>
    <t>Calderón</t>
  </si>
  <si>
    <t>mansuino</t>
  </si>
  <si>
    <t>Manito</t>
  </si>
  <si>
    <t>marglas</t>
  </si>
  <si>
    <t>bocha</t>
  </si>
  <si>
    <t>bertaina</t>
  </si>
  <si>
    <t>ceresole</t>
  </si>
  <si>
    <t>pintor audi</t>
  </si>
  <si>
    <t>yerba</t>
  </si>
  <si>
    <t>service palloni</t>
  </si>
  <si>
    <t>block</t>
  </si>
  <si>
    <t>irouleguy</t>
  </si>
  <si>
    <t>ROPA</t>
  </si>
  <si>
    <t>mainero</t>
  </si>
  <si>
    <t>suarez</t>
  </si>
  <si>
    <t>rifa</t>
  </si>
  <si>
    <t>Fiori Martin</t>
  </si>
  <si>
    <t>moreti Ani</t>
  </si>
  <si>
    <t>moretti</t>
  </si>
  <si>
    <t>gigante</t>
  </si>
  <si>
    <t>RESP SERRANO</t>
  </si>
  <si>
    <t>Angeleri</t>
  </si>
  <si>
    <t>flores</t>
  </si>
  <si>
    <t>medic</t>
  </si>
  <si>
    <t>molinari</t>
  </si>
  <si>
    <t>martina</t>
  </si>
  <si>
    <t>chirino</t>
  </si>
  <si>
    <t>falcon</t>
  </si>
  <si>
    <t>mendizabal</t>
  </si>
  <si>
    <t>martina carlos</t>
  </si>
  <si>
    <t>domaski</t>
  </si>
  <si>
    <t>Martina c</t>
  </si>
  <si>
    <t>empleados</t>
  </si>
  <si>
    <t>suarez lucas</t>
  </si>
  <si>
    <t>silveira</t>
  </si>
  <si>
    <t>fernandez</t>
  </si>
  <si>
    <t>saladino</t>
  </si>
  <si>
    <t>berdus</t>
  </si>
  <si>
    <t>perro</t>
  </si>
  <si>
    <t>constancias</t>
  </si>
  <si>
    <t>bueno</t>
  </si>
  <si>
    <t>adelanto Silveira</t>
  </si>
  <si>
    <t>Andrada</t>
  </si>
  <si>
    <t>calco</t>
  </si>
  <si>
    <t>sambruno</t>
  </si>
  <si>
    <t>giordano</t>
  </si>
  <si>
    <t>pisos depto</t>
  </si>
  <si>
    <t>isetta pt cruicer urtado</t>
  </si>
  <si>
    <t>Urtado rep</t>
  </si>
  <si>
    <t>Magra</t>
  </si>
  <si>
    <t>quiroga</t>
  </si>
  <si>
    <t>valdenbraben</t>
  </si>
  <si>
    <t>piedras corralón</t>
  </si>
  <si>
    <t>rep center</t>
  </si>
  <si>
    <t>lopez</t>
  </si>
  <si>
    <t>weizek</t>
  </si>
  <si>
    <t>san jose</t>
  </si>
  <si>
    <t>interner</t>
  </si>
  <si>
    <t>gomero</t>
  </si>
  <si>
    <t>francisco</t>
  </si>
  <si>
    <t>ventura</t>
  </si>
  <si>
    <t>cosaro</t>
  </si>
  <si>
    <t>PERVIU</t>
  </si>
  <si>
    <t>rep serrano</t>
  </si>
  <si>
    <t>rect florio</t>
  </si>
  <si>
    <t>corte pasto</t>
  </si>
  <si>
    <t>frutillas</t>
  </si>
  <si>
    <t>completar</t>
  </si>
  <si>
    <t>Isseta</t>
  </si>
  <si>
    <t>librería</t>
  </si>
  <si>
    <t>issetta</t>
  </si>
  <si>
    <t>Anconetani</t>
  </si>
  <si>
    <t>publicidad</t>
  </si>
  <si>
    <t>Marcos isseta</t>
  </si>
  <si>
    <t>comision tapa</t>
  </si>
  <si>
    <t>dutto</t>
  </si>
  <si>
    <t>Muguersa</t>
  </si>
  <si>
    <t>Marciali</t>
  </si>
  <si>
    <t>morales</t>
  </si>
  <si>
    <t>moreno</t>
  </si>
  <si>
    <t>andrada</t>
  </si>
  <si>
    <t>focos</t>
  </si>
  <si>
    <t>inyectores</t>
  </si>
  <si>
    <t>luz gas tel</t>
  </si>
  <si>
    <t>Dominguez</t>
  </si>
  <si>
    <t>Giordano</t>
  </si>
  <si>
    <t>Oviedo</t>
  </si>
  <si>
    <t>Magliano metal</t>
  </si>
  <si>
    <t>herramientas remate</t>
  </si>
  <si>
    <t xml:space="preserve">herramientas </t>
  </si>
  <si>
    <t>isasi</t>
  </si>
  <si>
    <t>dellafiore</t>
  </si>
  <si>
    <t>Acotto Aldo</t>
  </si>
  <si>
    <t xml:space="preserve">martina </t>
  </si>
  <si>
    <t>Bilinski</t>
  </si>
  <si>
    <t>comisión morales</t>
  </si>
  <si>
    <t>comisión rio cuarto</t>
  </si>
  <si>
    <t>Eracci</t>
  </si>
  <si>
    <t>Gutierrez</t>
  </si>
  <si>
    <t>Airasca</t>
  </si>
  <si>
    <t>Rio Rep</t>
  </si>
  <si>
    <t>Municipalidad</t>
  </si>
  <si>
    <t>telefono fijo</t>
  </si>
  <si>
    <t>pini de mainero</t>
  </si>
  <si>
    <t>Weizur</t>
  </si>
  <si>
    <t>miel</t>
  </si>
  <si>
    <t>Lang Juan Pablo</t>
  </si>
  <si>
    <t>Juanita</t>
  </si>
  <si>
    <t>perviu</t>
  </si>
  <si>
    <t>bustos</t>
  </si>
  <si>
    <t>Guerrieri</t>
  </si>
  <si>
    <t>schefer</t>
  </si>
  <si>
    <t>Schefer Alberto</t>
  </si>
  <si>
    <t>holly schefer</t>
  </si>
  <si>
    <t>resma</t>
  </si>
  <si>
    <t>mutual</t>
  </si>
  <si>
    <t>MEDIC</t>
  </si>
  <si>
    <t>Medic</t>
  </si>
  <si>
    <t>Pizzarro</t>
  </si>
  <si>
    <t>Roman</t>
  </si>
  <si>
    <t>Gigante</t>
  </si>
  <si>
    <t>Yili</t>
  </si>
  <si>
    <t>AGUA</t>
  </si>
  <si>
    <t>Carrara</t>
  </si>
  <si>
    <t>cipolla</t>
  </si>
  <si>
    <t>Torres</t>
  </si>
  <si>
    <t>Rectificadora</t>
  </si>
  <si>
    <t>Anastasi</t>
  </si>
  <si>
    <t>comida perra</t>
  </si>
  <si>
    <t>herramienta</t>
  </si>
  <si>
    <t>orring</t>
  </si>
  <si>
    <t>Martinich</t>
  </si>
  <si>
    <t>martinich</t>
  </si>
  <si>
    <t>martinich dbito</t>
  </si>
  <si>
    <t>alvarez</t>
  </si>
  <si>
    <t>Capelleti</t>
  </si>
  <si>
    <t>Perviú</t>
  </si>
  <si>
    <t>Rosas</t>
  </si>
  <si>
    <t>revol</t>
  </si>
  <si>
    <t>ropa</t>
  </si>
  <si>
    <t>ferrando</t>
  </si>
  <si>
    <t>stap</t>
  </si>
  <si>
    <t>Gullino</t>
  </si>
  <si>
    <t>isseta marcos</t>
  </si>
  <si>
    <t>REVOL</t>
  </si>
  <si>
    <t>Broches grampas</t>
  </si>
  <si>
    <t>Stap</t>
  </si>
  <si>
    <t>pasto</t>
  </si>
  <si>
    <t>Sandra Carrara</t>
  </si>
  <si>
    <t>grupo electrogeno</t>
  </si>
  <si>
    <t>valvula rio cuarto</t>
  </si>
  <si>
    <t>CALCO</t>
  </si>
  <si>
    <t>TDI</t>
  </si>
  <si>
    <t>comision</t>
  </si>
  <si>
    <t>Molinari</t>
  </si>
  <si>
    <t>Boiero</t>
  </si>
  <si>
    <t>de planta</t>
  </si>
  <si>
    <t>administrativo</t>
  </si>
  <si>
    <t>Ing bruto</t>
  </si>
  <si>
    <t>Cargador</t>
  </si>
  <si>
    <t>boiero</t>
  </si>
  <si>
    <t>Alvarez</t>
  </si>
  <si>
    <t>taller</t>
  </si>
  <si>
    <t>electricista</t>
  </si>
  <si>
    <t>Tachos vacios</t>
  </si>
  <si>
    <t>Escape de municipalidad</t>
  </si>
  <si>
    <t>Bocha</t>
  </si>
  <si>
    <t>otategui</t>
  </si>
  <si>
    <t>RC distribucion</t>
  </si>
  <si>
    <t>REP center</t>
  </si>
  <si>
    <t>Comision Rio IV</t>
  </si>
  <si>
    <t>pago cliente</t>
  </si>
  <si>
    <t>revol juan</t>
  </si>
  <si>
    <t>agua</t>
  </si>
  <si>
    <t>torta</t>
  </si>
  <si>
    <t>Carrara Sandra</t>
  </si>
  <si>
    <t>Salgado</t>
  </si>
  <si>
    <t>Issetta</t>
  </si>
  <si>
    <t>pintor</t>
  </si>
  <si>
    <t>comisiones</t>
  </si>
  <si>
    <t>ingreso a caja grande</t>
  </si>
  <si>
    <t>afip</t>
  </si>
  <si>
    <t>Ferrari</t>
  </si>
  <si>
    <t>Colombano</t>
  </si>
  <si>
    <t>gullino</t>
  </si>
  <si>
    <t>tambor de aceite</t>
  </si>
  <si>
    <t>sueldos</t>
  </si>
  <si>
    <t>fernandez gerardo 100 dolares</t>
  </si>
  <si>
    <t>Dutto mariano</t>
  </si>
  <si>
    <t>Magris victorio</t>
  </si>
  <si>
    <t>Jorge filippa</t>
  </si>
  <si>
    <t>Cristian Vallejo</t>
  </si>
  <si>
    <t>Mirta reyes</t>
  </si>
  <si>
    <t>Dutto Mariano</t>
  </si>
  <si>
    <t>Wiesek susana</t>
  </si>
  <si>
    <t>Gimenez martin</t>
  </si>
  <si>
    <t>Ojeda Anibal</t>
  </si>
  <si>
    <t>Arce monica</t>
  </si>
  <si>
    <t>Aleandro gomez</t>
  </si>
  <si>
    <t>Roberto feraudo</t>
  </si>
  <si>
    <t>pablo casas</t>
  </si>
  <si>
    <t>Emanul Boudoux</t>
  </si>
  <si>
    <t>Macagno matias</t>
  </si>
  <si>
    <t>ingreso a caja chica</t>
  </si>
  <si>
    <t>Wurth</t>
  </si>
  <si>
    <t>luz, gas, cel</t>
  </si>
  <si>
    <t>bustos lolo</t>
  </si>
  <si>
    <t>Russo Alberto</t>
  </si>
  <si>
    <t>Surjat sergio</t>
  </si>
  <si>
    <t>German albarracin</t>
  </si>
  <si>
    <t>Bateria a German albarracin</t>
  </si>
  <si>
    <t>soporte motor 408 Dellafiori</t>
  </si>
  <si>
    <t>Giorgis Carlos</t>
  </si>
  <si>
    <t xml:space="preserve">Rivas </t>
  </si>
  <si>
    <t>Color plus</t>
  </si>
  <si>
    <t>Pato toyos</t>
  </si>
  <si>
    <t>Colombano Rodrigo</t>
  </si>
  <si>
    <t>flete de filtros Rep center</t>
  </si>
  <si>
    <t>Cabral guillermo</t>
  </si>
  <si>
    <t>gomez alejandro</t>
  </si>
  <si>
    <t>barroso</t>
  </si>
  <si>
    <t>gomeria</t>
  </si>
  <si>
    <t>gaspar irouleguy</t>
  </si>
  <si>
    <t>borello matias</t>
  </si>
  <si>
    <t>Nativa</t>
  </si>
  <si>
    <t>erasi</t>
  </si>
  <si>
    <t>comision sandra carrara</t>
  </si>
  <si>
    <t>radiador Gol Trend</t>
  </si>
  <si>
    <t>radiador Pablo Aguirre</t>
  </si>
  <si>
    <t>curtis carlos</t>
  </si>
  <si>
    <t xml:space="preserve">Javier medina </t>
  </si>
  <si>
    <t>yerba, otros</t>
  </si>
  <si>
    <t>caja de cambio</t>
  </si>
  <si>
    <t>issetta marcos</t>
  </si>
  <si>
    <t>ines lopez</t>
  </si>
  <si>
    <t>moncalvillo</t>
  </si>
  <si>
    <t>oberto hns</t>
  </si>
  <si>
    <t>Dominguez marcos</t>
  </si>
  <si>
    <t>completo cheque</t>
  </si>
  <si>
    <t>personal</t>
  </si>
  <si>
    <t>compra 100 dolares</t>
  </si>
  <si>
    <t>sogno agostina</t>
  </si>
  <si>
    <t>Maria Elena Bueno</t>
  </si>
  <si>
    <t>cuota perro</t>
  </si>
  <si>
    <t>Toni Andreo</t>
  </si>
  <si>
    <t>Alejandra Gomez</t>
  </si>
  <si>
    <t>Gonzalez gaston</t>
  </si>
  <si>
    <t>gastos generales</t>
  </si>
  <si>
    <t>Marta cabrera</t>
  </si>
  <si>
    <t>Fernandez Jorge</t>
  </si>
  <si>
    <t>Issetta 0,5 lts aceite</t>
  </si>
  <si>
    <t>cable de embrague</t>
  </si>
  <si>
    <t>Magdalena Trabuco</t>
  </si>
  <si>
    <t>Ana Paula Fossano</t>
  </si>
  <si>
    <t>Garaffo Gaston</t>
  </si>
  <si>
    <t>hugo nicolino</t>
  </si>
  <si>
    <t>filtro aire emanuel</t>
  </si>
  <si>
    <t>rodrigo ameri</t>
  </si>
  <si>
    <t>Ignacio magra</t>
  </si>
  <si>
    <t>T Palloni</t>
  </si>
  <si>
    <t>creativiti</t>
  </si>
  <si>
    <t>moretti renato</t>
  </si>
  <si>
    <t>insumos taller</t>
  </si>
  <si>
    <t>calcomanias</t>
  </si>
  <si>
    <t>Rep serrano correa poly-v</t>
  </si>
  <si>
    <t>Morales Ariel</t>
  </si>
  <si>
    <t>Silveira Alejandro</t>
  </si>
  <si>
    <t>Carlos martina</t>
  </si>
  <si>
    <t>Birche Ariel</t>
  </si>
  <si>
    <t>Crocinelli Carlos</t>
  </si>
  <si>
    <t>Cane Mauricio</t>
  </si>
  <si>
    <t>Lopez Ines</t>
  </si>
  <si>
    <t>Fernandez martin</t>
  </si>
  <si>
    <t>Shell</t>
  </si>
  <si>
    <t>tato echar</t>
  </si>
  <si>
    <t xml:space="preserve">transporte palloni service </t>
  </si>
  <si>
    <t>aceite derec hidraulica</t>
  </si>
  <si>
    <t>agostina sogno por cheque</t>
  </si>
  <si>
    <t>Monica Schmall</t>
  </si>
  <si>
    <t xml:space="preserve">Cristian Dondena </t>
  </si>
  <si>
    <t>Emanuel Picco</t>
  </si>
  <si>
    <t>juan pablo lang</t>
  </si>
  <si>
    <t>toner impresora VCL</t>
  </si>
  <si>
    <t>remeras del taller</t>
  </si>
  <si>
    <t>caroso carrara</t>
  </si>
  <si>
    <t>alvarez lautaro</t>
  </si>
  <si>
    <t>Sandra Carrara repuestos</t>
  </si>
  <si>
    <t>panaderia octubre</t>
  </si>
  <si>
    <t>Altamirano alicia</t>
  </si>
  <si>
    <t>Ferreira Luis</t>
  </si>
  <si>
    <t>Martinez Fermin</t>
  </si>
  <si>
    <t>T palloni services</t>
  </si>
  <si>
    <t>Lucero Claudio</t>
  </si>
  <si>
    <t>martin fernandez efect + cheque</t>
  </si>
  <si>
    <t>Atilio Lucero</t>
  </si>
  <si>
    <t>Crocinelli Carlos por cheque</t>
  </si>
  <si>
    <t>Jani Gigante</t>
  </si>
  <si>
    <t>Walter Rodriguez</t>
  </si>
  <si>
    <t>abogado</t>
  </si>
  <si>
    <t>Anibal Ojeda</t>
  </si>
  <si>
    <t>Silveira Alejandro adelanto</t>
  </si>
  <si>
    <t>Aceite 10w40 y filtro de aceite</t>
  </si>
  <si>
    <t>Ingreso a caja chica</t>
  </si>
  <si>
    <t>Eje trasero buenos aires</t>
  </si>
  <si>
    <t>Moretti Anabella</t>
  </si>
  <si>
    <t>pago proveedor</t>
  </si>
  <si>
    <t>repuestos sarmiento</t>
  </si>
  <si>
    <t>Marcos Delvenga</t>
  </si>
  <si>
    <t>Gustavo Bertea (trabajo carlos giorgis)</t>
  </si>
  <si>
    <t>Alejandro Gomez</t>
  </si>
  <si>
    <t>Sergio Picco</t>
  </si>
  <si>
    <t>Dutto Mariano 200 dolares</t>
  </si>
  <si>
    <t>balanceo ruedas</t>
  </si>
  <si>
    <t>repuesto</t>
  </si>
  <si>
    <t>Larisa Nardin 100 dolares</t>
  </si>
  <si>
    <t>Larisa Nardin por dolares</t>
  </si>
  <si>
    <t>Oyola alberto</t>
  </si>
  <si>
    <t>Alvarez Guillermo</t>
  </si>
  <si>
    <t>Ubeda Jorge</t>
  </si>
  <si>
    <t>Sueldo administrativo</t>
  </si>
  <si>
    <t>Sueldo mecánicos</t>
  </si>
  <si>
    <t>Herramientas / bienes de uso</t>
  </si>
  <si>
    <t>Servicios de terceros</t>
  </si>
  <si>
    <t>Calco</t>
  </si>
  <si>
    <t>Monotributo</t>
  </si>
  <si>
    <t>Ropa</t>
  </si>
  <si>
    <t>Impuestos AFIP</t>
  </si>
  <si>
    <t>Santiago Dellafiori</t>
  </si>
  <si>
    <t>Barroso Ruben</t>
  </si>
  <si>
    <t>SEPTIEMBRE 11/09</t>
  </si>
  <si>
    <t>OCTUBRE 06/10</t>
  </si>
  <si>
    <t>Municipalidad - diferencia por factura</t>
  </si>
  <si>
    <t>Gladys guerrieri</t>
  </si>
  <si>
    <t>Alonso Roberto</t>
  </si>
  <si>
    <t>Anastasi Dario</t>
  </si>
  <si>
    <t>Transporte Palloni</t>
  </si>
  <si>
    <t>Cuevas Jorge</t>
  </si>
  <si>
    <t>Bocha Carrara</t>
  </si>
  <si>
    <t>Proietti Mariano</t>
  </si>
  <si>
    <t>muguerza electromecanica</t>
  </si>
  <si>
    <t>corte pasto casa cristian</t>
  </si>
  <si>
    <t>natalia monge</t>
  </si>
  <si>
    <t>Bufarini Alberto</t>
  </si>
  <si>
    <t>Borgiorni Laura</t>
  </si>
  <si>
    <t>Barroso Willy</t>
  </si>
  <si>
    <t>Magliano Debora</t>
  </si>
  <si>
    <t>magliano debora</t>
  </si>
  <si>
    <t>Ferrando Elba</t>
  </si>
  <si>
    <t>Guerrieri Gladys</t>
  </si>
  <si>
    <t>Gustavo lang</t>
  </si>
  <si>
    <t>Oliva Stella</t>
  </si>
  <si>
    <t>Erasi</t>
  </si>
  <si>
    <t>Davicino Richard</t>
  </si>
  <si>
    <t>Baravalle Andres</t>
  </si>
  <si>
    <t>Jonatan tevez</t>
  </si>
  <si>
    <t>Moreno Orlando</t>
  </si>
  <si>
    <t>comision papeles cristian</t>
  </si>
  <si>
    <t>0,5 aceite 5w40</t>
  </si>
  <si>
    <t xml:space="preserve">corte pasto </t>
  </si>
  <si>
    <t>Loeiro Daniel</t>
  </si>
  <si>
    <t>Magra Ignacio</t>
  </si>
  <si>
    <t>Rodriguez Osvaldo</t>
  </si>
  <si>
    <t>Aceites</t>
  </si>
  <si>
    <t>Tarjeta</t>
  </si>
  <si>
    <t>tarjeta</t>
  </si>
  <si>
    <t>Gigante Jani</t>
  </si>
  <si>
    <t>Airasca Victoria</t>
  </si>
  <si>
    <t>Susana Wiesek</t>
  </si>
  <si>
    <t>3 lts aceite 10w40 Susana Wiesek</t>
  </si>
  <si>
    <t>Tranquilli Silvio</t>
  </si>
  <si>
    <t>Moretti Renato</t>
  </si>
  <si>
    <t>Barral Juan</t>
  </si>
  <si>
    <t xml:space="preserve">Barotto Marcelo </t>
  </si>
  <si>
    <t>Repuestos Serrano</t>
  </si>
  <si>
    <t>Nardin Larisa</t>
  </si>
  <si>
    <t>Integral Agropecuaria</t>
  </si>
  <si>
    <t>Rio rep</t>
  </si>
  <si>
    <t>RC Distribucion</t>
  </si>
  <si>
    <t>Marglas</t>
  </si>
  <si>
    <t>Gonzalez Gaston</t>
  </si>
  <si>
    <t>Ventura Marcelo</t>
  </si>
  <si>
    <t>Romeo Mauricio adelanto</t>
  </si>
  <si>
    <t>Astezana Mirta</t>
  </si>
  <si>
    <t>Bongiorni Laura</t>
  </si>
  <si>
    <t>Salas Jesus</t>
  </si>
  <si>
    <t>Cuello Federico</t>
  </si>
  <si>
    <t>Pablo</t>
  </si>
  <si>
    <t>Emanuel</t>
  </si>
  <si>
    <t>Carrara Luis</t>
  </si>
  <si>
    <t>Panaderia noviembre</t>
  </si>
  <si>
    <t>Rep center</t>
  </si>
  <si>
    <t>OCA</t>
  </si>
  <si>
    <t>Monge Natalia (100 dolares) adelanto</t>
  </si>
  <si>
    <t>Alarmas</t>
  </si>
  <si>
    <t>Largayoli Jorge</t>
  </si>
  <si>
    <t>Dellafiori Marcelo</t>
  </si>
  <si>
    <t>Domansky Roberto</t>
  </si>
  <si>
    <t>Ruso Jose</t>
  </si>
  <si>
    <t>NOVIEMBRE</t>
  </si>
  <si>
    <t>Toyos Pato</t>
  </si>
  <si>
    <t>Suarez Luchi</t>
  </si>
  <si>
    <t>Crocinelli por cheque</t>
  </si>
  <si>
    <t>Saladino Guillermo</t>
  </si>
  <si>
    <t>Rectificadora Debernardi</t>
  </si>
  <si>
    <t>Dellafiori Santiago</t>
  </si>
  <si>
    <t>Gilli Florencia</t>
  </si>
  <si>
    <t>Magliano Barbara</t>
  </si>
  <si>
    <t>Gullino Andrea 1 lt aceite 10w40</t>
  </si>
  <si>
    <t>Natalia monge por USD</t>
  </si>
  <si>
    <t>Chavez Daniel</t>
  </si>
  <si>
    <t>Mainero Rodolfo 6 cuotas s/int</t>
  </si>
  <si>
    <t>Natalia Monge 100 USD</t>
  </si>
  <si>
    <t>pago ingenieras</t>
  </si>
  <si>
    <t>Juan Barral</t>
  </si>
  <si>
    <t>Diferencia Macagno matias por repuestos</t>
  </si>
  <si>
    <t>Aranda Pablo</t>
  </si>
  <si>
    <t>Daniel Loeiro Aceite 1,5 lts</t>
  </si>
  <si>
    <t>Pizzani Nicolas por cheque</t>
  </si>
  <si>
    <t>Pizzani Nicolas</t>
  </si>
  <si>
    <t>Estevez Jonatan</t>
  </si>
  <si>
    <t>Pico Gabriel adelanto pago trabajo</t>
  </si>
  <si>
    <t>Oleo Hidraulica</t>
  </si>
  <si>
    <t>Schefer Holly</t>
  </si>
  <si>
    <t>Cuevas Emanuel</t>
  </si>
  <si>
    <t>Razzini Carolina</t>
  </si>
  <si>
    <t>Canepa Carlos</t>
  </si>
  <si>
    <t>Balestrelli Horacio pago adelantado 6 cuotas s/int</t>
  </si>
  <si>
    <t>Vollertsen Quique</t>
  </si>
  <si>
    <t>Albarracin Mary</t>
  </si>
  <si>
    <t>servicios</t>
  </si>
  <si>
    <t>Gomero</t>
  </si>
  <si>
    <t>Gallo Pepe</t>
  </si>
  <si>
    <t>Stap Carlos</t>
  </si>
  <si>
    <t>Aranda Pablo Caja de direccion</t>
  </si>
  <si>
    <t>Principi Gabriela adelantado</t>
  </si>
  <si>
    <t>Agua</t>
  </si>
  <si>
    <t>pago deuda Jani gigante efectivo - a cuenta prod limpieza</t>
  </si>
  <si>
    <t>Magliano</t>
  </si>
  <si>
    <t>Fenoglio Heber</t>
  </si>
  <si>
    <t>Matias borello gomero</t>
  </si>
  <si>
    <t>Faro cecilia</t>
  </si>
  <si>
    <t>Bolsas</t>
  </si>
  <si>
    <t>Gullino Andrea</t>
  </si>
  <si>
    <t>varios</t>
  </si>
  <si>
    <t>Gustavo Lang</t>
  </si>
  <si>
    <t>sueldo administrativo</t>
  </si>
  <si>
    <t>DICIEMBRE 09 / 12</t>
  </si>
  <si>
    <t>Sueldo - aguinaldo - vacaciones</t>
  </si>
  <si>
    <t>Berieri Nazarena</t>
  </si>
  <si>
    <t>Celulares</t>
  </si>
  <si>
    <t>Gas</t>
  </si>
  <si>
    <t>Luz</t>
  </si>
  <si>
    <t>Venta aceite usado</t>
  </si>
  <si>
    <t>Pra Adolfo</t>
  </si>
  <si>
    <t>Contructora Guiar</t>
  </si>
  <si>
    <t>Velasquez Rocio</t>
  </si>
  <si>
    <t>Wiesek Susana</t>
  </si>
  <si>
    <t>Hidalgo Carlos</t>
  </si>
  <si>
    <t>Suarez Carlos</t>
  </si>
  <si>
    <t>Rodriguez Pablo</t>
  </si>
  <si>
    <t>AGD</t>
  </si>
  <si>
    <t>Rosas Alfredo</t>
  </si>
  <si>
    <t>Fecha ingreso tarjeta</t>
  </si>
  <si>
    <t>Monto de ingreso</t>
  </si>
  <si>
    <t>Gastos tarjetas</t>
  </si>
  <si>
    <t>Gastoas bancarios</t>
  </si>
  <si>
    <t>Etiquetas de fila</t>
  </si>
  <si>
    <t>Suma de HABER (EGRESO)</t>
  </si>
  <si>
    <t>ingenieras</t>
  </si>
  <si>
    <t>Paz Jose Maria</t>
  </si>
  <si>
    <t>Resmas de hojas</t>
  </si>
  <si>
    <t>Fava Carlos</t>
  </si>
  <si>
    <t>Salgado Victor</t>
  </si>
  <si>
    <t>Cometto Franco</t>
  </si>
  <si>
    <t>emanuel</t>
  </si>
  <si>
    <t>Agostina Barnard</t>
  </si>
  <si>
    <t>Lovera jose</t>
  </si>
  <si>
    <t>comida</t>
  </si>
  <si>
    <t>Boudoux Emanuel</t>
  </si>
  <si>
    <t>kiosco</t>
  </si>
  <si>
    <t>Keegan SA</t>
  </si>
  <si>
    <t>acredita parte de pago de keegan</t>
  </si>
  <si>
    <t>limpieza anillo camioneta</t>
  </si>
  <si>
    <t>Aimar Antonio</t>
  </si>
  <si>
    <t>Shell Bata</t>
  </si>
  <si>
    <t>IsasI Luciana</t>
  </si>
  <si>
    <t>Airaudo Alejandro</t>
  </si>
  <si>
    <t xml:space="preserve">imprenta Tarjetas service </t>
  </si>
  <si>
    <t>panaderia (descontado del pago de sandra)</t>
  </si>
  <si>
    <t>Goico Ana Paula</t>
  </si>
  <si>
    <t>Ballestrelli Valentina</t>
  </si>
  <si>
    <t>Nancy Para</t>
  </si>
  <si>
    <t>Arreglo transit Palloni chapista</t>
  </si>
  <si>
    <t>perdida por estafa de compra</t>
  </si>
  <si>
    <t>combustible</t>
  </si>
  <si>
    <t>Verazay Mirta</t>
  </si>
  <si>
    <t>Principi Gabriela</t>
  </si>
  <si>
    <t>Molinari Quique</t>
  </si>
  <si>
    <t>Molinari quique</t>
  </si>
  <si>
    <t>Perotti Luciano</t>
  </si>
  <si>
    <t>Curti Carlos</t>
  </si>
  <si>
    <t>Pago gustavo lang</t>
  </si>
  <si>
    <t>bolsas</t>
  </si>
  <si>
    <t>Lolo Bustos</t>
  </si>
  <si>
    <t>Mauro Domansky</t>
  </si>
  <si>
    <t>Dimarco Sebastian</t>
  </si>
  <si>
    <t>acredita pago weizur</t>
  </si>
  <si>
    <t>Merlo Teresa</t>
  </si>
  <si>
    <t>sueldo mecánicos</t>
  </si>
  <si>
    <t>Ferne Sergio</t>
  </si>
  <si>
    <t>Stap carlos adelantado service</t>
  </si>
  <si>
    <t>Miren cipolla casual</t>
  </si>
  <si>
    <t>imprenta</t>
  </si>
  <si>
    <t>Paletti Eduardo</t>
  </si>
  <si>
    <t>Barbero Cesar</t>
  </si>
  <si>
    <t>Fernandez Gerardo</t>
  </si>
  <si>
    <t>Carolina Depascuale adelantado</t>
  </si>
  <si>
    <t>comision rep center</t>
  </si>
  <si>
    <t>Mansuino Alberto</t>
  </si>
  <si>
    <t>Regalo madre</t>
  </si>
  <si>
    <t>Victorio</t>
  </si>
  <si>
    <t>Adriano</t>
  </si>
  <si>
    <t>Pago ingeniera</t>
  </si>
  <si>
    <t>fumigacion campo</t>
  </si>
  <si>
    <t>carniceria</t>
  </si>
  <si>
    <t>casa</t>
  </si>
  <si>
    <t>viaje</t>
  </si>
  <si>
    <t>Marcelo Gorjon</t>
  </si>
  <si>
    <t>Madre</t>
  </si>
  <si>
    <t>chicos viaje</t>
  </si>
  <si>
    <t>peaje</t>
  </si>
  <si>
    <t xml:space="preserve">ropa </t>
  </si>
  <si>
    <t>salida con amigos</t>
  </si>
  <si>
    <t>dentista</t>
  </si>
  <si>
    <t>corte de pasto casa</t>
  </si>
  <si>
    <t>Romancin Mateo</t>
  </si>
  <si>
    <t>magliano</t>
  </si>
  <si>
    <t>Schmit Pablo</t>
  </si>
  <si>
    <t>Clever Fernandez</t>
  </si>
  <si>
    <t>agua nativa</t>
  </si>
  <si>
    <t>Estenssoro Juan</t>
  </si>
  <si>
    <t>Bonancea Agustina</t>
  </si>
  <si>
    <t>Fanny Manassero adelantado repuestos</t>
  </si>
  <si>
    <t>Ignacio Magra</t>
  </si>
  <si>
    <t>Pucca Veronica adelantado</t>
  </si>
  <si>
    <t>Gatti Mariana</t>
  </si>
  <si>
    <t>Nancy Prá</t>
  </si>
  <si>
    <t>febrero</t>
  </si>
  <si>
    <t>Joaquin Tosello casual</t>
  </si>
  <si>
    <t>Carolina Depascuale adelantado bateria</t>
  </si>
  <si>
    <t>Calcomanias</t>
  </si>
  <si>
    <t>Ingreso a caja grande</t>
  </si>
  <si>
    <t>Trivigno Raul</t>
  </si>
  <si>
    <t>Varios</t>
  </si>
  <si>
    <t>Paredes Juan</t>
  </si>
  <si>
    <t>Barral Fernando</t>
  </si>
  <si>
    <t>mainardi</t>
  </si>
  <si>
    <t>Colombano Rodrigo por cheque</t>
  </si>
  <si>
    <t>verduleria</t>
  </si>
  <si>
    <t>Bomberos</t>
  </si>
  <si>
    <t>Comision domansky</t>
  </si>
  <si>
    <t>Alvarez Mauricio</t>
  </si>
  <si>
    <t>hurtado</t>
  </si>
  <si>
    <t>Borcetti Veronica</t>
  </si>
  <si>
    <t>Clemente Jose luis adelantado</t>
  </si>
  <si>
    <t>Caballero Jorge</t>
  </si>
  <si>
    <t>Paez Federico</t>
  </si>
  <si>
    <t>Monte</t>
  </si>
  <si>
    <t>SURMETAL</t>
  </si>
  <si>
    <t>SURMETAL efectivo</t>
  </si>
  <si>
    <t>Aldo repuestos</t>
  </si>
  <si>
    <t>wifi madre</t>
  </si>
  <si>
    <t>navarro jose luis</t>
  </si>
  <si>
    <t>Ristorto Ester</t>
  </si>
  <si>
    <t>mateo Romancin</t>
  </si>
  <si>
    <t>Victoria Airasca</t>
  </si>
  <si>
    <t>Carolina Depascuale bateria</t>
  </si>
  <si>
    <t>Borello gomero</t>
  </si>
  <si>
    <t>Agustin Roman</t>
  </si>
  <si>
    <t>pago Silvia Blanco</t>
  </si>
  <si>
    <t>Barovero Cristian</t>
  </si>
  <si>
    <t>Garay Elias</t>
  </si>
  <si>
    <t>Agustin Uretta</t>
  </si>
  <si>
    <t>calcos</t>
  </si>
  <si>
    <t>Gladys Guerrieri 100 USD</t>
  </si>
  <si>
    <t>Diorio German</t>
  </si>
  <si>
    <t>Benavidez Matias</t>
  </si>
  <si>
    <t>Enrique Ramanzin adelantado</t>
  </si>
  <si>
    <t>Clemente Jose Luis</t>
  </si>
  <si>
    <t>Airasca Gustavo 400usd + $5mil</t>
  </si>
  <si>
    <t>Costa Laura</t>
  </si>
  <si>
    <t>Molinari Santiago</t>
  </si>
  <si>
    <t>bilinsky miguel</t>
  </si>
  <si>
    <t xml:space="preserve">luz </t>
  </si>
  <si>
    <t>Fanny Manassero</t>
  </si>
  <si>
    <t>Rios Diego</t>
  </si>
  <si>
    <t>Bayo Titai</t>
  </si>
  <si>
    <t>Gaspar Irouleguy</t>
  </si>
  <si>
    <t>Ariel Sicott</t>
  </si>
  <si>
    <t>rollos de papel</t>
  </si>
  <si>
    <t>Repuestero</t>
  </si>
  <si>
    <t>Stap Nahuel</t>
  </si>
  <si>
    <t>Susana Urrutia</t>
  </si>
  <si>
    <t>supermercado</t>
  </si>
  <si>
    <t>Javier medina adelantado</t>
  </si>
  <si>
    <t>Quimwey</t>
  </si>
  <si>
    <t>Roca Pedro</t>
  </si>
  <si>
    <t>Gomez Alejandra</t>
  </si>
  <si>
    <t xml:space="preserve">Rentas </t>
  </si>
  <si>
    <t>Tarjeta de credito cordobesa</t>
  </si>
  <si>
    <t>tarjeta de credito BNA</t>
  </si>
  <si>
    <t>Sancor Seguros</t>
  </si>
  <si>
    <t>Telecom</t>
  </si>
  <si>
    <t>AFIP Monotributo</t>
  </si>
  <si>
    <t>monotributo</t>
  </si>
  <si>
    <t>Alquiler cba</t>
  </si>
  <si>
    <t xml:space="preserve">Pucca Veronica </t>
  </si>
  <si>
    <t>Castro Juan Carlos</t>
  </si>
  <si>
    <t>Gomez Alejandro</t>
  </si>
  <si>
    <t>Daniel Audicana</t>
  </si>
  <si>
    <t>Torres David</t>
  </si>
  <si>
    <t>Gladys Guerrieri</t>
  </si>
  <si>
    <t>Llanos Raquel</t>
  </si>
  <si>
    <t>Digenaro Julio adelantado</t>
  </si>
  <si>
    <t>Irrazabal Miguel</t>
  </si>
  <si>
    <t>Carrara Bocha</t>
  </si>
  <si>
    <t>comida perro</t>
  </si>
  <si>
    <t>Ferreyra Tomas</t>
  </si>
  <si>
    <t>Tosello Gaston</t>
  </si>
  <si>
    <t>Muñoz Gerardo</t>
  </si>
  <si>
    <t>Roxana Manito</t>
  </si>
  <si>
    <t>Mandrile Sebastian</t>
  </si>
  <si>
    <t>Vergara Marcelo</t>
  </si>
  <si>
    <t>Silvio berdus adelantado</t>
  </si>
  <si>
    <t>Cabral Guillermo</t>
  </si>
  <si>
    <t>bertea</t>
  </si>
  <si>
    <t>Airasca Gustavo</t>
  </si>
  <si>
    <t>visani ingeniero</t>
  </si>
  <si>
    <t>Dimarco Sebastian adelantado</t>
  </si>
  <si>
    <t>Medio litro d aceite 5w30</t>
  </si>
  <si>
    <t>PABLO</t>
  </si>
  <si>
    <t>marcelo monte</t>
  </si>
  <si>
    <t>Tato Etchart</t>
  </si>
  <si>
    <t>Quinteros Luis</t>
  </si>
  <si>
    <t>Cane Emiliano por cheque</t>
  </si>
  <si>
    <t>Rolando Juan</t>
  </si>
  <si>
    <t>Ramanzin Enrique</t>
  </si>
  <si>
    <t>Creativity</t>
  </si>
  <si>
    <t>Chemical</t>
  </si>
  <si>
    <t>Ojeda anibal</t>
  </si>
  <si>
    <t>Garay Jorge</t>
  </si>
  <si>
    <t>1lt aceite 15w40 daniel loeiro</t>
  </si>
  <si>
    <t>limpiador para manos</t>
  </si>
  <si>
    <t>Hurtado Repuestos</t>
  </si>
  <si>
    <t>Berna Mario</t>
  </si>
  <si>
    <t>Martina Carlos</t>
  </si>
  <si>
    <t>Medina Javier adelantado</t>
  </si>
  <si>
    <t>farmacia</t>
  </si>
  <si>
    <t>Acosta Silvina</t>
  </si>
  <si>
    <t>Castrol Morelli</t>
  </si>
  <si>
    <t>Estudio Contable</t>
  </si>
  <si>
    <t>Martinez Fermin adelantado</t>
  </si>
  <si>
    <t>Martinez Fermin 200usd adelantado</t>
  </si>
  <si>
    <t>Sthil Gutierrez</t>
  </si>
  <si>
    <t>Andrada Horacio</t>
  </si>
  <si>
    <t>Depascuale Carolina adelantado</t>
  </si>
  <si>
    <t>Properzi Juan Carlos</t>
  </si>
  <si>
    <t>Fernandez Facundo</t>
  </si>
  <si>
    <t>Fava Juan</t>
  </si>
  <si>
    <t>Carlos martina por cheque</t>
  </si>
  <si>
    <t>Veronica Pucca</t>
  </si>
  <si>
    <t>rio rep</t>
  </si>
  <si>
    <t>Pato toyos reposicion de cheque</t>
  </si>
  <si>
    <t>agua destilada</t>
  </si>
  <si>
    <t>Javier medina</t>
  </si>
  <si>
    <t xml:space="preserve">Dimarco Sebastian </t>
  </si>
  <si>
    <t>Tosello Joaquin</t>
  </si>
  <si>
    <t>Castillo</t>
  </si>
  <si>
    <t>Fiore Martin adelanto repuestos</t>
  </si>
  <si>
    <t>Tonello Pedro</t>
  </si>
  <si>
    <t>transferencia</t>
  </si>
  <si>
    <t>Alicia Mendizabal</t>
  </si>
  <si>
    <t>Fiore Martin</t>
  </si>
  <si>
    <t>cambio pitu rosas 100 usd</t>
  </si>
  <si>
    <t>Galiano inyectores moretti</t>
  </si>
  <si>
    <t>portones departamentos</t>
  </si>
  <si>
    <t>Giordano Hugo</t>
  </si>
  <si>
    <t>Repuestos fenoglio</t>
  </si>
  <si>
    <t>Baravalle Hugo</t>
  </si>
  <si>
    <t>Mainero Rodolfo</t>
  </si>
  <si>
    <t>Dominguez Mauricio</t>
  </si>
  <si>
    <t>magliano jorge</t>
  </si>
  <si>
    <t>Perviu Jorge</t>
  </si>
  <si>
    <t>E-cheq</t>
  </si>
  <si>
    <t>Chucho goria</t>
  </si>
  <si>
    <t>maria elena bueno</t>
  </si>
  <si>
    <t xml:space="preserve">Pico Gabriel </t>
  </si>
  <si>
    <t>Quaglia Dario</t>
  </si>
  <si>
    <t>Alvarez Pato</t>
  </si>
  <si>
    <t>Ballestrelli Horacio</t>
  </si>
  <si>
    <t>Maan Contructora</t>
  </si>
  <si>
    <t>radiador</t>
  </si>
  <si>
    <t>FACTURADO A SAS</t>
  </si>
  <si>
    <t>FCATURADO A SAS</t>
  </si>
  <si>
    <t>Pucca Veronica</t>
  </si>
  <si>
    <t>Anchaval Juan</t>
  </si>
  <si>
    <t>nativa</t>
  </si>
  <si>
    <t>Emanuel Boudoux</t>
  </si>
  <si>
    <t>Penoncello Vanesa</t>
  </si>
  <si>
    <t>Fermin Martinez</t>
  </si>
  <si>
    <t>cambio cheque pity fernandez</t>
  </si>
  <si>
    <t>Lopez Alejandra</t>
  </si>
  <si>
    <t>Avila Edgardo</t>
  </si>
  <si>
    <t>IVA</t>
  </si>
  <si>
    <t>pity fernandez</t>
  </si>
  <si>
    <t>Re fiat</t>
  </si>
  <si>
    <t>Ordoñez German</t>
  </si>
  <si>
    <t>Garcia Franco</t>
  </si>
  <si>
    <t>VEP</t>
  </si>
  <si>
    <t>Carrara Sabrina</t>
  </si>
  <si>
    <t>Domansky Mauro</t>
  </si>
  <si>
    <t>Guerriery Gladys adelanto</t>
  </si>
  <si>
    <t>Muguerza Martin</t>
  </si>
  <si>
    <t>Oleohidraulica RIO IV</t>
  </si>
  <si>
    <t>Nancy Pra</t>
  </si>
  <si>
    <t>pity fernandez por cheque</t>
  </si>
  <si>
    <t>hijos</t>
  </si>
  <si>
    <t>Aguirre Josefina</t>
  </si>
  <si>
    <t>Molinari Kike</t>
  </si>
  <si>
    <t xml:space="preserve">Guerriery Gladys </t>
  </si>
  <si>
    <t>2200USD</t>
  </si>
  <si>
    <t>Palloni Florencia</t>
  </si>
  <si>
    <t>compra usd</t>
  </si>
  <si>
    <t>Perez Carlos</t>
  </si>
  <si>
    <t>Rosende Gerardo</t>
  </si>
  <si>
    <t>Cometto Guillermo</t>
  </si>
  <si>
    <t>Godoy Fabian</t>
  </si>
  <si>
    <t>Prá Adolfo</t>
  </si>
  <si>
    <t>Fava Julian</t>
  </si>
  <si>
    <t>Isseta Marcelo</t>
  </si>
  <si>
    <t>Ricci Arturo</t>
  </si>
  <si>
    <t>carniceria verduleria</t>
  </si>
  <si>
    <t>Goria Chucho</t>
  </si>
  <si>
    <t>Noelia Caraveta</t>
  </si>
  <si>
    <t>Nevon Gladys</t>
  </si>
  <si>
    <t>Carranza Mauro</t>
  </si>
  <si>
    <t>Forcor</t>
  </si>
  <si>
    <t>Zambruno Guillermo</t>
  </si>
  <si>
    <t>Nave Diego</t>
  </si>
  <si>
    <t>Depascuale carolina</t>
  </si>
  <si>
    <t>pomo silicona</t>
  </si>
  <si>
    <t>caravario fernando</t>
  </si>
  <si>
    <t>Magra Roberto</t>
  </si>
  <si>
    <t>madre</t>
  </si>
  <si>
    <t>Sabaini Ignacio</t>
  </si>
  <si>
    <t>Mundo Chevrolet</t>
  </si>
  <si>
    <t>picco sergio</t>
  </si>
  <si>
    <t>toyos pato</t>
  </si>
  <si>
    <t>bueno maria elena</t>
  </si>
  <si>
    <t>uieldin patricio</t>
  </si>
  <si>
    <t>lucas gomez presupuesto</t>
  </si>
  <si>
    <t>Anconetani Karina</t>
  </si>
  <si>
    <t>Fiore martin</t>
  </si>
  <si>
    <t>honorarios presupuesto</t>
  </si>
  <si>
    <t>Barnard Agostina</t>
  </si>
  <si>
    <t>rosas alfredo</t>
  </si>
  <si>
    <t>Gauna Ivana</t>
  </si>
  <si>
    <t>Barnard Martin</t>
  </si>
  <si>
    <t>pago cliente casual</t>
  </si>
  <si>
    <t>Benitez Alciro Nestor</t>
  </si>
  <si>
    <t>D genaro Magali adelantado presupuesto</t>
  </si>
  <si>
    <t>guerrieri gladys</t>
  </si>
  <si>
    <t>Fenoglio Pablo</t>
  </si>
  <si>
    <t>X</t>
  </si>
  <si>
    <t>magliano metal</t>
  </si>
  <si>
    <t>Rodriguez Jorge</t>
  </si>
  <si>
    <t>x</t>
  </si>
  <si>
    <t>Marziali Veronica</t>
  </si>
  <si>
    <t>Luchi Suarez</t>
  </si>
  <si>
    <t>Berdus Silvio</t>
  </si>
  <si>
    <t>gastos personales</t>
  </si>
  <si>
    <t>gomez</t>
  </si>
  <si>
    <t>mansilla</t>
  </si>
  <si>
    <t>Bertea</t>
  </si>
  <si>
    <t xml:space="preserve">slovoyañoch cristian adelantado </t>
  </si>
  <si>
    <t>vetaro</t>
  </si>
  <si>
    <t>eva issetta</t>
  </si>
  <si>
    <t>Perviu Jorge (800 usd)</t>
  </si>
  <si>
    <t>Pereyra Miguel</t>
  </si>
  <si>
    <t>seguro</t>
  </si>
  <si>
    <t xml:space="preserve">tarjeta de credito visa </t>
  </si>
  <si>
    <t>depascuale carolina</t>
  </si>
  <si>
    <t>slovoyañoch adelantado</t>
  </si>
  <si>
    <t>Magris Victorio</t>
  </si>
  <si>
    <t>morina</t>
  </si>
  <si>
    <t>Tapa transp palloni</t>
  </si>
  <si>
    <t>filtros</t>
  </si>
  <si>
    <t>Scheffer Alberto</t>
  </si>
  <si>
    <t xml:space="preserve">Tryada </t>
  </si>
  <si>
    <t>Transporte morales</t>
  </si>
  <si>
    <t>lolo bustos</t>
  </si>
  <si>
    <t>Borzalino Cele</t>
  </si>
  <si>
    <t>Beta repuestos camiones iveco</t>
  </si>
  <si>
    <t>Ventura marcelo padre</t>
  </si>
  <si>
    <t>Perez Pocho</t>
  </si>
  <si>
    <t>sra duran</t>
  </si>
  <si>
    <t>Carrara Julio</t>
  </si>
  <si>
    <t>Rocca Pedro</t>
  </si>
  <si>
    <t>Carlina Bassino</t>
  </si>
  <si>
    <t>sarmiento repuestos</t>
  </si>
  <si>
    <t>aguinaldo pablo</t>
  </si>
  <si>
    <t>116 + comision q pago</t>
  </si>
  <si>
    <t>pablo schmit adelantado</t>
  </si>
  <si>
    <t>chemical</t>
  </si>
  <si>
    <t>lito reviglio</t>
  </si>
  <si>
    <t>marcos delvenga</t>
  </si>
  <si>
    <t>mansuino walter</t>
  </si>
  <si>
    <t>Mansilla</t>
  </si>
  <si>
    <t>Pablo Fenoglio</t>
  </si>
  <si>
    <t>tachos de aceite</t>
  </si>
  <si>
    <t>manassero fanny</t>
  </si>
  <si>
    <t>ramancin enrique</t>
  </si>
  <si>
    <t>irouleguy gaspar</t>
  </si>
  <si>
    <t>rolo</t>
  </si>
  <si>
    <t>scanner</t>
  </si>
  <si>
    <t>aldo repuestos</t>
  </si>
  <si>
    <t>Andrada Horacio adelantado</t>
  </si>
  <si>
    <t>oyola alberto</t>
  </si>
  <si>
    <t>reyes mirta</t>
  </si>
  <si>
    <t>franco garcia 300usd</t>
  </si>
  <si>
    <t xml:space="preserve">sergio coria radiador ford ka </t>
  </si>
  <si>
    <t>barnard agostina</t>
  </si>
  <si>
    <t>tevez jonatan</t>
  </si>
  <si>
    <t>Vallejos Cristian</t>
  </si>
  <si>
    <t>Pereyra Miguel adelanto distribucion</t>
  </si>
  <si>
    <t>gilli florencia</t>
  </si>
  <si>
    <t>Bertaina Mario</t>
  </si>
  <si>
    <t>Romero Damian</t>
  </si>
  <si>
    <t>Caravetta Noelia</t>
  </si>
  <si>
    <t>Becheran Gaston</t>
  </si>
  <si>
    <t>schmit pablo</t>
  </si>
  <si>
    <t>Wiesek Ruben</t>
  </si>
  <si>
    <t>re fiat</t>
  </si>
  <si>
    <t>Carabetta Noelia</t>
  </si>
  <si>
    <t>gutierrez sthil</t>
  </si>
  <si>
    <t>adolfo pra</t>
  </si>
  <si>
    <t>seguros</t>
  </si>
  <si>
    <t>supercanal</t>
  </si>
  <si>
    <t>camoati</t>
  </si>
  <si>
    <t>rentas</t>
  </si>
  <si>
    <t>(Varios elementos)</t>
  </si>
  <si>
    <t>Dondena Cristian</t>
  </si>
  <si>
    <t>Polanco Andres</t>
  </si>
  <si>
    <t>fava carlos</t>
  </si>
  <si>
    <t>juan coria</t>
  </si>
  <si>
    <t>gallo walter</t>
  </si>
  <si>
    <t xml:space="preserve">keegan </t>
  </si>
  <si>
    <t>Vilares Roberto</t>
  </si>
  <si>
    <t>Amioni Marta</t>
  </si>
  <si>
    <t>Pegoraro Sonia</t>
  </si>
  <si>
    <t>Beriani Nazarena</t>
  </si>
  <si>
    <t>tarjeta de credito</t>
  </si>
  <si>
    <t>shell bata</t>
  </si>
  <si>
    <t>Acotto</t>
  </si>
  <si>
    <t xml:space="preserve">slovoyañoch cristian </t>
  </si>
  <si>
    <t>cacciabue evangelina</t>
  </si>
  <si>
    <t>carrara Sandra adelantado</t>
  </si>
  <si>
    <t>pelliza kevin</t>
  </si>
  <si>
    <t>carrara luis</t>
  </si>
  <si>
    <t>100usd pizani</t>
  </si>
  <si>
    <t>Mendizabal Alicia</t>
  </si>
  <si>
    <t>Mendizabal Alicia adelantado</t>
  </si>
  <si>
    <t>galeano</t>
  </si>
  <si>
    <t>Rodriguez Martin</t>
  </si>
  <si>
    <t>Borello Matias</t>
  </si>
  <si>
    <t>fava juan</t>
  </si>
  <si>
    <t>magra roberto adelanto</t>
  </si>
  <si>
    <t>Pra adolfo</t>
  </si>
  <si>
    <t>rodriguez jorge</t>
  </si>
  <si>
    <t>cba</t>
  </si>
  <si>
    <t>Avila Micaela</t>
  </si>
  <si>
    <t>Trobatto Pablo</t>
  </si>
  <si>
    <t>motcor</t>
  </si>
  <si>
    <t>juan carlos coria</t>
  </si>
  <si>
    <t>cipolla miren</t>
  </si>
  <si>
    <t>cuevas jorge</t>
  </si>
  <si>
    <t>Gualpas Juanita</t>
  </si>
  <si>
    <t>luminar</t>
  </si>
  <si>
    <t>Slovoyañoch Cristian</t>
  </si>
  <si>
    <t>Curti Carlos 1/2 ACEITE</t>
  </si>
  <si>
    <t>Balestrelli Valeria</t>
  </si>
  <si>
    <t>fermin martinez</t>
  </si>
  <si>
    <t>comision transferencias</t>
  </si>
  <si>
    <t>DBCR</t>
  </si>
  <si>
    <t>Retencion IIBB</t>
  </si>
  <si>
    <t>airasca gustavo</t>
  </si>
  <si>
    <t>Picco Miguel</t>
  </si>
  <si>
    <t>esquinero</t>
  </si>
  <si>
    <t>acotto</t>
  </si>
  <si>
    <t>verna mario</t>
  </si>
  <si>
    <t>Herrero Marcelo</t>
  </si>
  <si>
    <t>Jorge Rodriguez</t>
  </si>
  <si>
    <t>Andrea Perafan</t>
  </si>
  <si>
    <t>LAX</t>
  </si>
  <si>
    <t>jani gigante</t>
  </si>
  <si>
    <t>venta aceite usado</t>
  </si>
  <si>
    <t>Efectivo Personal</t>
  </si>
  <si>
    <t>rodrigo gheit</t>
  </si>
  <si>
    <t>scheffer rodrigo</t>
  </si>
  <si>
    <t>aguilera pablo</t>
  </si>
  <si>
    <t>mainero sofia</t>
  </si>
  <si>
    <t>avila micaela</t>
  </si>
  <si>
    <t>cometto julia</t>
  </si>
  <si>
    <t>fantini antonio</t>
  </si>
  <si>
    <t>raul argañaraz x franco cometto</t>
  </si>
  <si>
    <t>franco cometto</t>
  </si>
  <si>
    <t>dominguez juan</t>
  </si>
  <si>
    <t>pini wiesek</t>
  </si>
  <si>
    <t>flores carlos</t>
  </si>
  <si>
    <t>coria</t>
  </si>
  <si>
    <t>perafan andrea</t>
  </si>
  <si>
    <t>kako lopez</t>
  </si>
  <si>
    <t>wifi</t>
  </si>
  <si>
    <t>mirta reyes</t>
  </si>
  <si>
    <t>cuaglia agua destilada</t>
  </si>
  <si>
    <t>birche ariel</t>
  </si>
  <si>
    <t>carrara bocha</t>
  </si>
  <si>
    <t>aimar litro de aceite 10w40</t>
  </si>
  <si>
    <t>angeleri monica</t>
  </si>
  <si>
    <t>escudero gaston</t>
  </si>
  <si>
    <t>mendizabal alicia</t>
  </si>
  <si>
    <t>tarjeta credito</t>
  </si>
  <si>
    <t>dbcr</t>
  </si>
  <si>
    <t>vep</t>
  </si>
  <si>
    <t>digenaro julio</t>
  </si>
  <si>
    <t>fantini antonio adelanto</t>
  </si>
  <si>
    <t>sancor seguros</t>
  </si>
  <si>
    <t>gigante jani</t>
  </si>
  <si>
    <t>rectificadora debernardi</t>
  </si>
  <si>
    <t>dutto mariano</t>
  </si>
  <si>
    <t>principi carlos</t>
  </si>
  <si>
    <t>espinoza javito</t>
  </si>
  <si>
    <t>paez federico</t>
  </si>
  <si>
    <t>bengolea even</t>
  </si>
  <si>
    <t>ferrando elba</t>
  </si>
  <si>
    <t>guggia</t>
  </si>
  <si>
    <t>cognini</t>
  </si>
  <si>
    <t>daniela alarcon</t>
  </si>
  <si>
    <t>merlo gaston adelantado</t>
  </si>
  <si>
    <t>possi ricardo</t>
  </si>
  <si>
    <t>sebastian moro adelantado</t>
  </si>
  <si>
    <t>silveira alejandro</t>
  </si>
  <si>
    <t>federico</t>
  </si>
  <si>
    <t>la casa del elastico</t>
  </si>
  <si>
    <t>dalma molina</t>
  </si>
  <si>
    <t>molina dalma</t>
  </si>
  <si>
    <t>sergio coria</t>
  </si>
  <si>
    <t>cabrero marta</t>
  </si>
  <si>
    <t>colombano rodrigo</t>
  </si>
  <si>
    <t>jose maria paz</t>
  </si>
  <si>
    <t>molinari kike</t>
  </si>
  <si>
    <t>cesar gonzalez</t>
  </si>
  <si>
    <t>garay jorge</t>
  </si>
  <si>
    <t>saladino guillermo</t>
  </si>
  <si>
    <t>etchart tato</t>
  </si>
  <si>
    <t>anastasi dario</t>
  </si>
  <si>
    <t>guillermo morales</t>
  </si>
  <si>
    <t>weizur</t>
  </si>
  <si>
    <t>giorgis juan carlos</t>
  </si>
  <si>
    <t>llaveros</t>
  </si>
  <si>
    <t>lucero claudio</t>
  </si>
  <si>
    <t>nancy pra</t>
  </si>
  <si>
    <t>acotto santiago</t>
  </si>
  <si>
    <t>andres baravalle</t>
  </si>
  <si>
    <t>luciana isasi</t>
  </si>
  <si>
    <t>mauro carranza</t>
  </si>
  <si>
    <t>berdus silvio</t>
  </si>
  <si>
    <t>manito roxana</t>
  </si>
  <si>
    <t>zallocco belen</t>
  </si>
  <si>
    <t>mundo chevrolet</t>
  </si>
  <si>
    <t>insumos</t>
  </si>
  <si>
    <t>salas jesus adelanto</t>
  </si>
  <si>
    <t>debitos bancarios todos</t>
  </si>
  <si>
    <t>ruso jose</t>
  </si>
  <si>
    <t>albin damian</t>
  </si>
  <si>
    <t>benavidez carlos</t>
  </si>
  <si>
    <t>jose marmol ejes</t>
  </si>
  <si>
    <t>munic comercio</t>
  </si>
  <si>
    <t>proietti mariano</t>
  </si>
  <si>
    <t>flores juani</t>
  </si>
  <si>
    <t>silvana lucero adelantado</t>
  </si>
  <si>
    <t>pizzani nicolas</t>
  </si>
  <si>
    <t>monte marcelo</t>
  </si>
  <si>
    <t>donadio raquel</t>
  </si>
  <si>
    <t>nutrien</t>
  </si>
  <si>
    <t>todo vw</t>
  </si>
  <si>
    <t>surjak sergio</t>
  </si>
  <si>
    <t>giagante valeria</t>
  </si>
  <si>
    <t>marcone facundo</t>
  </si>
  <si>
    <t>calderon adelantado</t>
  </si>
  <si>
    <t>otategui sergio</t>
  </si>
  <si>
    <t>solari</t>
  </si>
  <si>
    <t>emanuel picco</t>
  </si>
  <si>
    <t>wiesek ruben</t>
  </si>
  <si>
    <t>perviu jorge</t>
  </si>
  <si>
    <t>jorge gomez x sujat</t>
  </si>
  <si>
    <t>penoncello vanesa</t>
  </si>
  <si>
    <t>chiapello silvia</t>
  </si>
  <si>
    <t>ameri rodrigo</t>
  </si>
  <si>
    <t>paez federico repone gasto de comision</t>
  </si>
  <si>
    <t>tranquilli silvio</t>
  </si>
  <si>
    <t>alarcon daniela</t>
  </si>
  <si>
    <t>carrara sandra adelanta</t>
  </si>
  <si>
    <t>lopez kako</t>
  </si>
  <si>
    <t>julian martinengo</t>
  </si>
  <si>
    <t>trobatto pablo</t>
  </si>
  <si>
    <t>cometto franco</t>
  </si>
  <si>
    <t>alicia altamirano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</si>
</sst>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&quot;$&quot;\ * #,##0.00_ ;_ &quot;$&quot;\ * \-#,##0.00_ ;_ &quot;$&quot;\ * &quot;-&quot;??_ ;_ @_ "/>
    <numFmt numFmtId="165" formatCode="[$-C0A]mmm\-yy;@"/>
    <numFmt numFmtId="166" formatCode="&quot;$&quot;\ #,##0.00"/>
    <numFmt numFmtId="167" formatCode="0.0%"/>
    <numFmt numFmtId="168" formatCode="&quot;$&quot;\ #,##0.00;[Red]&quot;$&quot;\ #,##0.00"/>
    <numFmt numFmtId="169" formatCode="d\-m\-yy;@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0">
    <xf numFmtId="165" fontId="0" fillId="0" borderId="0"/>
    <xf numFmtId="165" fontId="3" fillId="0" borderId="0"/>
    <xf numFmtId="164" fontId="3" fillId="0" borderId="0" applyFont="0" applyFill="0" applyBorder="0" applyAlignment="0" applyProtection="0"/>
    <xf numFmtId="165" fontId="5" fillId="0" borderId="0">
      <alignment horizontal="left" indent="1"/>
    </xf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3" fillId="0" borderId="0"/>
    <xf numFmtId="165" fontId="5" fillId="0" borderId="0"/>
    <xf numFmtId="165" fontId="3" fillId="0" borderId="0"/>
    <xf numFmtId="165" fontId="5" fillId="0" borderId="0"/>
    <xf numFmtId="165" fontId="5" fillId="0" borderId="0"/>
    <xf numFmtId="165" fontId="3" fillId="0" borderId="0"/>
    <xf numFmtId="165" fontId="5" fillId="0" borderId="0"/>
    <xf numFmtId="165" fontId="3" fillId="0" borderId="0"/>
    <xf numFmtId="165" fontId="5" fillId="0" borderId="0"/>
    <xf numFmtId="165" fontId="5" fillId="0" borderId="0"/>
    <xf numFmtId="165" fontId="3" fillId="0" borderId="0"/>
    <xf numFmtId="165" fontId="3" fillId="0" borderId="0"/>
    <xf numFmtId="165" fontId="3" fillId="0" borderId="0"/>
    <xf numFmtId="165" fontId="5" fillId="0" borderId="0"/>
    <xf numFmtId="165" fontId="5" fillId="0" borderId="0"/>
    <xf numFmtId="165" fontId="5" fillId="0" borderId="0"/>
    <xf numFmtId="165" fontId="3" fillId="0" borderId="0"/>
    <xf numFmtId="165" fontId="5" fillId="0" borderId="0"/>
    <xf numFmtId="165" fontId="5" fillId="0" borderId="0"/>
    <xf numFmtId="165" fontId="5" fillId="0" borderId="0"/>
    <xf numFmtId="165" fontId="3" fillId="0" borderId="0"/>
    <xf numFmtId="165" fontId="5" fillId="0" borderId="0"/>
    <xf numFmtId="165" fontId="5" fillId="0" borderId="0"/>
    <xf numFmtId="165" fontId="5" fillId="0" borderId="0"/>
    <xf numFmtId="165" fontId="3" fillId="0" borderId="0"/>
    <xf numFmtId="165" fontId="5" fillId="0" borderId="0"/>
    <xf numFmtId="165" fontId="3" fillId="0" borderId="0"/>
    <xf numFmtId="165" fontId="5" fillId="0" borderId="0"/>
    <xf numFmtId="165" fontId="5" fillId="0" borderId="0"/>
    <xf numFmtId="165" fontId="3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3" fillId="0" borderId="0"/>
    <xf numFmtId="0" fontId="5" fillId="0" borderId="0"/>
    <xf numFmtId="0" fontId="5" fillId="0" borderId="0"/>
    <xf numFmtId="165" fontId="5" fillId="0" borderId="0"/>
    <xf numFmtId="165" fontId="3" fillId="0" borderId="0"/>
    <xf numFmtId="165" fontId="5" fillId="0" borderId="0"/>
    <xf numFmtId="165" fontId="3" fillId="0" borderId="0"/>
    <xf numFmtId="165" fontId="5" fillId="0" borderId="0"/>
    <xf numFmtId="165" fontId="5" fillId="0" borderId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  <xf numFmtId="165" fontId="10" fillId="0" borderId="0" applyNumberFormat="0" applyFill="0" applyBorder="0" applyAlignment="0" applyProtection="0"/>
    <xf numFmtId="165" fontId="11" fillId="0" borderId="0" applyNumberFormat="0" applyFill="0" applyBorder="0" applyAlignment="0" applyProtection="0"/>
  </cellStyleXfs>
  <cellXfs count="203">
    <xf numFmtId="165" fontId="0" fillId="0" borderId="0" xfId="0"/>
    <xf numFmtId="165" fontId="0" fillId="0" borderId="0" xfId="0" applyAlignment="1">
      <alignment horizontal="left"/>
    </xf>
    <xf numFmtId="165" fontId="0" fillId="3" borderId="0" xfId="0" applyFill="1"/>
    <xf numFmtId="4" fontId="0" fillId="0" borderId="0" xfId="0" applyNumberFormat="1"/>
    <xf numFmtId="165" fontId="0" fillId="2" borderId="2" xfId="0" applyFill="1" applyBorder="1"/>
    <xf numFmtId="165" fontId="0" fillId="0" borderId="0" xfId="0" pivotButton="1"/>
    <xf numFmtId="165" fontId="0" fillId="0" borderId="0" xfId="0" applyAlignment="1">
      <alignment horizontal="left" indent="1"/>
    </xf>
    <xf numFmtId="165" fontId="0" fillId="2" borderId="2" xfId="0" applyFill="1" applyBorder="1" applyAlignment="1">
      <alignment horizontal="left"/>
    </xf>
    <xf numFmtId="165" fontId="0" fillId="2" borderId="3" xfId="0" applyFill="1" applyBorder="1"/>
    <xf numFmtId="165" fontId="0" fillId="2" borderId="5" xfId="0" applyFill="1" applyBorder="1"/>
    <xf numFmtId="165" fontId="0" fillId="2" borderId="5" xfId="0" applyFill="1" applyBorder="1" applyAlignment="1">
      <alignment horizontal="left"/>
    </xf>
    <xf numFmtId="165" fontId="0" fillId="2" borderId="0" xfId="0" applyFill="1"/>
    <xf numFmtId="3" fontId="0" fillId="0" borderId="0" xfId="0" applyNumberFormat="1"/>
    <xf numFmtId="165" fontId="6" fillId="2" borderId="2" xfId="0" applyFont="1" applyFill="1" applyBorder="1"/>
    <xf numFmtId="165" fontId="6" fillId="2" borderId="2" xfId="0" applyFont="1" applyFill="1" applyBorder="1" applyAlignment="1">
      <alignment horizontal="left"/>
    </xf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6" fontId="0" fillId="0" borderId="0" xfId="0" applyNumberFormat="1"/>
    <xf numFmtId="165" fontId="6" fillId="2" borderId="3" xfId="0" applyFont="1" applyFill="1" applyBorder="1"/>
    <xf numFmtId="165" fontId="6" fillId="2" borderId="3" xfId="0" applyFont="1" applyFill="1" applyBorder="1" applyAlignment="1">
      <alignment horizontal="left"/>
    </xf>
    <xf numFmtId="165" fontId="0" fillId="2" borderId="3" xfId="0" applyFill="1" applyBorder="1" applyAlignment="1">
      <alignment horizontal="left"/>
    </xf>
    <xf numFmtId="166" fontId="0" fillId="2" borderId="2" xfId="0" applyNumberFormat="1" applyFill="1" applyBorder="1"/>
    <xf numFmtId="1" fontId="0" fillId="2" borderId="3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6" fontId="0" fillId="2" borderId="0" xfId="0" applyNumberFormat="1" applyFill="1"/>
    <xf numFmtId="166" fontId="0" fillId="2" borderId="0" xfId="0" applyNumberFormat="1" applyFill="1" applyAlignment="1">
      <alignment horizontal="right"/>
    </xf>
    <xf numFmtId="166" fontId="0" fillId="2" borderId="2" xfId="0" applyNumberFormat="1" applyFill="1" applyBorder="1" applyAlignment="1">
      <alignment horizontal="right"/>
    </xf>
    <xf numFmtId="165" fontId="2" fillId="6" borderId="8" xfId="0" applyFont="1" applyFill="1" applyBorder="1"/>
    <xf numFmtId="0" fontId="0" fillId="0" borderId="0" xfId="0" applyNumberFormat="1"/>
    <xf numFmtId="165" fontId="0" fillId="0" borderId="1" xfId="0" applyBorder="1" applyAlignment="1">
      <alignment horizontal="left" indent="1"/>
    </xf>
    <xf numFmtId="165" fontId="1" fillId="4" borderId="1" xfId="0" applyFont="1" applyFill="1" applyBorder="1" applyAlignment="1">
      <alignment horizontal="center"/>
    </xf>
    <xf numFmtId="166" fontId="0" fillId="0" borderId="1" xfId="0" applyNumberFormat="1" applyBorder="1"/>
    <xf numFmtId="166" fontId="1" fillId="4" borderId="1" xfId="0" applyNumberFormat="1" applyFont="1" applyFill="1" applyBorder="1" applyAlignment="1">
      <alignment horizontal="center"/>
    </xf>
    <xf numFmtId="167" fontId="0" fillId="3" borderId="0" xfId="4" applyNumberFormat="1" applyFont="1" applyFill="1"/>
    <xf numFmtId="10" fontId="0" fillId="3" borderId="0" xfId="0" applyNumberFormat="1" applyFill="1"/>
    <xf numFmtId="9" fontId="0" fillId="3" borderId="0" xfId="4" applyFont="1" applyFill="1"/>
    <xf numFmtId="166" fontId="0" fillId="3" borderId="0" xfId="0" applyNumberFormat="1" applyFill="1"/>
    <xf numFmtId="2" fontId="0" fillId="0" borderId="0" xfId="0" applyNumberFormat="1"/>
    <xf numFmtId="2" fontId="6" fillId="0" borderId="1" xfId="0" applyNumberFormat="1" applyFont="1" applyBorder="1"/>
    <xf numFmtId="2" fontId="0" fillId="0" borderId="1" xfId="0" applyNumberFormat="1" applyBorder="1"/>
    <xf numFmtId="2" fontId="6" fillId="0" borderId="12" xfId="0" applyNumberFormat="1" applyFont="1" applyBorder="1"/>
    <xf numFmtId="2" fontId="0" fillId="0" borderId="12" xfId="0" applyNumberFormat="1" applyBorder="1"/>
    <xf numFmtId="2" fontId="6" fillId="0" borderId="17" xfId="0" applyNumberFormat="1" applyFont="1" applyBorder="1"/>
    <xf numFmtId="2" fontId="0" fillId="0" borderId="17" xfId="0" applyNumberFormat="1" applyBorder="1"/>
    <xf numFmtId="0" fontId="2" fillId="6" borderId="8" xfId="0" applyNumberFormat="1" applyFont="1" applyFill="1" applyBorder="1"/>
    <xf numFmtId="0" fontId="2" fillId="6" borderId="0" xfId="0" applyNumberFormat="1" applyFont="1" applyFill="1"/>
    <xf numFmtId="1" fontId="0" fillId="0" borderId="0" xfId="0" applyNumberFormat="1" applyAlignment="1">
      <alignment horizontal="center"/>
    </xf>
    <xf numFmtId="166" fontId="6" fillId="2" borderId="2" xfId="0" applyNumberFormat="1" applyFont="1" applyFill="1" applyBorder="1"/>
    <xf numFmtId="166" fontId="6" fillId="2" borderId="4" xfId="0" applyNumberFormat="1" applyFont="1" applyFill="1" applyBorder="1"/>
    <xf numFmtId="165" fontId="9" fillId="7" borderId="0" xfId="0" applyFont="1" applyFill="1" applyAlignment="1" applyProtection="1">
      <alignment vertical="center"/>
      <protection locked="0"/>
    </xf>
    <xf numFmtId="166" fontId="8" fillId="2" borderId="2" xfId="0" applyNumberFormat="1" applyFont="1" applyFill="1" applyBorder="1" applyAlignment="1">
      <alignment horizontal="center"/>
    </xf>
    <xf numFmtId="165" fontId="0" fillId="10" borderId="0" xfId="0" applyFill="1"/>
    <xf numFmtId="14" fontId="0" fillId="2" borderId="2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right"/>
    </xf>
    <xf numFmtId="165" fontId="1" fillId="8" borderId="1" xfId="0" applyFont="1" applyFill="1" applyBorder="1" applyAlignment="1">
      <alignment horizontal="center" vertical="center" wrapText="1"/>
    </xf>
    <xf numFmtId="165" fontId="1" fillId="9" borderId="1" xfId="0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left"/>
    </xf>
    <xf numFmtId="166" fontId="0" fillId="2" borderId="2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5" fontId="9" fillId="7" borderId="0" xfId="0" applyFont="1" applyFill="1" applyAlignment="1" applyProtection="1">
      <alignment horizontal="center" vertical="center"/>
      <protection locked="0"/>
    </xf>
    <xf numFmtId="14" fontId="0" fillId="2" borderId="5" xfId="0" applyNumberFormat="1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165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9" fillId="7" borderId="0" xfId="0" applyFont="1" applyFill="1" applyAlignment="1" applyProtection="1">
      <alignment horizontal="left" vertical="center"/>
      <protection locked="0"/>
    </xf>
    <xf numFmtId="165" fontId="1" fillId="8" borderId="1" xfId="0" applyFont="1" applyFill="1" applyBorder="1" applyAlignment="1">
      <alignment horizontal="left" vertical="center" wrapText="1"/>
    </xf>
    <xf numFmtId="1" fontId="0" fillId="2" borderId="2" xfId="0" applyNumberFormat="1" applyFill="1" applyBorder="1" applyAlignment="1">
      <alignment horizontal="left"/>
    </xf>
    <xf numFmtId="1" fontId="0" fillId="2" borderId="5" xfId="0" applyNumberFormat="1" applyFill="1" applyBorder="1" applyAlignment="1">
      <alignment horizontal="left"/>
    </xf>
    <xf numFmtId="1" fontId="6" fillId="2" borderId="3" xfId="0" applyNumberFormat="1" applyFont="1" applyFill="1" applyBorder="1" applyAlignment="1">
      <alignment horizontal="left"/>
    </xf>
    <xf numFmtId="1" fontId="6" fillId="2" borderId="2" xfId="0" applyNumberFormat="1" applyFon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1" fontId="0" fillId="0" borderId="0" xfId="0" applyNumberFormat="1" applyAlignment="1">
      <alignment horizontal="left"/>
    </xf>
    <xf numFmtId="1" fontId="6" fillId="2" borderId="2" xfId="0" applyNumberFormat="1" applyFont="1" applyFill="1" applyBorder="1" applyAlignment="1">
      <alignment horizontal="center"/>
    </xf>
    <xf numFmtId="14" fontId="12" fillId="2" borderId="2" xfId="0" applyNumberFormat="1" applyFont="1" applyFill="1" applyBorder="1" applyAlignment="1">
      <alignment horizontal="center"/>
    </xf>
    <xf numFmtId="165" fontId="12" fillId="2" borderId="2" xfId="0" applyFont="1" applyFill="1" applyBorder="1" applyAlignment="1">
      <alignment horizontal="left"/>
    </xf>
    <xf numFmtId="14" fontId="8" fillId="2" borderId="2" xfId="0" applyNumberFormat="1" applyFont="1" applyFill="1" applyBorder="1" applyAlignment="1">
      <alignment horizontal="center"/>
    </xf>
    <xf numFmtId="165" fontId="8" fillId="2" borderId="2" xfId="0" applyFont="1" applyFill="1" applyBorder="1" applyAlignment="1">
      <alignment horizontal="left"/>
    </xf>
    <xf numFmtId="14" fontId="13" fillId="2" borderId="2" xfId="0" applyNumberFormat="1" applyFont="1" applyFill="1" applyBorder="1" applyAlignment="1">
      <alignment horizontal="center"/>
    </xf>
    <xf numFmtId="165" fontId="13" fillId="2" borderId="2" xfId="0" applyFont="1" applyFill="1" applyBorder="1" applyAlignment="1">
      <alignment horizontal="left"/>
    </xf>
    <xf numFmtId="165" fontId="5" fillId="10" borderId="0" xfId="19" applyFill="1"/>
    <xf numFmtId="165" fontId="0" fillId="2" borderId="0" xfId="0" applyFill="1" applyAlignment="1">
      <alignment horizontal="left"/>
    </xf>
    <xf numFmtId="14" fontId="0" fillId="11" borderId="2" xfId="0" applyNumberFormat="1" applyFill="1" applyBorder="1" applyAlignment="1">
      <alignment horizontal="center"/>
    </xf>
    <xf numFmtId="1" fontId="0" fillId="11" borderId="2" xfId="0" applyNumberFormat="1" applyFill="1" applyBorder="1" applyAlignment="1">
      <alignment horizontal="center"/>
    </xf>
    <xf numFmtId="165" fontId="0" fillId="11" borderId="2" xfId="0" applyFill="1" applyBorder="1" applyAlignment="1">
      <alignment horizontal="left"/>
    </xf>
    <xf numFmtId="166" fontId="6" fillId="11" borderId="2" xfId="0" applyNumberFormat="1" applyFont="1" applyFill="1" applyBorder="1"/>
    <xf numFmtId="166" fontId="6" fillId="11" borderId="4" xfId="0" applyNumberFormat="1" applyFont="1" applyFill="1" applyBorder="1"/>
    <xf numFmtId="166" fontId="0" fillId="11" borderId="0" xfId="0" applyNumberFormat="1" applyFill="1"/>
    <xf numFmtId="165" fontId="0" fillId="11" borderId="0" xfId="0" applyFill="1"/>
    <xf numFmtId="1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5" fontId="0" fillId="0" borderId="2" xfId="0" applyBorder="1" applyAlignment="1">
      <alignment horizontal="left"/>
    </xf>
    <xf numFmtId="166" fontId="6" fillId="0" borderId="2" xfId="0" applyNumberFormat="1" applyFont="1" applyBorder="1"/>
    <xf numFmtId="166" fontId="6" fillId="0" borderId="4" xfId="0" applyNumberFormat="1" applyFont="1" applyBorder="1"/>
    <xf numFmtId="14" fontId="0" fillId="12" borderId="2" xfId="0" applyNumberFormat="1" applyFill="1" applyBorder="1" applyAlignment="1">
      <alignment horizontal="center"/>
    </xf>
    <xf numFmtId="165" fontId="0" fillId="12" borderId="2" xfId="0" applyFill="1" applyBorder="1" applyAlignment="1">
      <alignment horizontal="left"/>
    </xf>
    <xf numFmtId="165" fontId="2" fillId="10" borderId="0" xfId="0" applyFont="1" applyFill="1"/>
    <xf numFmtId="14" fontId="8" fillId="0" borderId="2" xfId="0" applyNumberFormat="1" applyFont="1" applyBorder="1" applyAlignment="1">
      <alignment horizontal="center"/>
    </xf>
    <xf numFmtId="165" fontId="8" fillId="0" borderId="2" xfId="0" applyFont="1" applyBorder="1" applyAlignment="1">
      <alignment horizontal="left"/>
    </xf>
    <xf numFmtId="165" fontId="0" fillId="2" borderId="3" xfId="0" applyFill="1" applyBorder="1" applyAlignment="1">
      <alignment horizontal="center"/>
    </xf>
    <xf numFmtId="165" fontId="0" fillId="2" borderId="2" xfId="0" applyFill="1" applyBorder="1" applyAlignment="1">
      <alignment horizontal="center"/>
    </xf>
    <xf numFmtId="165" fontId="0" fillId="0" borderId="2" xfId="0" applyBorder="1" applyAlignment="1">
      <alignment horizontal="center"/>
    </xf>
    <xf numFmtId="165" fontId="0" fillId="11" borderId="2" xfId="0" applyFill="1" applyBorder="1" applyAlignment="1">
      <alignment horizontal="center"/>
    </xf>
    <xf numFmtId="165" fontId="8" fillId="2" borderId="2" xfId="0" applyFont="1" applyFill="1" applyBorder="1" applyAlignment="1">
      <alignment horizontal="center"/>
    </xf>
    <xf numFmtId="165" fontId="12" fillId="2" borderId="2" xfId="0" applyFont="1" applyFill="1" applyBorder="1" applyAlignment="1">
      <alignment horizontal="center"/>
    </xf>
    <xf numFmtId="165" fontId="6" fillId="2" borderId="2" xfId="0" applyFont="1" applyFill="1" applyBorder="1" applyAlignment="1">
      <alignment horizontal="center"/>
    </xf>
    <xf numFmtId="165" fontId="13" fillId="2" borderId="2" xfId="0" applyFont="1" applyFill="1" applyBorder="1" applyAlignment="1">
      <alignment horizontal="center"/>
    </xf>
    <xf numFmtId="165" fontId="0" fillId="12" borderId="2" xfId="0" applyFill="1" applyBorder="1" applyAlignment="1">
      <alignment horizontal="center"/>
    </xf>
    <xf numFmtId="165" fontId="8" fillId="0" borderId="2" xfId="0" applyFont="1" applyBorder="1" applyAlignment="1">
      <alignment horizontal="center"/>
    </xf>
    <xf numFmtId="14" fontId="9" fillId="7" borderId="0" xfId="0" applyNumberFormat="1" applyFont="1" applyFill="1" applyAlignment="1" applyProtection="1">
      <alignment horizontal="center" vertical="center"/>
      <protection locked="0"/>
    </xf>
    <xf numFmtId="165" fontId="0" fillId="2" borderId="4" xfId="0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11" borderId="2" xfId="0" applyNumberFormat="1" applyFill="1" applyBorder="1" applyAlignment="1">
      <alignment horizontal="center"/>
    </xf>
    <xf numFmtId="166" fontId="12" fillId="2" borderId="2" xfId="0" applyNumberFormat="1" applyFont="1" applyFill="1" applyBorder="1" applyAlignment="1">
      <alignment horizontal="center"/>
    </xf>
    <xf numFmtId="166" fontId="6" fillId="2" borderId="2" xfId="0" applyNumberFormat="1" applyFont="1" applyFill="1" applyBorder="1" applyAlignment="1">
      <alignment horizontal="center"/>
    </xf>
    <xf numFmtId="166" fontId="13" fillId="2" borderId="2" xfId="0" applyNumberFormat="1" applyFont="1" applyFill="1" applyBorder="1" applyAlignment="1">
      <alignment horizontal="center"/>
    </xf>
    <xf numFmtId="166" fontId="0" fillId="12" borderId="2" xfId="0" applyNumberFormat="1" applyFill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0" fontId="0" fillId="0" borderId="0" xfId="0" applyNumberFormat="1" applyAlignment="1">
      <alignment horizontal="left"/>
    </xf>
    <xf numFmtId="1" fontId="0" fillId="0" borderId="2" xfId="0" applyNumberFormat="1" applyBorder="1" applyAlignment="1">
      <alignment horizontal="left"/>
    </xf>
    <xf numFmtId="165" fontId="0" fillId="0" borderId="2" xfId="0" applyBorder="1"/>
    <xf numFmtId="0" fontId="0" fillId="0" borderId="2" xfId="0" applyNumberFormat="1" applyBorder="1" applyAlignment="1">
      <alignment horizontal="left"/>
    </xf>
    <xf numFmtId="169" fontId="6" fillId="2" borderId="2" xfId="0" applyNumberFormat="1" applyFont="1" applyFill="1" applyBorder="1"/>
    <xf numFmtId="169" fontId="9" fillId="7" borderId="0" xfId="0" applyNumberFormat="1" applyFont="1" applyFill="1" applyAlignment="1" applyProtection="1">
      <alignment vertical="center"/>
      <protection locked="0"/>
    </xf>
    <xf numFmtId="169" fontId="1" fillId="8" borderId="1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169" fontId="6" fillId="0" borderId="2" xfId="0" applyNumberFormat="1" applyFont="1" applyBorder="1"/>
    <xf numFmtId="165" fontId="0" fillId="0" borderId="0" xfId="0" pivotButton="1" applyAlignment="1">
      <alignment horizontal="center"/>
    </xf>
    <xf numFmtId="165" fontId="2" fillId="0" borderId="0" xfId="0" pivotButton="1" applyFont="1"/>
    <xf numFmtId="14" fontId="14" fillId="2" borderId="2" xfId="0" applyNumberFormat="1" applyFont="1" applyFill="1" applyBorder="1" applyAlignment="1">
      <alignment horizontal="center"/>
    </xf>
    <xf numFmtId="165" fontId="14" fillId="2" borderId="2" xfId="0" applyFont="1" applyFill="1" applyBorder="1" applyAlignment="1">
      <alignment horizontal="center"/>
    </xf>
    <xf numFmtId="165" fontId="14" fillId="2" borderId="2" xfId="0" applyFont="1" applyFill="1" applyBorder="1" applyAlignment="1">
      <alignment horizontal="left"/>
    </xf>
    <xf numFmtId="166" fontId="14" fillId="2" borderId="2" xfId="0" applyNumberFormat="1" applyFont="1" applyFill="1" applyBorder="1" applyAlignment="1">
      <alignment horizontal="center"/>
    </xf>
    <xf numFmtId="166" fontId="6" fillId="2" borderId="0" xfId="0" applyNumberFormat="1" applyFont="1" applyFill="1" applyAlignment="1">
      <alignment horizontal="right"/>
    </xf>
    <xf numFmtId="166" fontId="6" fillId="0" borderId="2" xfId="0" applyNumberFormat="1" applyFont="1" applyBorder="1" applyAlignment="1">
      <alignment horizontal="center"/>
    </xf>
    <xf numFmtId="169" fontId="0" fillId="0" borderId="2" xfId="0" applyNumberFormat="1" applyBorder="1"/>
    <xf numFmtId="1" fontId="0" fillId="2" borderId="0" xfId="0" applyNumberFormat="1" applyFill="1" applyAlignment="1">
      <alignment horizontal="center"/>
    </xf>
    <xf numFmtId="165" fontId="0" fillId="10" borderId="0" xfId="19" applyFont="1" applyFill="1"/>
    <xf numFmtId="166" fontId="6" fillId="2" borderId="0" xfId="0" applyNumberFormat="1" applyFont="1" applyFill="1"/>
    <xf numFmtId="165" fontId="15" fillId="7" borderId="0" xfId="0" applyFont="1" applyFill="1" applyAlignment="1" applyProtection="1">
      <alignment horizontal="center" vertical="center"/>
      <protection locked="0"/>
    </xf>
    <xf numFmtId="166" fontId="16" fillId="2" borderId="2" xfId="0" applyNumberFormat="1" applyFont="1" applyFill="1" applyBorder="1" applyAlignment="1">
      <alignment horizontal="center"/>
    </xf>
    <xf numFmtId="166" fontId="6" fillId="2" borderId="7" xfId="0" applyNumberFormat="1" applyFont="1" applyFill="1" applyBorder="1" applyAlignment="1">
      <alignment horizontal="center"/>
    </xf>
    <xf numFmtId="166" fontId="6" fillId="2" borderId="4" xfId="0" applyNumberFormat="1" applyFont="1" applyFill="1" applyBorder="1" applyAlignment="1">
      <alignment horizontal="center"/>
    </xf>
    <xf numFmtId="166" fontId="6" fillId="2" borderId="3" xfId="0" applyNumberFormat="1" applyFont="1" applyFill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5" fontId="6" fillId="0" borderId="0" xfId="0" applyFont="1" applyAlignment="1">
      <alignment horizontal="center"/>
    </xf>
    <xf numFmtId="165" fontId="15" fillId="7" borderId="0" xfId="0" applyFont="1" applyFill="1" applyAlignment="1" applyProtection="1">
      <alignment vertical="center"/>
      <protection locked="0"/>
    </xf>
    <xf numFmtId="166" fontId="6" fillId="2" borderId="5" xfId="0" applyNumberFormat="1" applyFont="1" applyFill="1" applyBorder="1" applyAlignment="1">
      <alignment horizontal="center"/>
    </xf>
    <xf numFmtId="166" fontId="6" fillId="0" borderId="0" xfId="0" applyNumberFormat="1" applyFont="1"/>
    <xf numFmtId="166" fontId="6" fillId="11" borderId="0" xfId="0" applyNumberFormat="1" applyFont="1" applyFill="1"/>
    <xf numFmtId="1" fontId="8" fillId="2" borderId="2" xfId="0" applyNumberFormat="1" applyFont="1" applyFill="1" applyBorder="1" applyAlignment="1">
      <alignment horizontal="center"/>
    </xf>
    <xf numFmtId="165" fontId="6" fillId="2" borderId="0" xfId="0" applyFont="1" applyFill="1"/>
    <xf numFmtId="4" fontId="0" fillId="0" borderId="0" xfId="0" applyNumberFormat="1" applyAlignment="1">
      <alignment horizontal="right"/>
    </xf>
    <xf numFmtId="1" fontId="14" fillId="2" borderId="2" xfId="0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" fontId="0" fillId="13" borderId="2" xfId="0" applyNumberFormat="1" applyFill="1" applyBorder="1" applyAlignment="1">
      <alignment horizontal="center"/>
    </xf>
    <xf numFmtId="165" fontId="0" fillId="13" borderId="0" xfId="0" applyFill="1"/>
    <xf numFmtId="166" fontId="0" fillId="13" borderId="0" xfId="0" applyNumberFormat="1" applyFill="1"/>
    <xf numFmtId="166" fontId="6" fillId="2" borderId="2" xfId="0" applyNumberFormat="1" applyFont="1" applyFill="1" applyBorder="1" applyAlignment="1">
      <alignment horizontal="right"/>
    </xf>
    <xf numFmtId="14" fontId="0" fillId="2" borderId="0" xfId="0" applyNumberFormat="1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65" fontId="0" fillId="2" borderId="0" xfId="0" applyFill="1" applyBorder="1" applyAlignment="1">
      <alignment horizontal="left"/>
    </xf>
    <xf numFmtId="1" fontId="0" fillId="2" borderId="0" xfId="0" applyNumberFormat="1" applyFill="1" applyBorder="1" applyAlignment="1">
      <alignment horizontal="left"/>
    </xf>
    <xf numFmtId="1" fontId="0" fillId="0" borderId="0" xfId="0" applyNumberFormat="1" applyBorder="1" applyAlignment="1">
      <alignment horizontal="left"/>
    </xf>
    <xf numFmtId="165" fontId="0" fillId="2" borderId="0" xfId="0" applyFill="1" applyBorder="1"/>
    <xf numFmtId="165" fontId="0" fillId="0" borderId="0" xfId="0" applyBorder="1"/>
    <xf numFmtId="165" fontId="0" fillId="0" borderId="0" xfId="0" applyBorder="1" applyAlignment="1">
      <alignment horizontal="left"/>
    </xf>
    <xf numFmtId="166" fontId="6" fillId="2" borderId="0" xfId="0" applyNumberFormat="1" applyFont="1" applyFill="1" applyBorder="1" applyAlignment="1">
      <alignment horizontal="center"/>
    </xf>
    <xf numFmtId="166" fontId="6" fillId="0" borderId="0" xfId="0" applyNumberFormat="1" applyFont="1" applyBorder="1" applyAlignment="1">
      <alignment horizontal="center"/>
    </xf>
    <xf numFmtId="169" fontId="6" fillId="2" borderId="0" xfId="0" applyNumberFormat="1" applyFont="1" applyFill="1" applyBorder="1"/>
    <xf numFmtId="169" fontId="0" fillId="0" borderId="0" xfId="0" applyNumberFormat="1" applyBorder="1"/>
    <xf numFmtId="14" fontId="0" fillId="13" borderId="0" xfId="0" applyNumberFormat="1" applyFill="1" applyBorder="1" applyAlignment="1">
      <alignment horizontal="center"/>
    </xf>
    <xf numFmtId="14" fontId="0" fillId="11" borderId="0" xfId="0" applyNumberFormat="1" applyFill="1" applyBorder="1" applyAlignment="1">
      <alignment horizontal="center"/>
    </xf>
    <xf numFmtId="1" fontId="0" fillId="13" borderId="0" xfId="0" applyNumberFormat="1" applyFill="1" applyBorder="1" applyAlignment="1">
      <alignment horizontal="center"/>
    </xf>
    <xf numFmtId="1" fontId="0" fillId="11" borderId="0" xfId="0" applyNumberFormat="1" applyFill="1" applyBorder="1" applyAlignment="1">
      <alignment horizontal="center"/>
    </xf>
    <xf numFmtId="1" fontId="0" fillId="13" borderId="0" xfId="0" applyNumberFormat="1" applyFill="1" applyBorder="1" applyAlignment="1">
      <alignment horizontal="left"/>
    </xf>
    <xf numFmtId="1" fontId="0" fillId="11" borderId="0" xfId="0" applyNumberFormat="1" applyFill="1" applyBorder="1" applyAlignment="1">
      <alignment horizontal="left"/>
    </xf>
    <xf numFmtId="165" fontId="0" fillId="13" borderId="0" xfId="0" applyFill="1" applyBorder="1"/>
    <xf numFmtId="165" fontId="0" fillId="11" borderId="0" xfId="0" applyFill="1" applyBorder="1"/>
    <xf numFmtId="165" fontId="0" fillId="13" borderId="0" xfId="0" applyFill="1" applyBorder="1" applyAlignment="1">
      <alignment horizontal="left"/>
    </xf>
    <xf numFmtId="165" fontId="0" fillId="11" borderId="0" xfId="0" applyFill="1" applyBorder="1" applyAlignment="1">
      <alignment horizontal="left"/>
    </xf>
    <xf numFmtId="166" fontId="6" fillId="13" borderId="0" xfId="0" applyNumberFormat="1" applyFont="1" applyFill="1" applyBorder="1" applyAlignment="1">
      <alignment horizontal="center"/>
    </xf>
    <xf numFmtId="166" fontId="6" fillId="11" borderId="0" xfId="0" applyNumberFormat="1" applyFont="1" applyFill="1" applyBorder="1" applyAlignment="1">
      <alignment horizontal="center"/>
    </xf>
    <xf numFmtId="169" fontId="0" fillId="13" borderId="0" xfId="0" applyNumberFormat="1" applyFill="1" applyBorder="1"/>
    <xf numFmtId="169" fontId="0" fillId="11" borderId="0" xfId="0" applyNumberFormat="1" applyFill="1" applyBorder="1"/>
    <xf numFmtId="165" fontId="0" fillId="0" borderId="0" xfId="0" applyFill="1" applyBorder="1"/>
    <xf numFmtId="166" fontId="1" fillId="4" borderId="9" xfId="0" applyNumberFormat="1" applyFont="1" applyFill="1" applyBorder="1" applyAlignment="1">
      <alignment horizontal="center"/>
    </xf>
    <xf numFmtId="166" fontId="1" fillId="4" borderId="10" xfId="0" applyNumberFormat="1" applyFont="1" applyFill="1" applyBorder="1" applyAlignment="1">
      <alignment horizontal="center"/>
    </xf>
    <xf numFmtId="165" fontId="2" fillId="5" borderId="1" xfId="0" applyFont="1" applyFill="1" applyBorder="1" applyAlignment="1">
      <alignment horizontal="center" vertical="center"/>
    </xf>
    <xf numFmtId="9" fontId="0" fillId="0" borderId="13" xfId="4" applyFont="1" applyBorder="1" applyAlignment="1">
      <alignment horizontal="center" vertical="center"/>
    </xf>
    <xf numFmtId="9" fontId="0" fillId="0" borderId="15" xfId="4" applyFont="1" applyBorder="1" applyAlignment="1">
      <alignment horizontal="center" vertical="center"/>
    </xf>
    <xf numFmtId="9" fontId="0" fillId="0" borderId="18" xfId="4" applyFont="1" applyBorder="1" applyAlignment="1">
      <alignment horizontal="center" vertical="center"/>
    </xf>
    <xf numFmtId="167" fontId="0" fillId="0" borderId="11" xfId="4" applyNumberFormat="1" applyFont="1" applyBorder="1" applyAlignment="1">
      <alignment horizontal="center" vertical="center"/>
    </xf>
    <xf numFmtId="167" fontId="0" fillId="0" borderId="14" xfId="4" applyNumberFormat="1" applyFont="1" applyBorder="1" applyAlignment="1">
      <alignment horizontal="center" vertical="center"/>
    </xf>
    <xf numFmtId="167" fontId="0" fillId="0" borderId="16" xfId="4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90">
    <cellStyle name="Estilo 1" xfId="3"/>
    <cellStyle name="Hipervínculo" xfId="54" builtinId="8" hidden="1"/>
    <cellStyle name="Hipervínculo" xfId="56" builtinId="8" hidden="1"/>
    <cellStyle name="Hipervínculo" xfId="58" builtinId="8" hidden="1"/>
    <cellStyle name="Hipervínculo" xfId="60" builtinId="8" hidden="1"/>
    <cellStyle name="Hipervínculo" xfId="62" builtinId="8" hidden="1"/>
    <cellStyle name="Hipervínculo" xfId="64" builtinId="8" hidden="1"/>
    <cellStyle name="Hipervínculo" xfId="66" builtinId="8" hidden="1"/>
    <cellStyle name="Hipervínculo" xfId="68" builtinId="8" hidden="1"/>
    <cellStyle name="Hipervínculo" xfId="70" builtinId="8" hidden="1"/>
    <cellStyle name="Hipervínculo" xfId="72" builtinId="8" hidden="1"/>
    <cellStyle name="Hipervínculo" xfId="74" builtinId="8" hidden="1"/>
    <cellStyle name="Hipervínculo" xfId="76" builtinId="8" hidden="1"/>
    <cellStyle name="Hipervínculo" xfId="78" builtinId="8" hidden="1"/>
    <cellStyle name="Hipervínculo" xfId="80" builtinId="8" hidden="1"/>
    <cellStyle name="Hipervínculo" xfId="82" builtinId="8" hidden="1"/>
    <cellStyle name="Hipervínculo" xfId="84" builtinId="8" hidden="1"/>
    <cellStyle name="Hipervínculo" xfId="86" builtinId="8" hidden="1"/>
    <cellStyle name="Hipervínculo" xfId="88" builtinId="8" hidden="1"/>
    <cellStyle name="Hipervínculo visitado" xfId="55" builtinId="9" hidden="1"/>
    <cellStyle name="Hipervínculo visitado" xfId="57" builtinId="9" hidden="1"/>
    <cellStyle name="Hipervínculo visitado" xfId="59" builtinId="9" hidden="1"/>
    <cellStyle name="Hipervínculo visitado" xfId="61" builtinId="9" hidden="1"/>
    <cellStyle name="Hipervínculo visitado" xfId="63" builtinId="9" hidden="1"/>
    <cellStyle name="Hipervínculo visitado" xfId="65" builtinId="9" hidden="1"/>
    <cellStyle name="Hipervínculo visitado" xfId="67" builtinId="9" hidden="1"/>
    <cellStyle name="Hipervínculo visitado" xfId="69" builtinId="9" hidden="1"/>
    <cellStyle name="Hipervínculo visitado" xfId="71" builtinId="9" hidden="1"/>
    <cellStyle name="Hipervínculo visitado" xfId="73" builtinId="9" hidden="1"/>
    <cellStyle name="Hipervínculo visitado" xfId="75" builtinId="9" hidden="1"/>
    <cellStyle name="Hipervínculo visitado" xfId="77" builtinId="9" hidden="1"/>
    <cellStyle name="Hipervínculo visitado" xfId="79" builtinId="9" hidden="1"/>
    <cellStyle name="Hipervínculo visitado" xfId="81" builtinId="9" hidden="1"/>
    <cellStyle name="Hipervínculo visitado" xfId="83" builtinId="9" hidden="1"/>
    <cellStyle name="Hipervínculo visitado" xfId="85" builtinId="9" hidden="1"/>
    <cellStyle name="Hipervínculo visitado" xfId="87" builtinId="9" hidden="1"/>
    <cellStyle name="Hipervínculo visitado" xfId="89" builtinId="9" hidden="1"/>
    <cellStyle name="Moneda 2" xfId="2"/>
    <cellStyle name="Normal" xfId="0" builtinId="0"/>
    <cellStyle name="Normal 10" xfId="19"/>
    <cellStyle name="Normal 11" xfId="20"/>
    <cellStyle name="Normal 12" xfId="47"/>
    <cellStyle name="Normal 2" xfId="1"/>
    <cellStyle name="Normal 2 10" xfId="34"/>
    <cellStyle name="Normal 2 11" xfId="28"/>
    <cellStyle name="Normal 2 12" xfId="25"/>
    <cellStyle name="Normal 2 13" xfId="39"/>
    <cellStyle name="Normal 2 14" xfId="42"/>
    <cellStyle name="Normal 2 15" xfId="48"/>
    <cellStyle name="Normal 2 16" xfId="52"/>
    <cellStyle name="Normal 2 2" xfId="12"/>
    <cellStyle name="Normal 2 2 10" xfId="40"/>
    <cellStyle name="Normal 2 2 11" xfId="45"/>
    <cellStyle name="Normal 2 2 12" xfId="49"/>
    <cellStyle name="Normal 2 2 13" xfId="51"/>
    <cellStyle name="Normal 2 2 2" xfId="13"/>
    <cellStyle name="Normal 2 2 3" xfId="16"/>
    <cellStyle name="Normal 2 2 4" xfId="23"/>
    <cellStyle name="Normal 2 2 5" xfId="27"/>
    <cellStyle name="Normal 2 2 6" xfId="31"/>
    <cellStyle name="Normal 2 2 7" xfId="35"/>
    <cellStyle name="Normal 2 2 8" xfId="37"/>
    <cellStyle name="Normal 2 2 9" xfId="11"/>
    <cellStyle name="Normal 2 3" xfId="18"/>
    <cellStyle name="Normal 2 4" xfId="21"/>
    <cellStyle name="Normal 2 5" xfId="22"/>
    <cellStyle name="Normal 2 6" xfId="17"/>
    <cellStyle name="Normal 2 7" xfId="24"/>
    <cellStyle name="Normal 2 8" xfId="26"/>
    <cellStyle name="Normal 2 9" xfId="30"/>
    <cellStyle name="Normal 3" xfId="5"/>
    <cellStyle name="Normal 4" xfId="6"/>
    <cellStyle name="Normal 5" xfId="7"/>
    <cellStyle name="Normal 6" xfId="8"/>
    <cellStyle name="Normal 7" xfId="9"/>
    <cellStyle name="Normal 8" xfId="10"/>
    <cellStyle name="Normal 9" xfId="46"/>
    <cellStyle name="Normal 9 10" xfId="43"/>
    <cellStyle name="Normal 9 11" xfId="44"/>
    <cellStyle name="Normal 9 12" xfId="50"/>
    <cellStyle name="Normal 9 13" xfId="53"/>
    <cellStyle name="Normal 9 2" xfId="15"/>
    <cellStyle name="Normal 9 3" xfId="14"/>
    <cellStyle name="Normal 9 4" xfId="29"/>
    <cellStyle name="Normal 9 5" xfId="33"/>
    <cellStyle name="Normal 9 6" xfId="36"/>
    <cellStyle name="Normal 9 7" xfId="38"/>
    <cellStyle name="Normal 9 8" xfId="32"/>
    <cellStyle name="Normal 9 9" xfId="41"/>
    <cellStyle name="Porcentaje" xfId="4" builtinId="5"/>
  </cellStyles>
  <dxfs count="12">
    <dxf>
      <alignment horizontal="right" readingOrder="0"/>
    </dxf>
    <dxf>
      <alignment horizontal="left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14111</xdr:colOff>
      <xdr:row>0</xdr:row>
      <xdr:rowOff>0</xdr:rowOff>
    </xdr:from>
    <xdr:to>
      <xdr:col>1</xdr:col>
      <xdr:colOff>8467</xdr:colOff>
      <xdr:row>0</xdr:row>
      <xdr:rowOff>511175</xdr:rowOff>
    </xdr:to>
    <xdr:pic>
      <xdr:nvPicPr>
        <xdr:cNvPr id="4" name="Imagen 3" descr="Logo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1" y="0"/>
          <a:ext cx="1057002" cy="52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85725</xdr:colOff>
      <xdr:row>1</xdr:row>
      <xdr:rowOff>0</xdr:rowOff>
    </xdr:to>
    <xdr:pic>
      <xdr:nvPicPr>
        <xdr:cNvPr id="4" name="Imagen 3" descr="Logo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5375" cy="5143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desir/Dropbox/Getsi&#243;n%20Interna/Contabilidad/Contabilidad%20(Desiree%20Beni's%20conflicted%20copy%202020-02-13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siree Beni" refreshedDate="43871.68594398148" createdVersion="3" refreshedVersion="3" minRefreshableVersion="3" recordCount="59">
  <cacheSource type="worksheet">
    <worksheetSource ref="A1:P60" sheet="Contab" r:id="rId2"/>
  </cacheSource>
  <cacheFields count="17">
    <cacheField name="Concepto" numFmtId="165">
      <sharedItems/>
    </cacheField>
    <cacheField name="Tipo de gasto" numFmtId="165">
      <sharedItems count="17">
        <s v="Franqueo"/>
        <s v="Limpieza"/>
        <s v="Funcionamiento"/>
        <s v="Comisiones"/>
        <s v="Impuestos y servicios"/>
        <s v="Papelería"/>
        <s v="Sueldos"/>
        <s v="Bancario"/>
        <s v="Honorario"/>
        <s v="Excepcional"/>
        <s v="Mantenimiento"/>
        <s v="Alquiler"/>
        <s v="Cuota Colegio"/>
        <s v="Gtos adm Colegio Médico"/>
        <s v="Papeleria"/>
        <s v="Honorarios"/>
        <s v="Ingresos brutos"/>
      </sharedItems>
    </cacheField>
    <cacheField name="Sale" numFmtId="165">
      <sharedItems count="3">
        <s v="caja"/>
        <s v="banco"/>
        <s v="Contabilidad"/>
      </sharedItems>
    </cacheField>
    <cacheField name="Movimiento" numFmtId="165">
      <sharedItems count="2">
        <s v="Egreso"/>
        <s v="Ingreso"/>
      </sharedItems>
    </cacheField>
    <cacheField name="Enero" numFmtId="165">
      <sharedItems containsString="0" containsBlank="1" containsNumber="1" minValue="0" maxValue="180768.45"/>
    </cacheField>
    <cacheField name="Febrero" numFmtId="165">
      <sharedItems containsString="0" containsBlank="1" containsNumber="1" minValue="0" maxValue="179080.62"/>
    </cacheField>
    <cacheField name="Marzo" numFmtId="165">
      <sharedItems containsString="0" containsBlank="1" containsNumber="1" minValue="0" maxValue="184266.98"/>
    </cacheField>
    <cacheField name="Abril" numFmtId="165">
      <sharedItems containsString="0" containsBlank="1" containsNumber="1" minValue="0" maxValue="171897.91"/>
    </cacheField>
    <cacheField name="Mayo" numFmtId="165">
      <sharedItems containsString="0" containsBlank="1" containsNumber="1" minValue="0" maxValue="216385.34"/>
    </cacheField>
    <cacheField name="Junio" numFmtId="165">
      <sharedItems containsString="0" containsBlank="1" containsNumber="1" minValue="0" maxValue="189626.08"/>
    </cacheField>
    <cacheField name="Julio" numFmtId="165">
      <sharedItems containsString="0" containsBlank="1" containsNumber="1" minValue="0" maxValue="211776.49"/>
    </cacheField>
    <cacheField name="Agosto" numFmtId="165">
      <sharedItems containsString="0" containsBlank="1" containsNumber="1" minValue="0" maxValue="174982.76"/>
    </cacheField>
    <cacheField name="Septiembre" numFmtId="165">
      <sharedItems containsString="0" containsBlank="1" containsNumber="1" minValue="0" maxValue="255388.64"/>
    </cacheField>
    <cacheField name="Octubre" numFmtId="165">
      <sharedItems containsString="0" containsBlank="1" containsNumber="1" minValue="54" maxValue="174982.76"/>
    </cacheField>
    <cacheField name="Noviembre" numFmtId="165">
      <sharedItems containsString="0" containsBlank="1" containsNumber="1" minValue="166" maxValue="174982.76"/>
    </cacheField>
    <cacheField name="Diciembre" numFmtId="165">
      <sharedItems containsString="0" containsBlank="1" containsNumber="1" minValue="285.39" maxValue="174982.76"/>
    </cacheField>
    <cacheField name="Total 19" numFmtId="165" formula="Enero+Febrero+Marzo+Abril+Mayo+Junio+Julio+Agosto+Septiembre+Octubre+Noviembre+Diciembr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siree Beni" refreshedDate="44018.479810416669" createdVersion="3" refreshedVersion="3" minRefreshableVersion="3" recordCount="28">
  <cacheSource type="worksheet">
    <worksheetSource ref="A1:I29" sheet="Resumen 2020"/>
  </cacheSource>
  <cacheFields count="9">
    <cacheField name="Concepto" numFmtId="165">
      <sharedItems containsBlank="1" count="9">
        <s v="Sueldos"/>
        <s v="Bancario"/>
        <s v="Honorarios"/>
        <s v="Funcionamiento"/>
        <s v="Impuestos y servicios"/>
        <s v="Comisiones"/>
        <s v="Papelería"/>
        <s v="Limpieza"/>
        <m/>
      </sharedItems>
    </cacheField>
    <cacheField name="Detalle" numFmtId="165">
      <sharedItems containsBlank="1"/>
    </cacheField>
    <cacheField name="Moviemieto" numFmtId="165">
      <sharedItems containsBlank="1"/>
    </cacheField>
    <cacheField name="1" numFmtId="0">
      <sharedItems containsString="0" containsBlank="1" containsNumber="1" minValue="340" maxValue="69368.320000000007"/>
    </cacheField>
    <cacheField name="2" numFmtId="0">
      <sharedItems containsString="0" containsBlank="1" containsNumber="1" minValue="300" maxValue="108847.36" count="18">
        <n v="108847.36"/>
        <n v="105557.22"/>
        <n v="32276.01"/>
        <n v="30000"/>
        <n v="2350"/>
        <n v="10591.32"/>
        <n v="11648.26"/>
        <n v="300"/>
        <n v="1500"/>
        <n v="2719.69"/>
        <n v="1890"/>
        <m/>
        <n v="800"/>
        <n v="4900.0200000000004"/>
        <n v="2802"/>
        <n v="1200"/>
        <n v="546.79999999999995"/>
        <n v="1164"/>
      </sharedItems>
    </cacheField>
    <cacheField name="3" numFmtId="0">
      <sharedItems containsString="0" containsBlank="1" containsNumber="1" minValue="0" maxValue="139394.09999999998" count="20">
        <n v="139394.09999999998"/>
        <n v="56524.11"/>
        <n v="32543.08"/>
        <n v="30000"/>
        <n v="3200"/>
        <n v="8856.69"/>
        <n v="4821.8500000000004"/>
        <n v="6300"/>
        <m/>
        <n v="1080.96"/>
        <n v="1890"/>
        <n v="3736.23"/>
        <n v="0"/>
        <n v="1940.01"/>
        <n v="1816.41"/>
        <n v="2119.4700000000003"/>
        <n v="600"/>
        <n v="800"/>
        <n v="1374.2"/>
        <n v="790"/>
      </sharedItems>
    </cacheField>
    <cacheField name="4" numFmtId="0">
      <sharedItems containsString="0" containsBlank="1" containsNumber="1" minValue="800" maxValue="74097.119999999995" count="14">
        <n v="74097.119999999995"/>
        <n v="29259.37"/>
        <n v="35102.71"/>
        <n v="30000"/>
        <m/>
        <n v="10941.220000000001"/>
        <n v="5285.87"/>
        <n v="7600"/>
        <n v="1441.41"/>
        <n v="1890"/>
        <n v="4490.0200000000004"/>
        <n v="1229"/>
        <n v="1200"/>
        <n v="800"/>
      </sharedItems>
    </cacheField>
    <cacheField name="5" numFmtId="0">
      <sharedItems containsString="0" containsBlank="1" containsNumber="1" minValue="370.8" maxValue="77205.39" count="17">
        <n v="77205.39"/>
        <n v="68817.69"/>
        <n v="39779.21"/>
        <n v="30000"/>
        <m/>
        <n v="7567.0599999999995"/>
        <n v="5543.06"/>
        <n v="4900"/>
        <n v="1578.89"/>
        <n v="1890"/>
        <n v="3170.02"/>
        <n v="4018.67"/>
        <n v="2410.65"/>
        <n v="1380"/>
        <n v="800"/>
        <n v="644.5"/>
        <n v="370.8"/>
      </sharedItems>
    </cacheField>
    <cacheField name="6" numFmtId="0">
      <sharedItems containsString="0" containsBlank="1" containsNumber="1" minValue="500" maxValue="4240.01" count="7">
        <m/>
        <n v="4240.01"/>
        <n v="1318.28"/>
        <n v="2593.1999999999998"/>
        <n v="1200"/>
        <n v="800"/>
        <n v="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UARIO" refreshedDate="45625.824171759261" createdVersion="8" refreshedVersion="6" minRefreshableVersion="3" recordCount="2188">
  <cacheSource type="worksheet">
    <worksheetSource ref="A2:O29992" sheet="Base Libro Banco  "/>
  </cacheSource>
  <cacheFields count="15">
    <cacheField name="FECHA" numFmtId="14">
      <sharedItems containsNonDate="0" containsDate="1" containsString="0" containsBlank="1" minDate="2023-02-01T00:00:00" maxDate="2024-11-30T00:00:00"/>
    </cacheField>
    <cacheField name="MES" numFmtId="1">
      <sharedItems containsString="0" containsBlank="1" containsNumber="1" containsInteger="1" minValue="1" maxValue="12" count="13">
        <n v="2"/>
        <n v="7"/>
        <n v="8"/>
        <n v="9"/>
        <n v="10"/>
        <n v="11"/>
        <n v="12"/>
        <n v="1"/>
        <n v="3"/>
        <n v="4"/>
        <n v="5"/>
        <n v="6"/>
        <m/>
      </sharedItems>
    </cacheField>
    <cacheField name="AÑO" numFmtId="1">
      <sharedItems containsString="0" containsBlank="1" containsNumber="1" containsInteger="1" minValue="1900" maxValue="2024" count="4">
        <n v="2023"/>
        <n v="2024"/>
        <n v="1900"/>
        <m/>
      </sharedItems>
    </cacheField>
    <cacheField name="CONCEPTO" numFmtId="0">
      <sharedItems containsBlank="1"/>
    </cacheField>
    <cacheField name="UNIDAD DE NEGOCIO" numFmtId="165">
      <sharedItems containsBlank="1" count="3">
        <s v="Taller"/>
        <s v="Personal"/>
        <m/>
      </sharedItems>
    </cacheField>
    <cacheField name="DETALLE" numFmtId="0">
      <sharedItems containsBlank="1" count="484">
        <s v="Miren cipolla casual"/>
        <s v="Alemandi Banina"/>
        <s v="Cele"/>
        <s v="Sandra carrara"/>
        <s v="Bernard abu grillo"/>
        <s v="Martin Jose"/>
        <s v="Castro Martin"/>
        <s v="Juan Pablo Lang"/>
        <s v="Cane Emiliano"/>
        <s v="Ana Paula Goico"/>
        <s v="Duran"/>
        <s v="Isasi"/>
        <s v="Gimenez"/>
        <s v="Mutual"/>
        <s v="palloni"/>
        <s v="Rodriguez"/>
        <s v="Calderón"/>
        <s v="mansuino"/>
        <s v="Manito"/>
        <s v="bocha"/>
        <s v="bertaina"/>
        <s v="irouleguy"/>
        <s v="mainero"/>
        <s v="suarez"/>
        <s v="Fiori Martin"/>
        <s v="moreti Ani"/>
        <s v="gigante"/>
        <m/>
        <s v="Angeleri"/>
        <s v="martina carlos"/>
        <s v="suarez lucas"/>
        <s v="silveira"/>
        <s v="medic"/>
        <s v="saladino"/>
        <s v="moretti"/>
        <s v="lopez"/>
        <s v="weizek"/>
        <s v="san jose"/>
        <s v="ventura"/>
        <s v="Isseta"/>
        <s v="Marcos isseta"/>
        <s v="Dutto mariano"/>
        <s v="Moretti Renato"/>
        <s v="moreno"/>
        <s v="luz gas tel"/>
        <s v="Nardin Larisa"/>
        <s v="Oviedo"/>
        <s v="Honorarios"/>
        <s v="Bilinski"/>
        <s v="Eracci"/>
        <s v="Integral Agropecuaria"/>
        <s v="Transporte Palloni"/>
        <s v="pini de mainero"/>
        <s v="Weizur"/>
        <s v="Lang Juan Pablo"/>
        <s v="perviu"/>
        <s v="Guerrieri"/>
        <s v="schefer"/>
        <s v="holly schefer"/>
        <s v="Roman"/>
        <s v="toyos"/>
        <s v="Torres"/>
        <s v="Rectificadora"/>
        <s v="Anastasi"/>
        <s v="Martinich"/>
        <s v="martinich dbito"/>
        <s v="Capelleti"/>
        <s v="fernandez"/>
        <s v="isseta marcos"/>
        <s v="creativity"/>
        <s v="valvula rio cuarto"/>
        <s v="Carrara Sandra"/>
        <s v="afip"/>
        <s v="Colombano"/>
        <s v="Wiesek susana"/>
        <s v="Aleandro gomez"/>
        <s v="Roberto feraudo"/>
        <s v="Emanul Boudoux"/>
        <s v="Macagno matias"/>
        <s v="Russo Alberto"/>
        <s v="Surjat sergio"/>
        <s v="German albarracin"/>
        <s v="Giorgis Carlos"/>
        <s v="Colombano Rodrigo"/>
        <s v="gaspar irouleguy"/>
        <s v="issetta marcos"/>
        <s v="sogno agostina"/>
        <s v="Magdalena Trabuco"/>
        <s v="Alejandra Gomez"/>
        <s v="Fernandez Jorge"/>
        <s v="Garaffo Gaston"/>
        <s v="Ignacio magra"/>
        <s v="T Palloni"/>
        <s v="creativiti"/>
        <s v="Morales Ariel"/>
        <s v="Silveira Alejandro"/>
        <s v="Regalo madre"/>
        <s v="Victorio"/>
        <s v="Adriano"/>
        <s v="Crocinelli Carlos"/>
        <s v="Cane Mauricio"/>
        <s v="Fernandez martin"/>
        <s v="Emanuel Picco"/>
        <s v="Bocha Carrara"/>
        <s v="Ferreira Luis"/>
        <s v="Maria Elena Bueno"/>
        <s v="Walter Rodriguez"/>
        <s v="Celulares"/>
        <s v="Gas"/>
        <s v="Luz"/>
        <s v="Jani Gigante"/>
        <s v="Moretti Anabella"/>
        <s v="Municipalidad - diferencia por factura"/>
        <s v="Gladys guerrieri"/>
        <s v="Alonso Roberto"/>
        <s v="Anastasi Dario"/>
        <s v="Cuevas Jorge"/>
        <s v="Proietti Mariano"/>
        <s v="Bufarini Alberto"/>
        <s v="Supermercado"/>
        <s v="Borgiorni Laura"/>
        <s v="Pago ingeniera"/>
        <s v="Magliano Debora"/>
        <s v="Guerrieri Gladys"/>
        <s v="fumigacion campo"/>
        <s v="Davicino Richard"/>
        <s v="Baravalle Andres"/>
        <s v="Moreno Orlando"/>
        <s v="ropa"/>
        <s v="Magra Ignacio"/>
        <s v="personal"/>
        <s v="carniceria"/>
        <s v="varios"/>
        <s v="casa"/>
        <s v="Aceites"/>
        <s v="Gonzalez Gaston"/>
        <s v="Ventura Marcelo"/>
        <s v="combustible"/>
        <s v="Bongiorni Laura"/>
        <s v="Birche Ariel"/>
        <s v="viaje"/>
        <s v="Marcelo Gorjon"/>
        <s v="Pra Adolfo"/>
        <s v="Toyos Pato"/>
        <s v="Suarez Luchi"/>
        <s v="AGD"/>
        <s v="Saladino Guillermo"/>
        <s v="Rodriguez Pablo"/>
        <s v="Magliano Barbara"/>
        <s v="Suarez Carlos"/>
        <s v="Chavez Daniel"/>
        <s v="Mainero Rodolfo 6 cuotas s/int"/>
        <s v="pago ingenieras"/>
        <s v="Juan Barral"/>
        <s v="Barral Juan"/>
        <s v="Gilli Florencia"/>
        <s v="Madre"/>
        <s v="Pizzani Nicolas"/>
        <s v="Velasquez Rocio"/>
        <s v="chicos viaje"/>
        <s v="Pico Gabriel adelanto pago trabajo"/>
        <s v="Cuevas Emanuel"/>
        <s v="Razzini Carolina"/>
        <s v="Canepa Carlos"/>
        <s v="Balestrelli Horacio pago adelantado 6 cuotas s/int"/>
        <s v="Contructora Guiar"/>
        <s v="Gallo Pepe"/>
        <s v="Sueldo - aguinaldo - vacaciones"/>
        <s v="gomero"/>
        <s v="peaje"/>
        <s v="Domansky Roberto"/>
        <s v="Hidalgo Carlos"/>
        <s v="ropa "/>
        <s v="Principi Gabriela adelantado"/>
        <s v="salida con amigos"/>
        <s v="tarjeta de credito BNA"/>
        <s v="Sancor Seguros"/>
        <s v="Gullino Andrea"/>
        <s v="Gustavo Lang"/>
        <s v="Berieri Nazarena"/>
        <s v="Paz Jose Maria"/>
        <s v="Resmas de hojas"/>
        <s v="Fava Carlos"/>
        <s v="dentista"/>
        <s v="corte de pasto casa"/>
        <s v="Salgado Victor"/>
        <s v="Cometto Franco"/>
        <s v="pablo"/>
        <s v="Lovera jose"/>
        <s v="comida"/>
        <s v="Telecom"/>
        <s v="Keegan SA"/>
        <s v="acredita parte de pago de keegan"/>
        <s v="IsasI Luciana"/>
        <s v="Airaudo Alejandro"/>
        <s v="imprenta Tarjetas service "/>
        <s v="panaderia (descontado del pago de sandra)"/>
        <s v="Goico Ana Paula"/>
        <s v="Arreglo transit Palloni chapista"/>
        <s v="perdida por estafa de compra"/>
        <s v="Principi Gabriela"/>
        <s v="Aranda Pablo"/>
        <s v="AFIP Monotributo"/>
        <s v="Molinari Quique"/>
        <s v="Carrara Luis"/>
        <s v="Perotti Luciano"/>
        <s v="Curti Carlos"/>
        <s v="Pago gustavo lang"/>
        <s v="Mauro Domansky"/>
        <s v="Dimarco Sebastian"/>
        <s v="acredita pago weizur"/>
        <s v="Ferne Sergio"/>
        <s v="Stap carlos adelantado service"/>
        <s v="Tarjeta de credito cordobesa"/>
        <s v="tachos de aceite"/>
        <s v="Paletti Eduardo"/>
        <s v="Carolina Depascuale adelantado"/>
        <s v="Fernandez Gerardo"/>
        <s v="Estenssoro Juan"/>
        <s v="Bonancea Agustina"/>
        <s v="Gatti Mariana"/>
        <s v="Joaquin Tosello casual"/>
        <s v="Barral Fernando"/>
        <s v="verduleria"/>
        <s v="Rentas "/>
        <s v="Alvarez Mauricio"/>
        <s v="Caballero Jorge"/>
        <s v="Paez Federico"/>
        <s v="Schefer Holly"/>
        <s v="SURMETAL"/>
        <s v="SURMETAL efectivo"/>
        <s v="wifi madre"/>
        <s v="Victoria Airasca"/>
        <s v="Carolina Depascuale bateria"/>
        <s v="Agustin Roman"/>
        <s v="pago Silvia Blanco"/>
        <s v="pasto"/>
        <s v="calcos"/>
        <s v="Agustin Uretta"/>
        <s v="Enrique Ramanzin adelantado"/>
        <s v="Benavidez Matias"/>
        <s v="Costa Laura"/>
        <s v="bilinsky miguel"/>
        <s v="luz "/>
        <s v="Rios Diego"/>
        <s v="Bayo Titai"/>
        <s v="Ariel Sicott"/>
        <s v="Repuestero"/>
        <s v="Stap Nahuel"/>
        <s v="Alquiler cba"/>
        <s v="Javier medina adelantado"/>
        <s v="Quimwey"/>
        <s v="Roca Pedro"/>
        <s v="Gigante Jani"/>
        <s v="Castro Juan Carlos"/>
        <s v="Daniel Audicana"/>
        <s v="Torres David"/>
        <s v="Llanos Raquel"/>
        <s v="Irrazabal Miguel"/>
        <s v="Ferreyra Tomas"/>
        <s v="comida perro"/>
        <s v="Tosello Gaston"/>
        <s v="Roxana Manito"/>
        <s v="Mandrile Sebastian"/>
        <s v="Vergara Marcelo"/>
        <s v="Molinari Santiago"/>
        <s v="Cabral Guillermo"/>
        <s v="Airasca Gustavo"/>
        <s v="visani ingeniero"/>
        <s v="Dimarco Sebastian adelantado"/>
        <s v="Medio litro d aceite 5w30"/>
        <s v="marcelo monte"/>
        <s v="Quinteros Luis"/>
        <s v="Rolando Juan"/>
        <s v="emanuel"/>
        <s v="Ojeda anibal"/>
        <s v="Ramanzin Enrique"/>
        <s v="Garay Jorge"/>
        <s v="Medina Javier adelantado"/>
        <s v="Acosta Silvina"/>
        <s v="Hurtado Repuestos"/>
        <s v="Dellafiori Marcelo"/>
        <s v="Castrol Morelli"/>
        <s v="Estudio Contable"/>
        <s v="panaderia"/>
        <s v="Sthil Gutierrez"/>
        <s v="Andrada Horacio"/>
        <s v="Depascuale Carolina adelantado"/>
        <s v="Properzi Juan Carlos"/>
        <s v="Fernandez Facundo"/>
        <s v="Javier medina"/>
        <s v="Dimarco Sebastian "/>
        <s v="Tosello Joaquin"/>
        <s v="Fiore Martin adelanto repuestos"/>
        <s v="Tonello Pedro"/>
        <s v="portones departamentos"/>
        <s v="Giordano Hugo"/>
        <s v="Repuestos fenoglio"/>
        <s v="Pico Gabriel "/>
        <s v="Alvarez Pato"/>
        <s v="Maan Contructora"/>
        <s v="Barroso Ruben"/>
        <s v="Color Plus"/>
        <s v="Dellafiori Santiago"/>
        <s v="Anchaval Juan"/>
        <s v="Penoncello Vanesa"/>
        <s v="pity fernandez"/>
        <s v="hijos"/>
        <s v="Re fiat"/>
        <s v="Ordoñez German"/>
        <s v="Garcia Franco"/>
        <s v="VEP"/>
        <s v="Carrara Sabrina"/>
        <s v="Domansky Mauro"/>
        <s v="Muguerza Martin"/>
        <s v="Oleohidraulica RIO IV"/>
        <s v="Aguirre Josefina"/>
        <s v="TDI"/>
        <s v="Perez Carlos"/>
        <s v="Cometto Guillermo"/>
        <s v="Godoy Fabian"/>
        <s v="Prá Adolfo"/>
        <s v="carniceria verduleria"/>
        <s v="Fava Julian"/>
        <s v="Isseta Marcelo"/>
        <s v="Toni Andreo"/>
        <s v="Noelia Caraveta"/>
        <s v="Gomez Alejandro"/>
        <s v="Nevon Gladys"/>
        <s v="Carranza Mauro"/>
        <s v="Forcor"/>
        <s v="Zambruno Guillermo"/>
        <s v="Palloni Florencia"/>
        <s v="Stap Carlos"/>
        <s v="Rosende Gerardo"/>
        <s v="Nave Diego"/>
        <s v="Ricci Arturo"/>
        <s v="Depascuale carolina"/>
        <s v="magliano metal"/>
        <s v="seguro"/>
        <s v="Sabaini Ignacio"/>
        <s v="Mundo Chevrolet"/>
        <s v="bueno maria elena"/>
        <s v="Anconetani Karina"/>
        <s v="Fiore martin"/>
        <s v="rosas alfredo"/>
        <s v="Benitez Alciro Nestor"/>
        <s v="D genaro Magali adelantado presupuesto"/>
        <s v="tarjeta de credito visa "/>
        <s v="gastos personales"/>
        <s v="Fenoglio Pablo"/>
        <s v="eva issetta"/>
        <s v="Pereyra Miguel"/>
        <s v="Lucero Claudio"/>
        <s v="slovoyañoch adelantado"/>
        <s v="Magris Victorio"/>
        <s v="morina"/>
        <s v="Scheffer Alberto"/>
        <s v="Tryada "/>
        <s v="Borzalino Cele"/>
        <s v="Beta repuestos camiones iveco"/>
        <s v="Carrara Julio"/>
        <s v="Ventura marcelo padre"/>
        <s v="seguros"/>
        <s v="Gauna Ivana"/>
        <s v="aguinaldo pablo"/>
        <s v="116 + comision q pago"/>
        <s v="tarjeta"/>
        <s v="Barroso Willy"/>
        <s v="rentas"/>
        <s v="ramancin enrique"/>
        <s v="irouleguy gaspar"/>
        <s v="scanner"/>
        <s v="Andrada Horacio adelantado"/>
        <s v="Ubeda Jorge"/>
        <s v="barnard agostina"/>
        <s v="Pereyra Miguel adelanto distribucion"/>
        <s v="Bertaina Mario"/>
        <s v="Romero Damian"/>
        <s v="Wiesek Ruben"/>
        <s v="Carabetta Noelia"/>
        <s v="supercanal"/>
        <s v="adolfo pra"/>
        <s v="camoati"/>
        <s v="tarjeta de credito"/>
        <s v="gallo walter"/>
        <s v="keegan "/>
        <s v="Vilares Roberto"/>
        <s v="imprenta"/>
        <s v="Amioni Marta"/>
        <s v="Pegoraro Sonia"/>
        <s v="Beriani Nazarena"/>
        <s v="Loeiro Daniel"/>
        <s v="vetaro"/>
        <s v="shell bata"/>
        <s v="cba"/>
        <s v="Magra Roberto"/>
        <s v="pelliza kevin"/>
        <s v="magra roberto adelanto"/>
        <s v="Molinari Kike"/>
        <s v="Mendizabal Alicia"/>
        <s v="Mendizabal Alicia adelantado"/>
        <s v="galeano"/>
        <s v="Rodriguez Martin"/>
        <s v="Borello Matias"/>
        <s v="rodriguez jorge"/>
        <s v="Avila Micaela"/>
        <s v="motcor"/>
        <s v="cipolla miren"/>
        <s v="comision transferencias"/>
        <s v="DBCR"/>
        <s v="Retencion IIBB"/>
        <s v="Gualpas Juanita"/>
        <s v="luminar"/>
        <s v="tarjeta credito"/>
        <s v="Balestrelli Valeria"/>
        <s v="fermin martinez"/>
        <s v="Oliva Stella"/>
        <s v="esquinero"/>
        <s v="dominguez juan"/>
        <s v="Herrero Marcelo"/>
        <s v="Jorge Rodriguez"/>
        <s v="Andrea Perafan"/>
        <s v="LAX"/>
        <s v="guggia"/>
        <s v="rodrigo gheit"/>
        <s v="scheffer rodrigo"/>
        <s v="mainero sofia"/>
        <s v="cometto julia"/>
        <s v="fantini antonio"/>
        <s v="flores carlos"/>
        <s v="perafan andrea"/>
        <s v="kako lopez"/>
        <s v="debitos bancarios todos"/>
        <s v="monotributo"/>
        <s v="todo vw"/>
        <s v="escudero gaston"/>
        <s v="reyes mirta"/>
        <s v="digenaro julio"/>
        <s v="fantini antonio adelanto"/>
        <s v="rectificadora debernardi"/>
        <s v="principi carlos"/>
        <s v="espinoza javito"/>
        <s v="bengolea even"/>
        <s v="daniela alarcon"/>
        <s v="merlo gaston adelantado"/>
        <s v="possi ricardo"/>
        <s v="sebastian moro adelantado"/>
        <s v="la casa del elastico"/>
        <s v="molina dalma"/>
        <s v="jose maria paz"/>
        <s v="cesar gonzalez"/>
        <s v="giorgis juan carlos"/>
        <s v="nancy pra"/>
        <s v="farmacia"/>
        <s v="acotto santiago"/>
        <s v="andres baravalle"/>
        <s v="luciana isasi"/>
        <s v="mauro carranza"/>
        <s v="berdus silvio"/>
        <s v="manito roxana"/>
        <s v="zallocco belen"/>
        <s v="albin damian"/>
        <s v="jose marmol ejes"/>
        <s v="nutrien"/>
        <s v="munic comercio"/>
        <s v="flores juani"/>
        <s v="silvana lucero adelantado"/>
        <s v="monte marcelo"/>
        <s v="donadio raquel"/>
        <s v="surjak sergio"/>
        <s v="giagante valeria"/>
        <s v="marcone facundo"/>
        <s v="cognini"/>
        <s v="calderon adelantado"/>
        <s v="chiapello silvia"/>
        <s v="paez federico repone gasto de comision"/>
        <s v="tranquilli silvio"/>
        <s v="alarcon daniela"/>
        <s v="carrara sandra adelanta"/>
        <s v="lopez kako"/>
        <s v="julian martinengo"/>
        <s v="trobatto pablo"/>
        <s v="aire acondicionado" u="1"/>
      </sharedItems>
    </cacheField>
    <cacheField name="PROVEEDOR" numFmtId="165">
      <sharedItems containsBlank="1"/>
    </cacheField>
    <cacheField name="TIPO" numFmtId="0">
      <sharedItems containsBlank="1"/>
    </cacheField>
    <cacheField name="n cheque" numFmtId="0">
      <sharedItems containsString="0" containsBlank="1" containsNumber="1" containsInteger="1" minValue="1575924" maxValue="1575924"/>
    </cacheField>
    <cacheField name="DEBE (INGRESO)" numFmtId="166">
      <sharedItems containsString="0" containsBlank="1" containsNumber="1" minValue="4209.3" maxValue="5480871"/>
    </cacheField>
    <cacheField name="HABER (EGRESO)" numFmtId="166">
      <sharedItems containsString="0" containsBlank="1" containsNumber="1" minValue="986.15" maxValue="3152050"/>
    </cacheField>
    <cacheField name="IVA" numFmtId="166">
      <sharedItems containsNonDate="0" containsString="0" containsBlank="1"/>
    </cacheField>
    <cacheField name="FCATURADO A SAS" numFmtId="166">
      <sharedItems containsBlank="1"/>
    </cacheField>
    <cacheField name="Fecha ingreso tarjeta" numFmtId="169">
      <sharedItems containsNonDate="0" containsDate="1" containsString="0" containsBlank="1" minDate="2023-12-18T00:00:00" maxDate="2024-04-10T00:00:00"/>
    </cacheField>
    <cacheField name="Monto de ingreso" numFmtId="166">
      <sharedItems containsString="0" containsBlank="1" containsNumber="1" minValue="39209.980000000003" maxValue="406103.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">
  <r>
    <s v="Gasto franqueo"/>
    <x v="0"/>
    <x v="0"/>
    <x v="0"/>
    <n v="640"/>
    <n v="1620"/>
    <n v="1279.99"/>
    <n v="1715"/>
    <n v="2065"/>
    <n v="2415"/>
    <n v="2765"/>
    <n v="2284.9899999999998"/>
    <n v="3009.98"/>
    <n v="3335"/>
    <n v="3869.99"/>
    <n v="1260"/>
  </r>
  <r>
    <s v="Servicio de limpieza"/>
    <x v="1"/>
    <x v="0"/>
    <x v="0"/>
    <n v="1500"/>
    <n v="1000"/>
    <n v="1100"/>
    <n v="1000"/>
    <n v="1000"/>
    <n v="1000"/>
    <n v="1500"/>
    <n v="1000"/>
    <n v="1000"/>
    <n v="1000"/>
    <n v="1000"/>
    <n v="1200"/>
  </r>
  <r>
    <s v="Gasto administrativo alquiler Rotary"/>
    <x v="2"/>
    <x v="0"/>
    <x v="0"/>
    <n v="700"/>
    <n v="700"/>
    <n v="700"/>
    <n v="700"/>
    <n v="800"/>
    <n v="800"/>
    <n v="800"/>
    <n v="800"/>
    <n v="800"/>
    <n v="800"/>
    <n v="800"/>
    <n v="800"/>
  </r>
  <r>
    <s v="Supermercado"/>
    <x v="2"/>
    <x v="0"/>
    <x v="0"/>
    <n v="606.29999999999995"/>
    <n v="238.15"/>
    <n v="414.6"/>
    <n v="865.7"/>
    <n v="265.89999999999998"/>
    <n v="769.9"/>
    <n v="450"/>
    <n v="681.2"/>
    <n v="2330.85"/>
    <n v="656.63"/>
    <n v="491.64"/>
    <n v="768.23"/>
  </r>
  <r>
    <s v="Reuniones"/>
    <x v="2"/>
    <x v="0"/>
    <x v="0"/>
    <m/>
    <m/>
    <n v="517"/>
    <n v="3080"/>
    <m/>
    <m/>
    <m/>
    <m/>
    <m/>
    <n v="930"/>
    <n v="2502"/>
    <m/>
  </r>
  <r>
    <s v="Gastos Varios"/>
    <x v="2"/>
    <x v="0"/>
    <x v="0"/>
    <n v="95"/>
    <n v="395"/>
    <n v="154"/>
    <n v="100"/>
    <m/>
    <n v="100"/>
    <n v="410"/>
    <n v="1160"/>
    <n v="470"/>
    <n v="687"/>
    <n v="390"/>
    <n v="1333.0700000000002"/>
  </r>
  <r>
    <s v="Comisionistas"/>
    <x v="3"/>
    <x v="0"/>
    <x v="0"/>
    <n v="4560"/>
    <m/>
    <m/>
    <m/>
    <m/>
    <m/>
    <m/>
    <m/>
    <m/>
    <m/>
    <m/>
    <m/>
  </r>
  <r>
    <s v="Impuestos y servicios"/>
    <x v="4"/>
    <x v="0"/>
    <x v="0"/>
    <m/>
    <m/>
    <m/>
    <m/>
    <n v="2368.4299999999998"/>
    <m/>
    <m/>
    <m/>
    <n v="1830.43"/>
    <m/>
    <m/>
    <n v="285.39"/>
  </r>
  <r>
    <s v="Gastos de mantenimiento"/>
    <x v="2"/>
    <x v="0"/>
    <x v="0"/>
    <n v="169.6"/>
    <n v="1279"/>
    <m/>
    <m/>
    <n v="200"/>
    <n v="250"/>
    <m/>
    <n v="160"/>
    <m/>
    <n v="1338.58"/>
    <m/>
    <m/>
  </r>
  <r>
    <s v="Librería"/>
    <x v="5"/>
    <x v="0"/>
    <x v="0"/>
    <m/>
    <m/>
    <m/>
    <n v="522"/>
    <m/>
    <n v="989.05"/>
    <n v="251.2"/>
    <m/>
    <n v="598"/>
    <n v="752"/>
    <n v="166"/>
    <m/>
  </r>
  <r>
    <s v="Imprenta"/>
    <x v="5"/>
    <x v="0"/>
    <x v="0"/>
    <m/>
    <m/>
    <m/>
    <m/>
    <n v="629"/>
    <m/>
    <m/>
    <m/>
    <m/>
    <n v="54"/>
    <m/>
    <n v="450"/>
  </r>
  <r>
    <s v="Sueldos"/>
    <x v="6"/>
    <x v="1"/>
    <x v="0"/>
    <n v="42103.68"/>
    <n v="45267.14"/>
    <n v="55495.68"/>
    <n v="50455.62"/>
    <n v="51023.899999999994"/>
    <n v="62253.89"/>
    <n v="79979.37"/>
    <n v="55228"/>
    <n v="67049.16"/>
    <n v="62049.16"/>
    <n v="63392.31"/>
    <n v="96928.61"/>
  </r>
  <r>
    <s v="Pago electrónico de aportes y cargas sociales"/>
    <x v="6"/>
    <x v="1"/>
    <x v="0"/>
    <n v="40411.519999999997"/>
    <n v="28839.95"/>
    <n v="34933.03"/>
    <n v="31947.13"/>
    <n v="30609.38"/>
    <n v="38792.79"/>
    <n v="50990.86"/>
    <n v="29836.65"/>
    <n v="22140.76"/>
    <m/>
    <n v="63418.289999999994"/>
    <n v="35442.400000000001"/>
  </r>
  <r>
    <s v="Impuesto débito/crédito"/>
    <x v="7"/>
    <x v="1"/>
    <x v="0"/>
    <n v="29041.18"/>
    <n v="26924.31"/>
    <n v="25934.400000000001"/>
    <n v="25023.81"/>
    <n v="32563.99"/>
    <n v="27491.040000000001"/>
    <n v="29739.279999999999"/>
    <n v="28666.44"/>
    <n v="38823.269999999997"/>
    <n v="37997.43"/>
    <n v="28446.68"/>
    <n v="38263.67"/>
  </r>
  <r>
    <s v="Honorarios Beni Desiree"/>
    <x v="8"/>
    <x v="1"/>
    <x v="0"/>
    <n v="19500"/>
    <n v="19500"/>
    <n v="19500"/>
    <n v="19300"/>
    <n v="25000"/>
    <n v="25000"/>
    <n v="25000"/>
    <n v="25000"/>
    <n v="25920"/>
    <n v="25000"/>
    <n v="25000"/>
    <n v="30000"/>
  </r>
  <r>
    <s v="Cena Dia del Médico"/>
    <x v="9"/>
    <x v="1"/>
    <x v="0"/>
    <m/>
    <m/>
    <m/>
    <m/>
    <m/>
    <m/>
    <m/>
    <n v="26100"/>
    <m/>
    <m/>
    <n v="60000"/>
    <n v="89500"/>
  </r>
  <r>
    <s v="Pago electrónico Impuestos"/>
    <x v="4"/>
    <x v="1"/>
    <x v="0"/>
    <n v="4419.49"/>
    <n v="18329.43"/>
    <n v="9792.64"/>
    <n v="10229.169999999998"/>
    <n v="5375.74"/>
    <n v="9919.4399999999987"/>
    <n v="12011.93"/>
    <n v="12787.93"/>
    <n v="12974.230000000001"/>
    <n v="12611.04"/>
    <n v="10242.49"/>
    <n v="10723.640000000001"/>
  </r>
  <r>
    <s v="Comisionistas"/>
    <x v="3"/>
    <x v="1"/>
    <x v="0"/>
    <m/>
    <n v="4670"/>
    <n v="7970"/>
    <n v="7730"/>
    <n v="9900"/>
    <n v="9250"/>
    <n v="9500"/>
    <n v="7600"/>
    <n v="6480"/>
    <n v="7810"/>
    <n v="9300"/>
    <n v="7350"/>
  </r>
  <r>
    <s v="Comisión canje Bp"/>
    <x v="7"/>
    <x v="1"/>
    <x v="0"/>
    <n v="4289.22"/>
    <n v="5057.43"/>
    <n v="5447.5"/>
    <n v="3311.89"/>
    <n v="4495.8500000000004"/>
    <n v="4014.78"/>
    <n v="3895.13"/>
    <n v="5194.75"/>
    <n v="5596.4299999999994"/>
    <n v="7037.24"/>
    <n v="730.56"/>
    <n v="3069.18"/>
  </r>
  <r>
    <s v="Imprenta Mare"/>
    <x v="5"/>
    <x v="1"/>
    <x v="0"/>
    <m/>
    <m/>
    <n v="4340"/>
    <m/>
    <m/>
    <m/>
    <m/>
    <n v="13726"/>
    <m/>
    <m/>
    <m/>
    <m/>
  </r>
  <r>
    <s v="Librería"/>
    <x v="5"/>
    <x v="1"/>
    <x v="0"/>
    <n v="4974.07"/>
    <n v="2465.6"/>
    <m/>
    <m/>
    <n v="5201.49"/>
    <m/>
    <m/>
    <m/>
    <n v="4301.51"/>
    <m/>
    <m/>
    <m/>
  </r>
  <r>
    <s v="IVA 21% comisiones"/>
    <x v="7"/>
    <x v="1"/>
    <x v="0"/>
    <n v="1110.32"/>
    <n v="1286.55"/>
    <n v="1378.55"/>
    <n v="930.07"/>
    <n v="1449.18"/>
    <n v="1077.69"/>
    <n v="1052.55"/>
    <n v="1325.47"/>
    <n v="1517.55"/>
    <n v="1882.59"/>
    <n v="447.42"/>
    <n v="938.53"/>
  </r>
  <r>
    <s v="Gastos mantenimiento /comisiones varias"/>
    <x v="7"/>
    <x v="1"/>
    <x v="0"/>
    <n v="894"/>
    <n v="894"/>
    <n v="1117"/>
    <n v="1117"/>
    <n v="1117"/>
    <n v="1117"/>
    <n v="1117"/>
    <n v="1117"/>
    <n v="1400"/>
    <n v="1400"/>
    <n v="1400"/>
    <n v="1400"/>
  </r>
  <r>
    <s v="Compra de mobiliario"/>
    <x v="2"/>
    <x v="1"/>
    <x v="0"/>
    <m/>
    <m/>
    <m/>
    <m/>
    <m/>
    <m/>
    <m/>
    <m/>
    <m/>
    <m/>
    <n v="9000"/>
    <m/>
  </r>
  <r>
    <s v="pago electrónico Bulacio Pablo"/>
    <x v="2"/>
    <x v="1"/>
    <x v="0"/>
    <m/>
    <m/>
    <m/>
    <m/>
    <m/>
    <m/>
    <m/>
    <m/>
    <m/>
    <m/>
    <m/>
    <n v="6000"/>
  </r>
  <r>
    <s v="Publicidad"/>
    <x v="2"/>
    <x v="1"/>
    <x v="0"/>
    <n v="1500"/>
    <n v="1500"/>
    <n v="1500"/>
    <n v="1500"/>
    <m/>
    <m/>
    <m/>
    <m/>
    <m/>
    <m/>
    <m/>
    <m/>
  </r>
  <r>
    <s v="Mantenimiento VCL"/>
    <x v="2"/>
    <x v="1"/>
    <x v="0"/>
    <m/>
    <m/>
    <n v="1200"/>
    <m/>
    <m/>
    <m/>
    <m/>
    <m/>
    <m/>
    <n v="4000"/>
    <m/>
    <m/>
  </r>
  <r>
    <s v="Gastos varios caja chica"/>
    <x v="2"/>
    <x v="1"/>
    <x v="0"/>
    <n v="4404"/>
    <m/>
    <m/>
    <m/>
    <m/>
    <m/>
    <m/>
    <m/>
    <m/>
    <m/>
    <m/>
    <m/>
  </r>
  <r>
    <s v="Argentina Virtual"/>
    <x v="2"/>
    <x v="1"/>
    <x v="0"/>
    <m/>
    <m/>
    <m/>
    <m/>
    <m/>
    <m/>
    <m/>
    <m/>
    <m/>
    <m/>
    <n v="2728"/>
    <m/>
  </r>
  <r>
    <s v="Mantenimiento edificio"/>
    <x v="10"/>
    <x v="1"/>
    <x v="0"/>
    <m/>
    <m/>
    <m/>
    <m/>
    <m/>
    <m/>
    <m/>
    <m/>
    <m/>
    <n v="2610"/>
    <m/>
    <m/>
  </r>
  <r>
    <s v="Gasto cheq./boletas"/>
    <x v="7"/>
    <x v="1"/>
    <x v="0"/>
    <m/>
    <m/>
    <m/>
    <m/>
    <n v="1288"/>
    <m/>
    <m/>
    <m/>
    <m/>
    <m/>
    <m/>
    <m/>
  </r>
  <r>
    <s v="Gasto efec.dep.rechaz"/>
    <x v="7"/>
    <x v="1"/>
    <x v="0"/>
    <m/>
    <n v="175"/>
    <m/>
    <m/>
    <m/>
    <m/>
    <m/>
    <m/>
    <n v="230"/>
    <n v="230"/>
    <m/>
    <m/>
  </r>
  <r>
    <s v="Deb.Recu.Gto.Franqueo"/>
    <x v="7"/>
    <x v="1"/>
    <x v="0"/>
    <m/>
    <m/>
    <m/>
    <m/>
    <m/>
    <m/>
    <m/>
    <m/>
    <m/>
    <n v="297.45"/>
    <m/>
    <m/>
  </r>
  <r>
    <s v="Gastos Resúmen"/>
    <x v="7"/>
    <x v="1"/>
    <x v="0"/>
    <n v="104"/>
    <m/>
    <m/>
    <m/>
    <m/>
    <m/>
    <m/>
    <m/>
    <m/>
    <m/>
    <m/>
    <m/>
  </r>
  <r>
    <s v="Alquiler"/>
    <x v="11"/>
    <x v="2"/>
    <x v="1"/>
    <n v="7100"/>
    <n v="7100"/>
    <n v="7100"/>
    <n v="7100"/>
    <n v="8300"/>
    <n v="8300"/>
    <n v="8300"/>
    <n v="8300"/>
    <n v="8300"/>
    <n v="8300"/>
    <n v="8300"/>
    <n v="8300"/>
  </r>
  <r>
    <s v="Cuota Colegio"/>
    <x v="12"/>
    <x v="2"/>
    <x v="1"/>
    <n v="29360"/>
    <n v="31440"/>
    <n v="31440"/>
    <n v="33129"/>
    <n v="36900"/>
    <n v="36450"/>
    <n v="40500"/>
    <n v="40000"/>
    <n v="41840"/>
    <n v="40000"/>
    <n v="40000"/>
    <n v="40000"/>
  </r>
  <r>
    <s v="Gtos adm Colegio Médico"/>
    <x v="13"/>
    <x v="2"/>
    <x v="1"/>
    <n v="180768.45"/>
    <n v="179080.62"/>
    <n v="184266.98"/>
    <n v="171897.91"/>
    <n v="216385.34"/>
    <n v="189626.08"/>
    <n v="211776.49"/>
    <n v="174982.76"/>
    <n v="255388.64"/>
    <n v="174982.76"/>
    <n v="174982.76"/>
    <n v="174982.76"/>
  </r>
  <r>
    <s v="Agua"/>
    <x v="4"/>
    <x v="2"/>
    <x v="0"/>
    <n v="0"/>
    <n v="134.06"/>
    <n v="183.75"/>
    <n v="172.14"/>
    <n v="161.1"/>
    <n v="230.22"/>
    <n v="183.75"/>
    <n v="187.24"/>
    <n v="240.67"/>
    <m/>
    <m/>
    <m/>
  </r>
  <r>
    <s v="Bono contribución"/>
    <x v="4"/>
    <x v="2"/>
    <x v="0"/>
    <n v="0"/>
    <n v="300"/>
    <n v="0"/>
    <n v="0"/>
    <n v="0"/>
    <n v="0"/>
    <n v="300"/>
    <n v="0"/>
    <n v="0"/>
    <m/>
    <m/>
    <m/>
  </r>
  <r>
    <s v="Cloacas"/>
    <x v="4"/>
    <x v="2"/>
    <x v="0"/>
    <n v="0"/>
    <n v="223.56"/>
    <n v="173.42"/>
    <n v="173.42"/>
    <n v="189.2"/>
    <n v="173.42"/>
    <n v="173.42"/>
    <n v="188.5"/>
    <n v="173.42"/>
    <m/>
    <m/>
    <m/>
  </r>
  <r>
    <s v="Comisiones"/>
    <x v="3"/>
    <x v="2"/>
    <x v="0"/>
    <n v="4560"/>
    <n v="4670"/>
    <n v="7970"/>
    <n v="7730"/>
    <n v="9900"/>
    <n v="9250"/>
    <n v="9500"/>
    <n v="7600"/>
    <n v="6480"/>
    <n v="7810"/>
    <n v="9300"/>
    <n v="7350"/>
  </r>
  <r>
    <s v="Flete"/>
    <x v="2"/>
    <x v="2"/>
    <x v="0"/>
    <m/>
    <m/>
    <n v="4730.13"/>
    <m/>
    <m/>
    <m/>
    <m/>
    <m/>
    <m/>
    <m/>
    <m/>
    <m/>
  </r>
  <r>
    <s v="Franqueo"/>
    <x v="2"/>
    <x v="2"/>
    <x v="0"/>
    <n v="640"/>
    <n v="1620"/>
    <m/>
    <n v="1715"/>
    <n v="2065"/>
    <n v="2415"/>
    <n v="2765"/>
    <n v="2284.9899999999998"/>
    <n v="3009.98"/>
    <n v="3335"/>
    <n v="3869.99"/>
    <n v="1260"/>
  </r>
  <r>
    <s v="Gasto limpieza"/>
    <x v="1"/>
    <x v="2"/>
    <x v="0"/>
    <n v="1500"/>
    <n v="1000"/>
    <n v="1100"/>
    <n v="1000"/>
    <n v="1000"/>
    <n v="1000"/>
    <n v="1500"/>
    <n v="1000"/>
    <n v="1000"/>
    <n v="1000"/>
    <n v="1000"/>
    <n v="1200"/>
  </r>
  <r>
    <s v="Gastos bancarios"/>
    <x v="7"/>
    <x v="2"/>
    <x v="0"/>
    <n v="35438.720000000001"/>
    <n v="34337.290000000008"/>
    <n v="33877.450000000004"/>
    <n v="30382.77"/>
    <n v="40914.019999999997"/>
    <n v="33700.509999999995"/>
    <n v="35803.96"/>
    <n v="36303.660000000003"/>
    <n v="47809.219999999994"/>
    <n v="48844.709999999992"/>
    <n v="31024.66"/>
    <n v="43671.38"/>
  </r>
  <r>
    <s v="Gastos Generales"/>
    <x v="2"/>
    <x v="2"/>
    <x v="0"/>
    <n v="755.3"/>
    <n v="333.15"/>
    <n v="318.2"/>
    <n v="965.7"/>
    <n v="265.89999999999998"/>
    <n v="869.9"/>
    <n v="560"/>
    <n v="891.2"/>
    <n v="346.78999999999996"/>
    <n v="8412.2099999999991"/>
    <n v="15911.64"/>
    <n v="8901.2999999999993"/>
  </r>
  <r>
    <s v="Gastos Papeleria"/>
    <x v="14"/>
    <x v="2"/>
    <x v="0"/>
    <n v="4974.07"/>
    <n v="2465.6"/>
    <n v="4340"/>
    <n v="522"/>
    <n v="5201.49"/>
    <n v="989.05"/>
    <n v="251.2"/>
    <n v="13726"/>
    <n v="4899.51"/>
    <n v="806"/>
    <n v="166"/>
    <n v="450"/>
  </r>
  <r>
    <s v="Honorarios y Tramitaciones"/>
    <x v="15"/>
    <x v="2"/>
    <x v="0"/>
    <n v="19500"/>
    <n v="34284.089999999997"/>
    <n v="19500"/>
    <n v="25346"/>
    <n v="27200"/>
    <n v="42209"/>
    <n v="27200"/>
    <n v="27200"/>
    <n v="27600"/>
    <n v="25000"/>
    <n v="25000"/>
    <n v="30000"/>
  </r>
  <r>
    <s v="Impuesto rentas"/>
    <x v="4"/>
    <x v="2"/>
    <x v="0"/>
    <n v="0"/>
    <n v="7905.2"/>
    <n v="0"/>
    <n v="0"/>
    <n v="0"/>
    <n v="0"/>
    <n v="0"/>
    <n v="0"/>
    <n v="0"/>
    <m/>
    <m/>
    <m/>
  </r>
  <r>
    <s v="Insumos Computacion"/>
    <x v="2"/>
    <x v="2"/>
    <x v="0"/>
    <n v="0"/>
    <n v="0"/>
    <n v="1200"/>
    <n v="0"/>
    <n v="629"/>
    <n v="0"/>
    <n v="0"/>
    <n v="0"/>
    <n v="0"/>
    <m/>
    <m/>
    <m/>
  </r>
  <r>
    <s v="Luz"/>
    <x v="4"/>
    <x v="2"/>
    <x v="0"/>
    <n v="4404"/>
    <n v="4995.8599999999997"/>
    <n v="4012.0699999999997"/>
    <n v="4664.3900000000003"/>
    <n v="2105.89"/>
    <n v="3464.81"/>
    <n v="4847.13"/>
    <n v="6358.29"/>
    <n v="8172.09"/>
    <m/>
    <m/>
    <m/>
  </r>
  <r>
    <s v="Publicidad"/>
    <x v="2"/>
    <x v="2"/>
    <x v="0"/>
    <n v="1500"/>
    <n v="1500"/>
    <n v="1500"/>
    <n v="1500"/>
    <n v="0"/>
    <n v="0"/>
    <n v="0"/>
    <n v="0"/>
    <n v="0"/>
    <m/>
    <m/>
    <m/>
  </r>
  <r>
    <s v="Repuestos y reparaciones"/>
    <x v="2"/>
    <x v="2"/>
    <x v="0"/>
    <n v="115.6"/>
    <n v="1279"/>
    <n v="0"/>
    <n v="0"/>
    <n v="200"/>
    <n v="250"/>
    <n v="0"/>
    <n v="160"/>
    <n v="200"/>
    <n v="2610"/>
    <m/>
    <m/>
  </r>
  <r>
    <s v="Retenci. I.I.Brutos"/>
    <x v="16"/>
    <x v="2"/>
    <x v="0"/>
    <m/>
    <n v="11236.92"/>
    <m/>
    <m/>
    <m/>
    <m/>
    <m/>
    <m/>
    <m/>
    <m/>
    <m/>
    <m/>
  </r>
  <r>
    <s v="Retenciones Ingresos Brutos"/>
    <x v="16"/>
    <x v="2"/>
    <x v="0"/>
    <n v="9626.17"/>
    <m/>
    <n v="12819.09"/>
    <n v="10674.33"/>
    <n v="16841.46"/>
    <n v="15913.060000000001"/>
    <n v="14905.42"/>
    <n v="8992.2900000000009"/>
    <n v="0"/>
    <m/>
    <m/>
    <m/>
  </r>
  <r>
    <s v="Sueldos"/>
    <x v="6"/>
    <x v="2"/>
    <x v="0"/>
    <n v="84595.25"/>
    <n v="75541.179999999993"/>
    <n v="92183.17"/>
    <n v="83999.49"/>
    <n v="83154.84"/>
    <n v="103011.36"/>
    <n v="133599.04000000001"/>
    <n v="86814.450000000012"/>
    <n v="91076.62"/>
    <n v="62049.16"/>
    <n v="126810.59999999999"/>
    <n v="132371.01"/>
  </r>
  <r>
    <s v="Tasa Municipal"/>
    <x v="4"/>
    <x v="2"/>
    <x v="0"/>
    <n v="0"/>
    <n v="1282.1099999999999"/>
    <n v="1282.1099999999999"/>
    <n v="1282.1099999999999"/>
    <n v="1397.99"/>
    <n v="1282.1099999999999"/>
    <n v="1282.1099999999999"/>
    <n v="1392.19"/>
    <n v="1282.1099999999999"/>
    <m/>
    <m/>
    <m/>
  </r>
  <r>
    <s v="Telecom"/>
    <x v="4"/>
    <x v="2"/>
    <x v="0"/>
    <n v="2339.44"/>
    <n v="2354.5500000000002"/>
    <n v="2386.83"/>
    <n v="2340.37"/>
    <n v="2368.4299999999998"/>
    <n v="2804.2"/>
    <n v="2896.71"/>
    <n v="2911.91"/>
    <n v="3049.67"/>
    <n v="12611.04"/>
    <n v="10242.49"/>
    <n v="11009.03"/>
  </r>
  <r>
    <s v="Viatico y Gtos. Rep"/>
    <x v="2"/>
    <x v="2"/>
    <x v="0"/>
    <n v="0"/>
    <n v="0"/>
    <n v="1279.99"/>
    <n v="0"/>
    <n v="0"/>
    <n v="0"/>
    <n v="0"/>
    <n v="0"/>
    <n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s v="Sueldos"/>
    <s v="Egreso"/>
    <n v="69368.320000000007"/>
    <x v="0"/>
    <x v="0"/>
    <x v="0"/>
    <x v="0"/>
    <x v="0"/>
  </r>
  <r>
    <x v="0"/>
    <s v="Pago electrónico de aportes y cargas sociales"/>
    <s v="Egreso"/>
    <m/>
    <x v="1"/>
    <x v="1"/>
    <x v="1"/>
    <x v="1"/>
    <x v="0"/>
  </r>
  <r>
    <x v="1"/>
    <s v="Impuesto débito/crédito"/>
    <s v="Egreso"/>
    <n v="38484.97"/>
    <x v="2"/>
    <x v="2"/>
    <x v="2"/>
    <x v="2"/>
    <x v="0"/>
  </r>
  <r>
    <x v="2"/>
    <s v="Honorarios"/>
    <s v="Egreso"/>
    <n v="35000"/>
    <x v="3"/>
    <x v="3"/>
    <x v="3"/>
    <x v="3"/>
    <x v="0"/>
  </r>
  <r>
    <x v="3"/>
    <s v="Gastos varios caja chica"/>
    <s v="Egreso"/>
    <n v="10000"/>
    <x v="4"/>
    <x v="4"/>
    <x v="4"/>
    <x v="4"/>
    <x v="0"/>
  </r>
  <r>
    <x v="4"/>
    <s v="Pago electrónico Impuestos"/>
    <s v="Egreso"/>
    <n v="3319.46"/>
    <x v="5"/>
    <x v="5"/>
    <x v="5"/>
    <x v="5"/>
    <x v="0"/>
  </r>
  <r>
    <x v="1"/>
    <s v="Comisión canje Bp"/>
    <s v="Egreso"/>
    <n v="11992.99"/>
    <x v="6"/>
    <x v="6"/>
    <x v="6"/>
    <x v="6"/>
    <x v="0"/>
  </r>
  <r>
    <x v="5"/>
    <s v="Comisionistas"/>
    <s v="Egreso"/>
    <n v="7550"/>
    <x v="7"/>
    <x v="7"/>
    <x v="7"/>
    <x v="7"/>
    <x v="0"/>
  </r>
  <r>
    <x v="3"/>
    <s v="Mantenimiento VCL"/>
    <s v="Egreso"/>
    <n v="16335.03"/>
    <x v="8"/>
    <x v="8"/>
    <x v="4"/>
    <x v="4"/>
    <x v="0"/>
  </r>
  <r>
    <x v="1"/>
    <s v="IVA 21% comisiones"/>
    <s v="Egreso"/>
    <n v="2915.48"/>
    <x v="9"/>
    <x v="9"/>
    <x v="8"/>
    <x v="8"/>
    <x v="0"/>
  </r>
  <r>
    <x v="1"/>
    <s v="Gastos mantenimiento /comisiones varias"/>
    <s v="Egreso"/>
    <n v="1890"/>
    <x v="10"/>
    <x v="10"/>
    <x v="9"/>
    <x v="9"/>
    <x v="0"/>
  </r>
  <r>
    <x v="6"/>
    <s v="Librería"/>
    <s v="Egreso"/>
    <n v="3999.86"/>
    <x v="11"/>
    <x v="11"/>
    <x v="4"/>
    <x v="4"/>
    <x v="0"/>
  </r>
  <r>
    <x v="3"/>
    <s v="Publicidad"/>
    <s v="Egreso"/>
    <m/>
    <x v="12"/>
    <x v="8"/>
    <x v="4"/>
    <x v="4"/>
    <x v="0"/>
  </r>
  <r>
    <x v="1"/>
    <s v="cheque anulado"/>
    <s v="Egreso"/>
    <m/>
    <x v="11"/>
    <x v="12"/>
    <x v="4"/>
    <x v="4"/>
    <x v="0"/>
  </r>
  <r>
    <x v="5"/>
    <s v="Gasto franqueo"/>
    <s v="Egreso"/>
    <n v="4050"/>
    <x v="13"/>
    <x v="13"/>
    <x v="10"/>
    <x v="10"/>
    <x v="1"/>
  </r>
  <r>
    <x v="4"/>
    <s v="Impuestos y servicios"/>
    <s v="Egreso"/>
    <n v="9602.130000000001"/>
    <x v="11"/>
    <x v="14"/>
    <x v="4"/>
    <x v="11"/>
    <x v="2"/>
  </r>
  <r>
    <x v="3"/>
    <s v="Gastos Varios"/>
    <s v="Egreso"/>
    <n v="1520"/>
    <x v="14"/>
    <x v="15"/>
    <x v="11"/>
    <x v="12"/>
    <x v="3"/>
  </r>
  <r>
    <x v="7"/>
    <s v="Servicio de limpieza"/>
    <s v="Egreso"/>
    <n v="1200"/>
    <x v="15"/>
    <x v="16"/>
    <x v="12"/>
    <x v="13"/>
    <x v="4"/>
  </r>
  <r>
    <x v="3"/>
    <s v="Gasto administrativo alquiler Rotary"/>
    <s v="Egreso"/>
    <n v="800"/>
    <x v="12"/>
    <x v="17"/>
    <x v="13"/>
    <x v="14"/>
    <x v="5"/>
  </r>
  <r>
    <x v="3"/>
    <s v="Supermercado"/>
    <s v="Egreso"/>
    <n v="944.6"/>
    <x v="16"/>
    <x v="18"/>
    <x v="4"/>
    <x v="4"/>
    <x v="0"/>
  </r>
  <r>
    <x v="3"/>
    <s v="Gastos de mantenimiento"/>
    <s v="Egreso"/>
    <m/>
    <x v="17"/>
    <x v="8"/>
    <x v="4"/>
    <x v="4"/>
    <x v="6"/>
  </r>
  <r>
    <x v="3"/>
    <s v="Reuniones"/>
    <s v="Egreso"/>
    <m/>
    <x v="11"/>
    <x v="8"/>
    <x v="13"/>
    <x v="4"/>
    <x v="0"/>
  </r>
  <r>
    <x v="5"/>
    <s v="Certificación de firma"/>
    <s v="Egreso"/>
    <m/>
    <x v="11"/>
    <x v="19"/>
    <x v="4"/>
    <x v="4"/>
    <x v="0"/>
  </r>
  <r>
    <x v="6"/>
    <s v="Librería"/>
    <s v="Egreso"/>
    <m/>
    <x v="11"/>
    <x v="8"/>
    <x v="4"/>
    <x v="15"/>
    <x v="0"/>
  </r>
  <r>
    <x v="7"/>
    <s v="Insumos limpieza"/>
    <s v="Egreso"/>
    <m/>
    <x v="11"/>
    <x v="8"/>
    <x v="4"/>
    <x v="16"/>
    <x v="0"/>
  </r>
  <r>
    <x v="6"/>
    <s v="Imprenta"/>
    <s v="Egreso"/>
    <n v="340"/>
    <x v="11"/>
    <x v="8"/>
    <x v="4"/>
    <x v="4"/>
    <x v="0"/>
  </r>
  <r>
    <x v="8"/>
    <m/>
    <m/>
    <m/>
    <x v="11"/>
    <x v="8"/>
    <x v="4"/>
    <x v="4"/>
    <x v="0"/>
  </r>
  <r>
    <x v="8"/>
    <m/>
    <m/>
    <m/>
    <x v="11"/>
    <x v="8"/>
    <x v="4"/>
    <x v="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188">
  <r>
    <d v="2023-02-01T00:00:00"/>
    <x v="0"/>
    <x v="0"/>
    <s v="pago cliente"/>
    <x v="0"/>
    <x v="0"/>
    <m/>
    <s v="Transferencia"/>
    <m/>
    <n v="19500"/>
    <m/>
    <m/>
    <m/>
    <m/>
    <m/>
  </r>
  <r>
    <d v="2023-07-26T00:00:00"/>
    <x v="1"/>
    <x v="0"/>
    <s v="pago cliente"/>
    <x v="0"/>
    <x v="1"/>
    <m/>
    <s v="Transferencia"/>
    <m/>
    <n v="54400"/>
    <m/>
    <m/>
    <m/>
    <m/>
    <m/>
  </r>
  <r>
    <d v="2023-07-27T00:00:00"/>
    <x v="1"/>
    <x v="0"/>
    <s v="pago cliente"/>
    <x v="0"/>
    <x v="2"/>
    <m/>
    <s v="Transferencia"/>
    <m/>
    <n v="73100"/>
    <m/>
    <m/>
    <m/>
    <m/>
    <m/>
  </r>
  <r>
    <d v="2023-07-27T00:00:00"/>
    <x v="1"/>
    <x v="0"/>
    <s v="pago cliente"/>
    <x v="0"/>
    <x v="3"/>
    <m/>
    <s v="Cheque de terceros"/>
    <n v="1575924"/>
    <n v="115000"/>
    <m/>
    <m/>
    <m/>
    <m/>
    <m/>
  </r>
  <r>
    <d v="2023-07-27T00:00:00"/>
    <x v="1"/>
    <x v="0"/>
    <s v="pago cliente"/>
    <x v="0"/>
    <x v="4"/>
    <m/>
    <s v="Transferencia"/>
    <m/>
    <n v="80700"/>
    <m/>
    <m/>
    <m/>
    <m/>
    <m/>
  </r>
  <r>
    <d v="2023-07-28T00:00:00"/>
    <x v="1"/>
    <x v="0"/>
    <s v="pago cliente"/>
    <x v="0"/>
    <x v="5"/>
    <m/>
    <s v="Transferencia"/>
    <m/>
    <n v="68150"/>
    <m/>
    <m/>
    <m/>
    <m/>
    <m/>
  </r>
  <r>
    <d v="2023-07-29T00:00:00"/>
    <x v="1"/>
    <x v="0"/>
    <s v="pago cliente"/>
    <x v="0"/>
    <x v="6"/>
    <m/>
    <s v="Transferencia"/>
    <m/>
    <n v="50500"/>
    <m/>
    <m/>
    <m/>
    <m/>
    <m/>
  </r>
  <r>
    <d v="2023-07-31T00:00:00"/>
    <x v="1"/>
    <x v="0"/>
    <s v="pago cliente"/>
    <x v="0"/>
    <x v="7"/>
    <m/>
    <s v="Transferencia"/>
    <m/>
    <n v="124220"/>
    <m/>
    <m/>
    <m/>
    <m/>
    <m/>
  </r>
  <r>
    <d v="2023-08-01T00:00:00"/>
    <x v="2"/>
    <x v="0"/>
    <s v="pago cliente"/>
    <x v="0"/>
    <x v="8"/>
    <m/>
    <s v="Cheque de terceros"/>
    <m/>
    <n v="100000"/>
    <m/>
    <m/>
    <m/>
    <m/>
    <m/>
  </r>
  <r>
    <d v="2023-08-01T00:00:00"/>
    <x v="2"/>
    <x v="0"/>
    <s v="pago cliente"/>
    <x v="0"/>
    <x v="8"/>
    <m/>
    <s v="Cheque de terceros"/>
    <m/>
    <n v="18792"/>
    <m/>
    <m/>
    <m/>
    <m/>
    <m/>
  </r>
  <r>
    <d v="2023-08-03T00:00:00"/>
    <x v="2"/>
    <x v="0"/>
    <s v="pago cliente"/>
    <x v="0"/>
    <x v="9"/>
    <m/>
    <s v="Transferencia"/>
    <m/>
    <n v="50000"/>
    <m/>
    <m/>
    <m/>
    <m/>
    <m/>
  </r>
  <r>
    <d v="2023-08-03T00:00:00"/>
    <x v="2"/>
    <x v="0"/>
    <s v="pago cliente"/>
    <x v="0"/>
    <x v="10"/>
    <m/>
    <s v="Transferencia"/>
    <m/>
    <n v="51600"/>
    <m/>
    <m/>
    <m/>
    <m/>
    <m/>
  </r>
  <r>
    <d v="2023-08-04T00:00:00"/>
    <x v="2"/>
    <x v="0"/>
    <s v="pago cliente"/>
    <x v="0"/>
    <x v="11"/>
    <m/>
    <s v="Transferencia"/>
    <m/>
    <n v="22000"/>
    <m/>
    <m/>
    <m/>
    <m/>
    <m/>
  </r>
  <r>
    <d v="2023-08-04T00:00:00"/>
    <x v="2"/>
    <x v="0"/>
    <s v="pago cliente"/>
    <x v="0"/>
    <x v="12"/>
    <m/>
    <s v="Cheque de terceros"/>
    <m/>
    <n v="30000"/>
    <m/>
    <m/>
    <m/>
    <m/>
    <m/>
  </r>
  <r>
    <d v="2023-08-08T00:00:00"/>
    <x v="2"/>
    <x v="0"/>
    <s v="Personal"/>
    <x v="1"/>
    <x v="13"/>
    <m/>
    <s v="Transferencia"/>
    <m/>
    <m/>
    <n v="107970"/>
    <m/>
    <m/>
    <m/>
    <m/>
  </r>
  <r>
    <d v="2023-08-08T00:00:00"/>
    <x v="2"/>
    <x v="0"/>
    <s v="pago cliente"/>
    <x v="0"/>
    <x v="14"/>
    <m/>
    <s v="Cheque de terceros"/>
    <m/>
    <n v="87120"/>
    <m/>
    <m/>
    <m/>
    <m/>
    <m/>
  </r>
  <r>
    <d v="2023-08-08T00:00:00"/>
    <x v="2"/>
    <x v="0"/>
    <s v="pago cliente"/>
    <x v="0"/>
    <x v="14"/>
    <m/>
    <s v="Cheque de terceros"/>
    <m/>
    <n v="87120"/>
    <m/>
    <m/>
    <m/>
    <m/>
    <m/>
  </r>
  <r>
    <d v="2023-08-08T00:00:00"/>
    <x v="2"/>
    <x v="0"/>
    <s v="pago cliente"/>
    <x v="0"/>
    <x v="14"/>
    <m/>
    <s v="Cheque de terceros"/>
    <m/>
    <n v="87120"/>
    <m/>
    <m/>
    <m/>
    <m/>
    <m/>
  </r>
  <r>
    <d v="2023-08-09T00:00:00"/>
    <x v="2"/>
    <x v="0"/>
    <s v="pago cliente"/>
    <x v="0"/>
    <x v="15"/>
    <m/>
    <s v="Transferencia"/>
    <m/>
    <n v="121900"/>
    <m/>
    <m/>
    <m/>
    <m/>
    <m/>
  </r>
  <r>
    <d v="2023-08-09T00:00:00"/>
    <x v="2"/>
    <x v="0"/>
    <s v="pago cliente"/>
    <x v="0"/>
    <x v="16"/>
    <m/>
    <s v="Transferencia"/>
    <m/>
    <n v="17693"/>
    <m/>
    <m/>
    <m/>
    <m/>
    <m/>
  </r>
  <r>
    <d v="2023-08-09T00:00:00"/>
    <x v="2"/>
    <x v="0"/>
    <s v="pago cliente"/>
    <x v="0"/>
    <x v="17"/>
    <m/>
    <s v="Transferencia"/>
    <m/>
    <n v="10500"/>
    <m/>
    <m/>
    <m/>
    <m/>
    <m/>
  </r>
  <r>
    <d v="2023-08-09T00:00:00"/>
    <x v="2"/>
    <x v="0"/>
    <s v="pago cliente"/>
    <x v="0"/>
    <x v="18"/>
    <m/>
    <s v="Transferencia"/>
    <m/>
    <n v="52900"/>
    <m/>
    <m/>
    <m/>
    <m/>
    <m/>
  </r>
  <r>
    <d v="2023-08-10T00:00:00"/>
    <x v="2"/>
    <x v="0"/>
    <s v="pago cliente"/>
    <x v="0"/>
    <x v="19"/>
    <m/>
    <s v="Transferencia"/>
    <m/>
    <n v="21800"/>
    <m/>
    <m/>
    <m/>
    <m/>
    <m/>
  </r>
  <r>
    <d v="2023-08-11T00:00:00"/>
    <x v="2"/>
    <x v="0"/>
    <s v="pago cliente"/>
    <x v="0"/>
    <x v="20"/>
    <m/>
    <s v="Transferencia"/>
    <m/>
    <n v="53762.5"/>
    <m/>
    <m/>
    <m/>
    <m/>
    <m/>
  </r>
  <r>
    <d v="2023-08-15T00:00:00"/>
    <x v="2"/>
    <x v="0"/>
    <s v="pago cliente"/>
    <x v="0"/>
    <x v="21"/>
    <m/>
    <s v="Transferencia"/>
    <m/>
    <n v="36800"/>
    <m/>
    <m/>
    <m/>
    <m/>
    <m/>
  </r>
  <r>
    <d v="2023-08-15T00:00:00"/>
    <x v="2"/>
    <x v="0"/>
    <s v="pago cliente"/>
    <x v="0"/>
    <x v="8"/>
    <m/>
    <s v="Cheque de terceros"/>
    <m/>
    <n v="35000"/>
    <m/>
    <m/>
    <m/>
    <m/>
    <m/>
  </r>
  <r>
    <d v="2023-08-15T00:00:00"/>
    <x v="2"/>
    <x v="0"/>
    <s v="pago cliente"/>
    <x v="0"/>
    <x v="8"/>
    <m/>
    <s v="Cheque de terceros"/>
    <m/>
    <n v="28000"/>
    <m/>
    <m/>
    <m/>
    <m/>
    <m/>
  </r>
  <r>
    <d v="2023-08-15T00:00:00"/>
    <x v="2"/>
    <x v="0"/>
    <s v="pago cliente"/>
    <x v="0"/>
    <x v="22"/>
    <m/>
    <s v="Transferencia"/>
    <m/>
    <n v="76750"/>
    <m/>
    <m/>
    <m/>
    <m/>
    <m/>
  </r>
  <r>
    <d v="2023-08-15T00:00:00"/>
    <x v="2"/>
    <x v="0"/>
    <s v="pago cliente"/>
    <x v="0"/>
    <x v="23"/>
    <m/>
    <s v="Cheque de terceros"/>
    <m/>
    <n v="102615"/>
    <m/>
    <m/>
    <m/>
    <m/>
    <m/>
  </r>
  <r>
    <d v="2023-08-16T00:00:00"/>
    <x v="2"/>
    <x v="0"/>
    <s v="pago cliente"/>
    <x v="0"/>
    <x v="24"/>
    <m/>
    <s v="Transferencia"/>
    <m/>
    <n v="25000"/>
    <m/>
    <m/>
    <m/>
    <m/>
    <m/>
  </r>
  <r>
    <d v="2023-08-17T00:00:00"/>
    <x v="2"/>
    <x v="0"/>
    <s v="pago cliente"/>
    <x v="0"/>
    <x v="25"/>
    <m/>
    <s v="Cheque de terceros"/>
    <m/>
    <n v="75000"/>
    <m/>
    <m/>
    <m/>
    <m/>
    <m/>
  </r>
  <r>
    <d v="2023-08-17T00:00:00"/>
    <x v="2"/>
    <x v="0"/>
    <s v="pago cliente"/>
    <x v="0"/>
    <x v="25"/>
    <m/>
    <s v="Cheque de terceros"/>
    <m/>
    <n v="60000"/>
    <m/>
    <m/>
    <m/>
    <m/>
    <m/>
  </r>
  <r>
    <d v="2023-08-17T00:00:00"/>
    <x v="2"/>
    <x v="0"/>
    <s v="pago cliente"/>
    <x v="0"/>
    <x v="26"/>
    <m/>
    <s v="Cheque de terceros"/>
    <m/>
    <n v="29460"/>
    <m/>
    <m/>
    <m/>
    <m/>
    <m/>
  </r>
  <r>
    <d v="2023-08-17T00:00:00"/>
    <x v="2"/>
    <x v="0"/>
    <s v="Pago proveedor"/>
    <x v="0"/>
    <x v="27"/>
    <s v="Repuestos Serrano"/>
    <s v="Cheque de terceros"/>
    <m/>
    <m/>
    <n v="102615"/>
    <m/>
    <m/>
    <m/>
    <m/>
  </r>
  <r>
    <d v="2023-08-17T00:00:00"/>
    <x v="2"/>
    <x v="0"/>
    <s v="pago cliente"/>
    <x v="0"/>
    <x v="28"/>
    <m/>
    <s v="Transferencia"/>
    <m/>
    <n v="84580"/>
    <m/>
    <m/>
    <m/>
    <m/>
    <m/>
  </r>
  <r>
    <d v="2023-08-18T00:00:00"/>
    <x v="2"/>
    <x v="0"/>
    <s v="pago cliente"/>
    <x v="0"/>
    <x v="24"/>
    <m/>
    <s v="Transferencia"/>
    <m/>
    <n v="57600"/>
    <m/>
    <m/>
    <m/>
    <m/>
    <m/>
  </r>
  <r>
    <d v="2023-08-18T00:00:00"/>
    <x v="2"/>
    <x v="0"/>
    <s v="pago cliente"/>
    <x v="0"/>
    <x v="29"/>
    <m/>
    <s v="Cheque de terceros"/>
    <m/>
    <n v="7000"/>
    <m/>
    <m/>
    <m/>
    <m/>
    <m/>
  </r>
  <r>
    <d v="2023-08-18T00:00:00"/>
    <x v="2"/>
    <x v="0"/>
    <s v="pago cliente"/>
    <x v="0"/>
    <x v="29"/>
    <m/>
    <s v="Cheque de terceros"/>
    <m/>
    <n v="6500"/>
    <m/>
    <m/>
    <m/>
    <m/>
    <m/>
  </r>
  <r>
    <d v="2023-08-22T00:00:00"/>
    <x v="2"/>
    <x v="0"/>
    <s v="pago cliente"/>
    <x v="0"/>
    <x v="30"/>
    <m/>
    <s v="Transferencia"/>
    <m/>
    <n v="95200"/>
    <m/>
    <m/>
    <m/>
    <m/>
    <m/>
  </r>
  <r>
    <d v="2023-08-22T00:00:00"/>
    <x v="2"/>
    <x v="0"/>
    <s v="pago cliente"/>
    <x v="0"/>
    <x v="31"/>
    <m/>
    <s v="Cheque de terceros"/>
    <m/>
    <n v="107000"/>
    <m/>
    <m/>
    <m/>
    <m/>
    <m/>
  </r>
  <r>
    <d v="2023-08-22T00:00:00"/>
    <x v="2"/>
    <x v="0"/>
    <s v="pago cliente"/>
    <x v="0"/>
    <x v="32"/>
    <m/>
    <s v="Cheque de terceros"/>
    <m/>
    <n v="30000"/>
    <m/>
    <m/>
    <m/>
    <m/>
    <m/>
  </r>
  <r>
    <d v="2023-08-22T00:00:00"/>
    <x v="2"/>
    <x v="0"/>
    <s v="pago cliente"/>
    <x v="0"/>
    <x v="32"/>
    <m/>
    <s v="Cheque de terceros"/>
    <m/>
    <n v="35000"/>
    <m/>
    <m/>
    <m/>
    <m/>
    <m/>
  </r>
  <r>
    <d v="2023-08-22T00:00:00"/>
    <x v="2"/>
    <x v="0"/>
    <s v="pago cliente"/>
    <x v="0"/>
    <x v="33"/>
    <m/>
    <s v="Cheque de terceros"/>
    <m/>
    <n v="46375"/>
    <m/>
    <m/>
    <m/>
    <m/>
    <m/>
  </r>
  <r>
    <d v="2023-08-22T00:00:00"/>
    <x v="2"/>
    <x v="0"/>
    <s v="pago cliente"/>
    <x v="0"/>
    <x v="33"/>
    <m/>
    <s v="Cheque de terceros"/>
    <m/>
    <n v="51000"/>
    <m/>
    <m/>
    <m/>
    <m/>
    <m/>
  </r>
  <r>
    <d v="2023-08-23T00:00:00"/>
    <x v="2"/>
    <x v="0"/>
    <s v="Pago proveedor"/>
    <x v="0"/>
    <x v="27"/>
    <s v="Rep Center"/>
    <s v="Cheque de terceros"/>
    <m/>
    <m/>
    <n v="115000"/>
    <m/>
    <m/>
    <m/>
    <m/>
  </r>
  <r>
    <d v="2023-08-23T00:00:00"/>
    <x v="2"/>
    <x v="0"/>
    <s v="Pago proveedor"/>
    <x v="0"/>
    <x v="27"/>
    <s v="Rep Center"/>
    <s v="Cheque de terceros"/>
    <m/>
    <m/>
    <n v="28000"/>
    <m/>
    <m/>
    <m/>
    <m/>
  </r>
  <r>
    <d v="2023-08-23T00:00:00"/>
    <x v="2"/>
    <x v="0"/>
    <s v="Pago proveedor"/>
    <x v="0"/>
    <x v="27"/>
    <s v="Rep Center"/>
    <s v="Cheque de terceros"/>
    <m/>
    <m/>
    <n v="35000"/>
    <m/>
    <m/>
    <m/>
    <m/>
  </r>
  <r>
    <d v="2023-08-23T00:00:00"/>
    <x v="2"/>
    <x v="0"/>
    <s v="Pago proveedor"/>
    <x v="0"/>
    <x v="27"/>
    <s v="Rep Center"/>
    <s v="Cheque de terceros"/>
    <m/>
    <m/>
    <n v="6500"/>
    <m/>
    <m/>
    <m/>
    <m/>
  </r>
  <r>
    <d v="2023-08-23T00:00:00"/>
    <x v="2"/>
    <x v="0"/>
    <s v="Pago proveedor"/>
    <x v="0"/>
    <x v="27"/>
    <s v="Rep Center"/>
    <s v="Cheque de terceros"/>
    <m/>
    <m/>
    <n v="7000"/>
    <m/>
    <m/>
    <m/>
    <m/>
  </r>
  <r>
    <d v="2023-08-23T00:00:00"/>
    <x v="2"/>
    <x v="0"/>
    <s v="Pago proveedor"/>
    <x v="0"/>
    <x v="27"/>
    <s v="Rep Center"/>
    <s v="Cheque de terceros"/>
    <m/>
    <m/>
    <n v="51000"/>
    <m/>
    <m/>
    <m/>
    <m/>
  </r>
  <r>
    <d v="2023-08-23T00:00:00"/>
    <x v="2"/>
    <x v="0"/>
    <s v="Pago proveedor"/>
    <x v="0"/>
    <x v="27"/>
    <s v="Rep Center"/>
    <s v="Cheque de terceros"/>
    <m/>
    <m/>
    <n v="46375"/>
    <m/>
    <m/>
    <m/>
    <m/>
  </r>
  <r>
    <d v="2023-08-23T00:00:00"/>
    <x v="2"/>
    <x v="0"/>
    <s v="Pago proveedor"/>
    <x v="0"/>
    <x v="27"/>
    <s v="Rep Center"/>
    <s v="Cheque de terceros"/>
    <m/>
    <m/>
    <n v="30000"/>
    <m/>
    <m/>
    <m/>
    <m/>
  </r>
  <r>
    <d v="2023-08-23T00:00:00"/>
    <x v="2"/>
    <x v="0"/>
    <s v="Pago proveedor"/>
    <x v="0"/>
    <x v="27"/>
    <s v="Rep Center"/>
    <s v="Cheque de terceros"/>
    <m/>
    <m/>
    <n v="35000"/>
    <m/>
    <m/>
    <m/>
    <m/>
  </r>
  <r>
    <d v="2023-08-23T00:00:00"/>
    <x v="2"/>
    <x v="0"/>
    <s v="pago cliente"/>
    <x v="0"/>
    <x v="34"/>
    <m/>
    <s v="Transferencia"/>
    <m/>
    <n v="150000"/>
    <m/>
    <m/>
    <m/>
    <m/>
    <m/>
  </r>
  <r>
    <d v="2023-08-28T00:00:00"/>
    <x v="2"/>
    <x v="0"/>
    <s v="pago cliente"/>
    <x v="0"/>
    <x v="35"/>
    <m/>
    <s v="Cheque de terceros"/>
    <m/>
    <n v="10900"/>
    <m/>
    <m/>
    <m/>
    <m/>
    <m/>
  </r>
  <r>
    <d v="2023-08-29T00:00:00"/>
    <x v="2"/>
    <x v="0"/>
    <s v="pago cliente"/>
    <x v="0"/>
    <x v="36"/>
    <m/>
    <s v="Transferencia"/>
    <m/>
    <n v="74690"/>
    <m/>
    <m/>
    <m/>
    <m/>
    <m/>
  </r>
  <r>
    <d v="2023-08-29T00:00:00"/>
    <x v="2"/>
    <x v="0"/>
    <s v="pago cliente"/>
    <x v="0"/>
    <x v="37"/>
    <m/>
    <s v="Transferencia"/>
    <m/>
    <n v="76250"/>
    <m/>
    <m/>
    <m/>
    <m/>
    <m/>
  </r>
  <r>
    <d v="2023-08-29T00:00:00"/>
    <x v="2"/>
    <x v="0"/>
    <s v="pago cliente"/>
    <x v="0"/>
    <x v="38"/>
    <m/>
    <s v="Transferencia"/>
    <m/>
    <n v="50000"/>
    <m/>
    <m/>
    <m/>
    <m/>
    <m/>
  </r>
  <r>
    <d v="2023-08-29T00:00:00"/>
    <x v="2"/>
    <x v="0"/>
    <s v="Pago proveedor"/>
    <x v="0"/>
    <x v="27"/>
    <s v="Wurth"/>
    <s v="Cheque de terceros"/>
    <m/>
    <m/>
    <n v="87120"/>
    <m/>
    <m/>
    <m/>
    <m/>
  </r>
  <r>
    <d v="2023-08-29T00:00:00"/>
    <x v="2"/>
    <x v="0"/>
    <s v="Pago proveedor"/>
    <x v="0"/>
    <x v="27"/>
    <s v="Wurth"/>
    <s v="Cheque de terceros"/>
    <m/>
    <m/>
    <n v="87120"/>
    <m/>
    <m/>
    <m/>
    <m/>
  </r>
  <r>
    <d v="2023-08-29T00:00:00"/>
    <x v="2"/>
    <x v="0"/>
    <s v="Pago proveedor"/>
    <x v="0"/>
    <x v="27"/>
    <s v="Wurth"/>
    <s v="Cheque de terceros"/>
    <m/>
    <m/>
    <n v="107000"/>
    <m/>
    <m/>
    <m/>
    <m/>
  </r>
  <r>
    <d v="2023-08-31T00:00:00"/>
    <x v="2"/>
    <x v="0"/>
    <s v="pago cliente"/>
    <x v="0"/>
    <x v="39"/>
    <m/>
    <s v="Cheque de terceros"/>
    <m/>
    <n v="50000"/>
    <m/>
    <m/>
    <m/>
    <m/>
    <m/>
  </r>
  <r>
    <d v="2023-08-31T00:00:00"/>
    <x v="2"/>
    <x v="0"/>
    <s v="pago cliente"/>
    <x v="0"/>
    <x v="39"/>
    <m/>
    <s v="Cheque de terceros"/>
    <m/>
    <n v="63440"/>
    <m/>
    <m/>
    <m/>
    <m/>
    <m/>
  </r>
  <r>
    <d v="2023-08-31T00:00:00"/>
    <x v="2"/>
    <x v="0"/>
    <s v="pago cliente"/>
    <x v="0"/>
    <x v="40"/>
    <m/>
    <s v="Transferencia"/>
    <m/>
    <n v="50000"/>
    <m/>
    <m/>
    <m/>
    <m/>
    <m/>
  </r>
  <r>
    <d v="2023-08-31T00:00:00"/>
    <x v="2"/>
    <x v="0"/>
    <s v="pago cliente"/>
    <x v="0"/>
    <x v="41"/>
    <m/>
    <s v="Cheque de terceros"/>
    <m/>
    <n v="42350"/>
    <m/>
    <m/>
    <m/>
    <m/>
    <m/>
  </r>
  <r>
    <d v="2023-08-31T00:00:00"/>
    <x v="2"/>
    <x v="0"/>
    <s v="pago cliente"/>
    <x v="0"/>
    <x v="42"/>
    <m/>
    <s v="Transferencia"/>
    <m/>
    <n v="213100"/>
    <m/>
    <m/>
    <m/>
    <m/>
    <m/>
  </r>
  <r>
    <d v="2023-08-31T00:00:00"/>
    <x v="2"/>
    <x v="0"/>
    <s v="Pago proveedor"/>
    <x v="0"/>
    <x v="27"/>
    <s v="Barotto Marcelo "/>
    <s v="Cheque de terceros"/>
    <m/>
    <m/>
    <n v="213100"/>
    <m/>
    <m/>
    <m/>
    <m/>
  </r>
  <r>
    <d v="2023-09-01T00:00:00"/>
    <x v="3"/>
    <x v="0"/>
    <s v="Pago proveedor"/>
    <x v="0"/>
    <x v="27"/>
    <s v="Barotto Marcelo "/>
    <s v="Cheque de terceros"/>
    <m/>
    <m/>
    <n v="42350"/>
    <m/>
    <m/>
    <m/>
    <m/>
  </r>
  <r>
    <d v="2023-09-01T00:00:00"/>
    <x v="3"/>
    <x v="0"/>
    <s v="Pago proveedor"/>
    <x v="0"/>
    <x v="27"/>
    <s v="Barotto Marcelo "/>
    <s v="Cheque de terceros"/>
    <m/>
    <m/>
    <n v="50000"/>
    <m/>
    <m/>
    <m/>
    <m/>
  </r>
  <r>
    <d v="2023-09-01T00:00:00"/>
    <x v="3"/>
    <x v="0"/>
    <s v="Pago proveedor"/>
    <x v="0"/>
    <x v="27"/>
    <s v="Barotto Marcelo "/>
    <s v="Cheque de terceros"/>
    <m/>
    <m/>
    <n v="63440"/>
    <m/>
    <m/>
    <m/>
    <m/>
  </r>
  <r>
    <d v="2023-09-01T00:00:00"/>
    <x v="3"/>
    <x v="0"/>
    <s v="Pago proveedor"/>
    <x v="0"/>
    <x v="27"/>
    <s v="Barotto Marcelo "/>
    <s v="Cheque de terceros"/>
    <m/>
    <m/>
    <n v="10900"/>
    <m/>
    <m/>
    <m/>
    <m/>
  </r>
  <r>
    <d v="2023-09-01T00:00:00"/>
    <x v="3"/>
    <x v="0"/>
    <s v="Pago proveedor"/>
    <x v="0"/>
    <x v="27"/>
    <s v="Barotto Marcelo "/>
    <s v="Cheque de terceros"/>
    <m/>
    <m/>
    <n v="60000"/>
    <m/>
    <m/>
    <m/>
    <m/>
  </r>
  <r>
    <d v="2023-09-01T00:00:00"/>
    <x v="3"/>
    <x v="0"/>
    <s v="Pago proveedor"/>
    <x v="0"/>
    <x v="27"/>
    <s v="Barotto Marcelo "/>
    <s v="Cheque de terceros"/>
    <m/>
    <m/>
    <n v="29460"/>
    <m/>
    <m/>
    <m/>
    <m/>
  </r>
  <r>
    <d v="2023-09-01T00:00:00"/>
    <x v="3"/>
    <x v="0"/>
    <s v="Pago proveedor"/>
    <x v="0"/>
    <x v="27"/>
    <s v="Barotto Marcelo "/>
    <s v="Cheque de terceros"/>
    <m/>
    <m/>
    <n v="75000"/>
    <m/>
    <m/>
    <m/>
    <m/>
  </r>
  <r>
    <d v="2023-09-01T00:00:00"/>
    <x v="3"/>
    <x v="0"/>
    <s v="pago cliente"/>
    <x v="0"/>
    <x v="43"/>
    <m/>
    <s v="Transferencia"/>
    <m/>
    <n v="133750"/>
    <m/>
    <m/>
    <m/>
    <m/>
    <m/>
  </r>
  <r>
    <d v="2023-09-04T00:00:00"/>
    <x v="3"/>
    <x v="0"/>
    <s v="servicios"/>
    <x v="0"/>
    <x v="44"/>
    <m/>
    <m/>
    <m/>
    <m/>
    <n v="70583.59"/>
    <m/>
    <m/>
    <m/>
    <m/>
  </r>
  <r>
    <d v="2023-09-04T00:00:00"/>
    <x v="3"/>
    <x v="0"/>
    <s v="pago cliente"/>
    <x v="0"/>
    <x v="45"/>
    <m/>
    <s v="Transferencia"/>
    <m/>
    <n v="12100"/>
    <m/>
    <m/>
    <m/>
    <m/>
    <m/>
  </r>
  <r>
    <d v="2023-09-05T00:00:00"/>
    <x v="3"/>
    <x v="0"/>
    <s v="pago cliente"/>
    <x v="0"/>
    <x v="46"/>
    <m/>
    <s v="Transferencia"/>
    <m/>
    <n v="26800"/>
    <m/>
    <m/>
    <m/>
    <m/>
    <m/>
  </r>
  <r>
    <d v="2023-09-05T00:00:00"/>
    <x v="3"/>
    <x v="0"/>
    <s v="pago cliente"/>
    <x v="0"/>
    <x v="11"/>
    <m/>
    <s v="Transferencia"/>
    <m/>
    <n v="68400"/>
    <m/>
    <m/>
    <m/>
    <m/>
    <m/>
  </r>
  <r>
    <d v="2023-09-06T00:00:00"/>
    <x v="3"/>
    <x v="0"/>
    <s v="Gastos generales"/>
    <x v="0"/>
    <x v="47"/>
    <m/>
    <s v="Transferencia"/>
    <m/>
    <m/>
    <n v="100000"/>
    <m/>
    <m/>
    <m/>
    <m/>
  </r>
  <r>
    <d v="2023-09-06T00:00:00"/>
    <x v="3"/>
    <x v="0"/>
    <s v="pago cliente"/>
    <x v="0"/>
    <x v="29"/>
    <m/>
    <s v="Cheque de terceros"/>
    <m/>
    <n v="15000"/>
    <m/>
    <m/>
    <m/>
    <m/>
    <m/>
  </r>
  <r>
    <d v="2023-09-06T00:00:00"/>
    <x v="3"/>
    <x v="0"/>
    <s v="pago cliente"/>
    <x v="0"/>
    <x v="29"/>
    <m/>
    <s v="Cheque de terceros"/>
    <m/>
    <n v="13265.39"/>
    <m/>
    <m/>
    <m/>
    <m/>
    <m/>
  </r>
  <r>
    <d v="2023-09-07T00:00:00"/>
    <x v="3"/>
    <x v="0"/>
    <s v="pago cliente"/>
    <x v="0"/>
    <x v="48"/>
    <m/>
    <s v="Transferencia"/>
    <m/>
    <n v="65850"/>
    <m/>
    <m/>
    <m/>
    <m/>
    <m/>
  </r>
  <r>
    <d v="2023-09-07T00:00:00"/>
    <x v="3"/>
    <x v="0"/>
    <s v="Pago proveedor"/>
    <x v="0"/>
    <x v="27"/>
    <s v="Barotto Marcelo "/>
    <s v="Transferencia"/>
    <m/>
    <m/>
    <n v="65850"/>
    <m/>
    <m/>
    <m/>
    <m/>
  </r>
  <r>
    <d v="2023-09-07T00:00:00"/>
    <x v="3"/>
    <x v="0"/>
    <s v="pago cliente"/>
    <x v="0"/>
    <x v="39"/>
    <m/>
    <s v="Transferencia"/>
    <m/>
    <n v="100000"/>
    <m/>
    <m/>
    <m/>
    <m/>
    <m/>
  </r>
  <r>
    <d v="2023-09-08T00:00:00"/>
    <x v="3"/>
    <x v="0"/>
    <s v="pago cliente"/>
    <x v="0"/>
    <x v="49"/>
    <m/>
    <s v="Transferencia"/>
    <m/>
    <n v="245000"/>
    <m/>
    <m/>
    <m/>
    <m/>
    <m/>
  </r>
  <r>
    <d v="2023-09-08T00:00:00"/>
    <x v="3"/>
    <x v="0"/>
    <s v="Pago proveedor"/>
    <x v="0"/>
    <x v="27"/>
    <s v="Barotto Marcelo "/>
    <s v="Transferencia"/>
    <m/>
    <m/>
    <n v="245000"/>
    <m/>
    <m/>
    <m/>
    <m/>
  </r>
  <r>
    <d v="2023-09-08T00:00:00"/>
    <x v="3"/>
    <x v="0"/>
    <s v="pago cliente"/>
    <x v="0"/>
    <x v="50"/>
    <m/>
    <s v="Transferencia"/>
    <m/>
    <n v="356000"/>
    <m/>
    <m/>
    <m/>
    <m/>
    <m/>
  </r>
  <r>
    <d v="2023-09-08T00:00:00"/>
    <x v="3"/>
    <x v="0"/>
    <s v="Pago proveedor"/>
    <x v="0"/>
    <x v="27"/>
    <s v="Barotto Marcelo "/>
    <s v="Transferencia"/>
    <m/>
    <m/>
    <n v="356000"/>
    <m/>
    <m/>
    <m/>
    <m/>
  </r>
  <r>
    <d v="2023-09-09T00:00:00"/>
    <x v="3"/>
    <x v="0"/>
    <s v="Pago proveedor"/>
    <x v="0"/>
    <x v="27"/>
    <s v="Wurth"/>
    <s v="Transferencia"/>
    <m/>
    <m/>
    <n v="235800"/>
    <m/>
    <m/>
    <m/>
    <m/>
  </r>
  <r>
    <d v="2023-09-09T00:00:00"/>
    <x v="3"/>
    <x v="0"/>
    <s v="Pago proveedor"/>
    <x v="0"/>
    <x v="27"/>
    <s v="Gutierrez"/>
    <s v="Transferencia"/>
    <m/>
    <m/>
    <n v="53562.48"/>
    <m/>
    <m/>
    <m/>
    <m/>
  </r>
  <r>
    <d v="2023-09-11T00:00:00"/>
    <x v="3"/>
    <x v="0"/>
    <s v="pago cliente"/>
    <x v="0"/>
    <x v="51"/>
    <m/>
    <s v="Cheque de terceros"/>
    <m/>
    <n v="117571.63"/>
    <m/>
    <m/>
    <m/>
    <m/>
    <m/>
  </r>
  <r>
    <d v="2023-09-11T00:00:00"/>
    <x v="3"/>
    <x v="0"/>
    <s v="pago cliente"/>
    <x v="0"/>
    <x v="51"/>
    <m/>
    <s v="Cheque de terceros"/>
    <m/>
    <n v="117571.63"/>
    <m/>
    <m/>
    <m/>
    <m/>
    <m/>
  </r>
  <r>
    <d v="2023-09-11T00:00:00"/>
    <x v="3"/>
    <x v="0"/>
    <s v="pago cliente"/>
    <x v="0"/>
    <x v="51"/>
    <m/>
    <s v="Cheque de terceros"/>
    <m/>
    <n v="117571.63"/>
    <m/>
    <m/>
    <m/>
    <m/>
    <m/>
  </r>
  <r>
    <d v="2023-09-11T00:00:00"/>
    <x v="3"/>
    <x v="0"/>
    <s v="pago cliente"/>
    <x v="0"/>
    <x v="52"/>
    <m/>
    <s v="Transferencia"/>
    <m/>
    <n v="69920"/>
    <m/>
    <m/>
    <m/>
    <m/>
    <m/>
  </r>
  <r>
    <d v="2023-09-11T00:00:00"/>
    <x v="3"/>
    <x v="0"/>
    <s v="pago cliente"/>
    <x v="0"/>
    <x v="53"/>
    <m/>
    <s v="Transferencia"/>
    <m/>
    <n v="76800"/>
    <m/>
    <m/>
    <m/>
    <m/>
    <m/>
  </r>
  <r>
    <d v="2023-09-11T00:00:00"/>
    <x v="3"/>
    <x v="0"/>
    <s v="Pago proveedor"/>
    <x v="0"/>
    <x v="27"/>
    <s v="Barotto Marcelo "/>
    <s v="Transferencia"/>
    <m/>
    <m/>
    <n v="76800"/>
    <m/>
    <m/>
    <m/>
    <m/>
  </r>
  <r>
    <d v="2023-09-12T00:00:00"/>
    <x v="3"/>
    <x v="0"/>
    <s v="pago cliente"/>
    <x v="0"/>
    <x v="54"/>
    <m/>
    <s v="Transferencia"/>
    <m/>
    <n v="100000"/>
    <m/>
    <m/>
    <m/>
    <m/>
    <m/>
  </r>
  <r>
    <d v="2023-09-12T00:00:00"/>
    <x v="3"/>
    <x v="0"/>
    <s v="pago cliente"/>
    <x v="0"/>
    <x v="55"/>
    <m/>
    <s v="Cheque de terceros"/>
    <m/>
    <n v="281468"/>
    <m/>
    <m/>
    <m/>
    <m/>
    <m/>
  </r>
  <r>
    <d v="2023-09-12T00:00:00"/>
    <x v="3"/>
    <x v="0"/>
    <s v="pago cliente"/>
    <x v="0"/>
    <x v="56"/>
    <m/>
    <s v="Transferencia"/>
    <m/>
    <n v="21800"/>
    <m/>
    <m/>
    <m/>
    <m/>
    <m/>
  </r>
  <r>
    <d v="2023-09-12T00:00:00"/>
    <x v="3"/>
    <x v="0"/>
    <s v="pago cliente"/>
    <x v="0"/>
    <x v="57"/>
    <m/>
    <s v="Cheque de terceros"/>
    <m/>
    <n v="200000"/>
    <m/>
    <m/>
    <m/>
    <m/>
    <m/>
  </r>
  <r>
    <d v="2023-09-12T00:00:00"/>
    <x v="3"/>
    <x v="0"/>
    <s v="pago cliente"/>
    <x v="0"/>
    <x v="57"/>
    <m/>
    <s v="Cheque de terceros"/>
    <m/>
    <n v="100000"/>
    <m/>
    <m/>
    <m/>
    <m/>
    <m/>
  </r>
  <r>
    <d v="2023-09-12T00:00:00"/>
    <x v="3"/>
    <x v="0"/>
    <s v="pago cliente"/>
    <x v="0"/>
    <x v="58"/>
    <m/>
    <s v="Transferencia"/>
    <m/>
    <n v="114800"/>
    <m/>
    <m/>
    <m/>
    <m/>
    <m/>
  </r>
  <r>
    <d v="2023-09-13T00:00:00"/>
    <x v="3"/>
    <x v="0"/>
    <s v="Personal"/>
    <x v="1"/>
    <x v="13"/>
    <m/>
    <s v="Transferencia"/>
    <m/>
    <m/>
    <n v="116760"/>
    <m/>
    <m/>
    <m/>
    <m/>
  </r>
  <r>
    <d v="2023-09-13T00:00:00"/>
    <x v="3"/>
    <x v="0"/>
    <s v="Pago proveedor"/>
    <x v="0"/>
    <x v="27"/>
    <s v="Rio rep"/>
    <s v="Cheque de terceros"/>
    <m/>
    <m/>
    <n v="100000"/>
    <m/>
    <m/>
    <m/>
    <m/>
  </r>
  <r>
    <d v="2023-09-13T00:00:00"/>
    <x v="3"/>
    <x v="0"/>
    <s v="Pago proveedor"/>
    <x v="0"/>
    <x v="27"/>
    <s v="Rio rep"/>
    <s v="Cheque de terceros"/>
    <m/>
    <m/>
    <n v="13265.39"/>
    <m/>
    <m/>
    <m/>
    <m/>
  </r>
  <r>
    <d v="2023-09-13T00:00:00"/>
    <x v="3"/>
    <x v="0"/>
    <s v="Pago proveedor"/>
    <x v="0"/>
    <x v="27"/>
    <s v="Rio rep"/>
    <s v="Cheque de terceros"/>
    <m/>
    <m/>
    <n v="15000"/>
    <m/>
    <m/>
    <m/>
    <m/>
  </r>
  <r>
    <d v="2023-09-13T00:00:00"/>
    <x v="3"/>
    <x v="0"/>
    <s v="Pago proveedor"/>
    <x v="0"/>
    <x v="27"/>
    <s v="Rio rep"/>
    <s v="Cheque de terceros"/>
    <m/>
    <m/>
    <n v="23084.61"/>
    <m/>
    <m/>
    <m/>
    <m/>
  </r>
  <r>
    <d v="2023-09-14T00:00:00"/>
    <x v="3"/>
    <x v="0"/>
    <s v="pago cliente"/>
    <x v="0"/>
    <x v="32"/>
    <m/>
    <s v="Cheque de terceros"/>
    <m/>
    <n v="17100"/>
    <m/>
    <m/>
    <m/>
    <m/>
    <m/>
  </r>
  <r>
    <d v="2023-09-14T00:00:00"/>
    <x v="3"/>
    <x v="0"/>
    <s v="pago cliente"/>
    <x v="0"/>
    <x v="32"/>
    <m/>
    <s v="Cheque de terceros"/>
    <m/>
    <n v="5600"/>
    <m/>
    <m/>
    <m/>
    <m/>
    <m/>
  </r>
  <r>
    <d v="2023-09-14T00:00:00"/>
    <x v="3"/>
    <x v="0"/>
    <s v="pago cliente"/>
    <x v="0"/>
    <x v="32"/>
    <m/>
    <s v="Cheque de terceros"/>
    <m/>
    <n v="49000"/>
    <m/>
    <m/>
    <m/>
    <m/>
    <m/>
  </r>
  <r>
    <d v="2023-09-14T00:00:00"/>
    <x v="3"/>
    <x v="0"/>
    <s v="pago cliente"/>
    <x v="0"/>
    <x v="32"/>
    <m/>
    <s v="Cheque de terceros"/>
    <m/>
    <n v="6300"/>
    <m/>
    <m/>
    <m/>
    <m/>
    <m/>
  </r>
  <r>
    <d v="2023-09-14T00:00:00"/>
    <x v="3"/>
    <x v="0"/>
    <s v="pago cliente"/>
    <x v="0"/>
    <x v="59"/>
    <m/>
    <s v="Cheque de terceros"/>
    <m/>
    <n v="100000"/>
    <m/>
    <m/>
    <m/>
    <m/>
    <m/>
  </r>
  <r>
    <d v="2023-09-15T00:00:00"/>
    <x v="3"/>
    <x v="0"/>
    <s v="pago cliente"/>
    <x v="0"/>
    <x v="60"/>
    <m/>
    <s v="Cheque de terceros"/>
    <m/>
    <n v="123000"/>
    <m/>
    <m/>
    <m/>
    <m/>
    <m/>
  </r>
  <r>
    <d v="2023-09-15T00:00:00"/>
    <x v="3"/>
    <x v="0"/>
    <s v="pago cliente"/>
    <x v="0"/>
    <x v="60"/>
    <m/>
    <s v="Cheque de terceros"/>
    <m/>
    <n v="27812"/>
    <m/>
    <m/>
    <m/>
    <m/>
    <m/>
  </r>
  <r>
    <d v="2023-09-15T00:00:00"/>
    <x v="3"/>
    <x v="0"/>
    <s v="Pago proveedor"/>
    <x v="0"/>
    <x v="27"/>
    <s v="TDI"/>
    <s v="Cheque de terceros"/>
    <m/>
    <m/>
    <n v="85940"/>
    <m/>
    <m/>
    <m/>
    <m/>
  </r>
  <r>
    <d v="2023-09-15T00:00:00"/>
    <x v="3"/>
    <x v="0"/>
    <s v="Pago proveedor"/>
    <x v="0"/>
    <x v="27"/>
    <s v="TDI"/>
    <s v="Cheque de terceros"/>
    <m/>
    <m/>
    <n v="6300"/>
    <m/>
    <m/>
    <m/>
    <m/>
  </r>
  <r>
    <d v="2023-09-15T00:00:00"/>
    <x v="3"/>
    <x v="0"/>
    <s v="Pago proveedor"/>
    <x v="0"/>
    <x v="27"/>
    <s v="TDI"/>
    <s v="Cheque de terceros"/>
    <m/>
    <m/>
    <n v="5600"/>
    <m/>
    <m/>
    <m/>
    <m/>
  </r>
  <r>
    <d v="2023-09-15T00:00:00"/>
    <x v="3"/>
    <x v="0"/>
    <s v="Pago proveedor"/>
    <x v="0"/>
    <x v="27"/>
    <s v="TDI"/>
    <s v="Cheque de terceros"/>
    <m/>
    <m/>
    <n v="17100"/>
    <m/>
    <m/>
    <m/>
    <m/>
  </r>
  <r>
    <d v="2023-09-15T00:00:00"/>
    <x v="3"/>
    <x v="0"/>
    <s v="pago cliente"/>
    <x v="0"/>
    <x v="61"/>
    <m/>
    <s v="Transferencia"/>
    <m/>
    <n v="62450"/>
    <m/>
    <m/>
    <m/>
    <m/>
    <m/>
  </r>
  <r>
    <d v="2023-09-15T00:00:00"/>
    <x v="3"/>
    <x v="0"/>
    <s v="Gastos generales"/>
    <x v="0"/>
    <x v="62"/>
    <m/>
    <s v="Transferencia"/>
    <m/>
    <m/>
    <n v="41500"/>
    <m/>
    <m/>
    <m/>
    <m/>
  </r>
  <r>
    <d v="2023-09-15T00:00:00"/>
    <x v="3"/>
    <x v="0"/>
    <s v="pago cliente"/>
    <x v="0"/>
    <x v="63"/>
    <m/>
    <s v="Transferencia"/>
    <m/>
    <n v="46400"/>
    <m/>
    <m/>
    <m/>
    <m/>
    <m/>
  </r>
  <r>
    <d v="2023-09-15T00:00:00"/>
    <x v="3"/>
    <x v="0"/>
    <s v="pago cliente"/>
    <x v="0"/>
    <x v="64"/>
    <m/>
    <s v="Transferencia"/>
    <m/>
    <n v="70000"/>
    <m/>
    <m/>
    <m/>
    <m/>
    <m/>
  </r>
  <r>
    <d v="2023-09-15T00:00:00"/>
    <x v="3"/>
    <x v="0"/>
    <s v="Pago proveedor"/>
    <x v="0"/>
    <x v="27"/>
    <s v="Barotto Marcelo "/>
    <s v="Transferencia"/>
    <m/>
    <m/>
    <n v="70000"/>
    <m/>
    <m/>
    <m/>
    <m/>
  </r>
  <r>
    <d v="2023-09-15T00:00:00"/>
    <x v="3"/>
    <x v="0"/>
    <s v="pago cliente"/>
    <x v="0"/>
    <x v="65"/>
    <m/>
    <s v="Transferencia"/>
    <m/>
    <n v="140500"/>
    <m/>
    <m/>
    <m/>
    <m/>
    <m/>
  </r>
  <r>
    <d v="2023-09-15T00:00:00"/>
    <x v="3"/>
    <x v="0"/>
    <s v="pago cliente"/>
    <x v="0"/>
    <x v="66"/>
    <m/>
    <s v="Transferencia"/>
    <m/>
    <n v="277500"/>
    <m/>
    <m/>
    <m/>
    <m/>
    <m/>
  </r>
  <r>
    <d v="2023-09-15T00:00:00"/>
    <x v="3"/>
    <x v="0"/>
    <s v="Pago proveedor"/>
    <x v="0"/>
    <x v="27"/>
    <s v="Barotto Marcelo "/>
    <s v="Transferencia"/>
    <m/>
    <m/>
    <n v="277500"/>
    <m/>
    <m/>
    <m/>
    <m/>
  </r>
  <r>
    <d v="2023-09-15T00:00:00"/>
    <x v="3"/>
    <x v="0"/>
    <s v="pago cliente"/>
    <x v="0"/>
    <x v="67"/>
    <m/>
    <s v="Transferencia"/>
    <m/>
    <n v="29000"/>
    <m/>
    <m/>
    <m/>
    <m/>
    <m/>
  </r>
  <r>
    <d v="2023-09-19T00:00:00"/>
    <x v="3"/>
    <x v="0"/>
    <s v="pago cliente"/>
    <x v="0"/>
    <x v="68"/>
    <m/>
    <s v="Transferencia"/>
    <m/>
    <n v="71990"/>
    <m/>
    <m/>
    <m/>
    <m/>
    <m/>
  </r>
  <r>
    <d v="2023-09-21T00:00:00"/>
    <x v="3"/>
    <x v="0"/>
    <s v="Pago proveedor"/>
    <x v="0"/>
    <x v="27"/>
    <s v="Barotto Marcelo "/>
    <s v="Transferencia"/>
    <m/>
    <m/>
    <n v="74500"/>
    <m/>
    <m/>
    <m/>
    <m/>
  </r>
  <r>
    <d v="2023-09-21T00:00:00"/>
    <x v="3"/>
    <x v="0"/>
    <s v="pago cliente"/>
    <x v="0"/>
    <x v="69"/>
    <m/>
    <s v="Transferencia"/>
    <m/>
    <n v="74500"/>
    <m/>
    <m/>
    <m/>
    <m/>
    <m/>
  </r>
  <r>
    <d v="2023-09-22T00:00:00"/>
    <x v="3"/>
    <x v="0"/>
    <s v="Gastos generales"/>
    <x v="0"/>
    <x v="70"/>
    <m/>
    <s v="Transferencia"/>
    <m/>
    <m/>
    <n v="15000"/>
    <m/>
    <m/>
    <m/>
    <m/>
  </r>
  <r>
    <d v="2023-09-27T00:00:00"/>
    <x v="3"/>
    <x v="0"/>
    <s v="pago cliente"/>
    <x v="0"/>
    <x v="19"/>
    <m/>
    <s v="Transferencia"/>
    <m/>
    <n v="40000"/>
    <m/>
    <m/>
    <m/>
    <m/>
    <m/>
  </r>
  <r>
    <d v="2023-09-27T00:00:00"/>
    <x v="3"/>
    <x v="0"/>
    <s v="Pago proveedor"/>
    <x v="0"/>
    <x v="27"/>
    <s v="RC Distribucion"/>
    <s v="Cheque de terceros"/>
    <m/>
    <m/>
    <n v="49000"/>
    <m/>
    <m/>
    <m/>
    <m/>
  </r>
  <r>
    <d v="2023-09-27T00:00:00"/>
    <x v="3"/>
    <x v="0"/>
    <s v="Pago proveedor"/>
    <x v="0"/>
    <x v="27"/>
    <s v="RC Distribucion"/>
    <s v="Cheque de terceros"/>
    <m/>
    <m/>
    <n v="22000"/>
    <m/>
    <m/>
    <m/>
    <m/>
  </r>
  <r>
    <d v="2023-09-28T00:00:00"/>
    <x v="3"/>
    <x v="0"/>
    <s v="pago cliente"/>
    <x v="0"/>
    <x v="71"/>
    <m/>
    <s v="Cheque de terceros"/>
    <m/>
    <n v="100000"/>
    <m/>
    <m/>
    <m/>
    <m/>
    <m/>
  </r>
  <r>
    <d v="2023-09-29T00:00:00"/>
    <x v="3"/>
    <x v="0"/>
    <s v="Impuestos AFIP"/>
    <x v="0"/>
    <x v="72"/>
    <m/>
    <s v="Transferencia"/>
    <m/>
    <m/>
    <n v="4480"/>
    <m/>
    <m/>
    <m/>
    <m/>
  </r>
  <r>
    <d v="2023-09-29T00:00:00"/>
    <x v="3"/>
    <x v="0"/>
    <s v="pago cliente"/>
    <x v="0"/>
    <x v="8"/>
    <m/>
    <s v="Cheque de terceros"/>
    <m/>
    <n v="15000"/>
    <m/>
    <m/>
    <m/>
    <m/>
    <m/>
  </r>
  <r>
    <d v="2023-09-29T00:00:00"/>
    <x v="3"/>
    <x v="0"/>
    <s v="pago cliente"/>
    <x v="0"/>
    <x v="8"/>
    <m/>
    <s v="Cheque de terceros"/>
    <m/>
    <n v="200000"/>
    <m/>
    <m/>
    <m/>
    <m/>
    <m/>
  </r>
  <r>
    <d v="2023-09-29T00:00:00"/>
    <x v="3"/>
    <x v="0"/>
    <s v="pago cliente"/>
    <x v="0"/>
    <x v="73"/>
    <m/>
    <s v="Cheque de terceros"/>
    <m/>
    <n v="125623"/>
    <m/>
    <m/>
    <m/>
    <m/>
    <m/>
  </r>
  <r>
    <d v="2023-10-02T00:00:00"/>
    <x v="4"/>
    <x v="0"/>
    <s v="pago cliente"/>
    <x v="0"/>
    <x v="41"/>
    <m/>
    <s v="Transferencia"/>
    <m/>
    <n v="32205"/>
    <m/>
    <m/>
    <m/>
    <m/>
    <m/>
  </r>
  <r>
    <d v="2023-10-02T00:00:00"/>
    <x v="4"/>
    <x v="0"/>
    <s v="pago cliente"/>
    <x v="0"/>
    <x v="74"/>
    <m/>
    <s v="Transferencia"/>
    <m/>
    <n v="160800"/>
    <m/>
    <m/>
    <m/>
    <m/>
    <m/>
  </r>
  <r>
    <d v="2023-10-02T00:00:00"/>
    <x v="4"/>
    <x v="0"/>
    <s v="pago cliente"/>
    <x v="0"/>
    <x v="41"/>
    <m/>
    <s v="Cheque de terceros"/>
    <m/>
    <n v="54450"/>
    <m/>
    <m/>
    <m/>
    <m/>
    <m/>
  </r>
  <r>
    <d v="2023-10-02T00:00:00"/>
    <x v="4"/>
    <x v="0"/>
    <s v="pago cliente"/>
    <x v="0"/>
    <x v="41"/>
    <m/>
    <s v="Cheque de terceros"/>
    <m/>
    <n v="63525"/>
    <m/>
    <m/>
    <m/>
    <m/>
    <m/>
  </r>
  <r>
    <d v="2023-10-03T00:00:00"/>
    <x v="4"/>
    <x v="0"/>
    <s v="pago cliente"/>
    <x v="0"/>
    <x v="75"/>
    <m/>
    <s v="Transferencia"/>
    <m/>
    <n v="46300"/>
    <m/>
    <m/>
    <m/>
    <m/>
    <m/>
  </r>
  <r>
    <d v="2023-10-03T00:00:00"/>
    <x v="4"/>
    <x v="0"/>
    <s v="pago cliente"/>
    <x v="0"/>
    <x v="76"/>
    <m/>
    <s v="Transferencia"/>
    <m/>
    <n v="135610"/>
    <m/>
    <m/>
    <m/>
    <m/>
    <m/>
  </r>
  <r>
    <d v="2023-10-04T00:00:00"/>
    <x v="4"/>
    <x v="0"/>
    <s v="pago cliente"/>
    <x v="0"/>
    <x v="77"/>
    <m/>
    <s v="Transferencia"/>
    <m/>
    <n v="123700"/>
    <m/>
    <m/>
    <m/>
    <m/>
    <m/>
  </r>
  <r>
    <d v="2023-10-04T00:00:00"/>
    <x v="4"/>
    <x v="0"/>
    <s v="pago cliente"/>
    <x v="0"/>
    <x v="78"/>
    <m/>
    <s v="Transferencia"/>
    <m/>
    <n v="70000"/>
    <m/>
    <m/>
    <m/>
    <m/>
    <m/>
  </r>
  <r>
    <d v="2023-10-04T00:00:00"/>
    <x v="4"/>
    <x v="0"/>
    <s v="pago cliente"/>
    <x v="0"/>
    <x v="79"/>
    <m/>
    <s v="Transferencia"/>
    <m/>
    <n v="45000"/>
    <m/>
    <m/>
    <m/>
    <m/>
    <m/>
  </r>
  <r>
    <d v="2023-10-05T00:00:00"/>
    <x v="4"/>
    <x v="0"/>
    <s v="Pago proveedor"/>
    <x v="0"/>
    <x v="27"/>
    <s v="Barotto Marcelo "/>
    <s v="Cheque de terceros"/>
    <m/>
    <m/>
    <n v="54450"/>
    <m/>
    <m/>
    <m/>
    <m/>
  </r>
  <r>
    <d v="2023-10-05T00:00:00"/>
    <x v="4"/>
    <x v="0"/>
    <s v="Pago proveedor"/>
    <x v="0"/>
    <x v="27"/>
    <s v="Barotto Marcelo "/>
    <s v="Cheque de terceros"/>
    <m/>
    <m/>
    <n v="63525"/>
    <m/>
    <m/>
    <m/>
    <m/>
  </r>
  <r>
    <d v="2023-10-05T00:00:00"/>
    <x v="4"/>
    <x v="0"/>
    <s v="Pago proveedor"/>
    <x v="0"/>
    <x v="27"/>
    <s v="Barotto Marcelo "/>
    <s v="Cheque de terceros"/>
    <m/>
    <m/>
    <n v="200000"/>
    <m/>
    <m/>
    <m/>
    <m/>
  </r>
  <r>
    <d v="2023-10-05T00:00:00"/>
    <x v="4"/>
    <x v="0"/>
    <s v="Pago proveedor"/>
    <x v="0"/>
    <x v="27"/>
    <s v="Barotto Marcelo "/>
    <s v="Cheque de terceros"/>
    <m/>
    <m/>
    <n v="281468"/>
    <m/>
    <m/>
    <m/>
    <m/>
  </r>
  <r>
    <d v="2023-10-05T00:00:00"/>
    <x v="4"/>
    <x v="0"/>
    <s v="Pago proveedor"/>
    <x v="0"/>
    <x v="27"/>
    <s v="Barotto Marcelo "/>
    <s v="Cheque de terceros"/>
    <m/>
    <m/>
    <n v="117571.63"/>
    <m/>
    <m/>
    <m/>
    <m/>
  </r>
  <r>
    <d v="2023-10-05T00:00:00"/>
    <x v="4"/>
    <x v="0"/>
    <s v="pago cliente"/>
    <x v="0"/>
    <x v="80"/>
    <m/>
    <s v="Cheque de terceros"/>
    <m/>
    <n v="187400"/>
    <m/>
    <m/>
    <m/>
    <m/>
    <m/>
  </r>
  <r>
    <d v="2023-10-05T00:00:00"/>
    <x v="4"/>
    <x v="0"/>
    <s v="pago cliente"/>
    <x v="0"/>
    <x v="81"/>
    <m/>
    <s v="Cheque de terceros"/>
    <m/>
    <n v="100000"/>
    <m/>
    <m/>
    <m/>
    <m/>
    <m/>
  </r>
  <r>
    <d v="2023-10-05T00:00:00"/>
    <x v="4"/>
    <x v="0"/>
    <s v="pago cliente"/>
    <x v="0"/>
    <x v="82"/>
    <m/>
    <s v="Cheque de terceros"/>
    <m/>
    <n v="120250"/>
    <m/>
    <m/>
    <m/>
    <m/>
    <m/>
  </r>
  <r>
    <d v="2023-10-06T00:00:00"/>
    <x v="4"/>
    <x v="0"/>
    <s v="Pago proveedor"/>
    <x v="0"/>
    <x v="27"/>
    <s v="Acotto Aldo"/>
    <s v="Cheque de terceros"/>
    <m/>
    <m/>
    <n v="100000"/>
    <m/>
    <m/>
    <m/>
    <m/>
  </r>
  <r>
    <d v="2023-10-06T00:00:00"/>
    <x v="4"/>
    <x v="0"/>
    <s v="Pago proveedor"/>
    <x v="0"/>
    <x v="27"/>
    <s v="Acotto Aldo"/>
    <s v="Cheque de terceros"/>
    <m/>
    <m/>
    <n v="100000"/>
    <m/>
    <m/>
    <m/>
    <m/>
  </r>
  <r>
    <d v="2023-10-06T00:00:00"/>
    <x v="4"/>
    <x v="0"/>
    <s v="pago cliente"/>
    <x v="0"/>
    <x v="83"/>
    <m/>
    <s v="Cheque de terceros"/>
    <m/>
    <n v="134400"/>
    <m/>
    <m/>
    <m/>
    <m/>
    <m/>
  </r>
  <r>
    <d v="2023-10-09T00:00:00"/>
    <x v="4"/>
    <x v="0"/>
    <s v="Pago proveedor"/>
    <x v="0"/>
    <x v="27"/>
    <s v="Marglas"/>
    <s v="Cheque de terceros"/>
    <m/>
    <m/>
    <n v="134400"/>
    <m/>
    <m/>
    <m/>
    <m/>
  </r>
  <r>
    <d v="2023-10-09T00:00:00"/>
    <x v="4"/>
    <x v="0"/>
    <s v="pago cliente"/>
    <x v="0"/>
    <x v="84"/>
    <m/>
    <s v="Cheque de terceros"/>
    <m/>
    <n v="203047.35"/>
    <m/>
    <m/>
    <m/>
    <m/>
    <m/>
  </r>
  <r>
    <d v="2023-10-09T00:00:00"/>
    <x v="4"/>
    <x v="0"/>
    <s v="pago cliente"/>
    <x v="0"/>
    <x v="84"/>
    <m/>
    <s v="Cheque de terceros"/>
    <m/>
    <n v="33502.65"/>
    <m/>
    <m/>
    <m/>
    <m/>
    <m/>
  </r>
  <r>
    <d v="2023-10-10T00:00:00"/>
    <x v="4"/>
    <x v="0"/>
    <s v="Pago proveedor"/>
    <x v="0"/>
    <x v="27"/>
    <s v="Repuestos Serrano"/>
    <s v="Cheque de terceros"/>
    <m/>
    <m/>
    <n v="120250"/>
    <m/>
    <m/>
    <m/>
    <m/>
  </r>
  <r>
    <d v="2023-10-11T00:00:00"/>
    <x v="4"/>
    <x v="0"/>
    <s v="pago cliente"/>
    <x v="0"/>
    <x v="85"/>
    <m/>
    <s v="Transferencia"/>
    <m/>
    <n v="86100"/>
    <m/>
    <m/>
    <m/>
    <m/>
    <m/>
  </r>
  <r>
    <d v="2023-10-11T00:00:00"/>
    <x v="4"/>
    <x v="0"/>
    <s v="Personal"/>
    <x v="1"/>
    <x v="27"/>
    <m/>
    <s v="Cheque de terceros"/>
    <m/>
    <n v="150000"/>
    <m/>
    <m/>
    <m/>
    <m/>
    <m/>
  </r>
  <r>
    <d v="2023-10-11T00:00:00"/>
    <x v="4"/>
    <x v="0"/>
    <s v="pago cliente"/>
    <x v="0"/>
    <x v="86"/>
    <m/>
    <s v="Cheque de terceros"/>
    <m/>
    <n v="42909"/>
    <m/>
    <m/>
    <m/>
    <m/>
    <m/>
  </r>
  <r>
    <d v="2023-10-11T00:00:00"/>
    <x v="4"/>
    <x v="0"/>
    <s v="pago cliente"/>
    <x v="0"/>
    <x v="86"/>
    <m/>
    <s v="Cheque de terceros"/>
    <m/>
    <n v="18840"/>
    <m/>
    <m/>
    <m/>
    <m/>
    <m/>
  </r>
  <r>
    <d v="2023-10-11T00:00:00"/>
    <x v="4"/>
    <x v="0"/>
    <s v="pago cliente"/>
    <x v="0"/>
    <x v="86"/>
    <m/>
    <s v="Cheque de terceros"/>
    <m/>
    <n v="32000"/>
    <m/>
    <m/>
    <m/>
    <m/>
    <m/>
  </r>
  <r>
    <d v="2023-10-11T00:00:00"/>
    <x v="4"/>
    <x v="0"/>
    <s v="pago cliente"/>
    <x v="0"/>
    <x v="87"/>
    <m/>
    <s v="Transferencia"/>
    <m/>
    <n v="120950"/>
    <m/>
    <m/>
    <m/>
    <m/>
    <m/>
  </r>
  <r>
    <d v="2023-10-11T00:00:00"/>
    <x v="4"/>
    <x v="0"/>
    <s v="Pago proveedor"/>
    <x v="0"/>
    <x v="27"/>
    <s v="TDI"/>
    <s v="Cheque de terceros"/>
    <m/>
    <m/>
    <n v="150000"/>
    <m/>
    <m/>
    <m/>
    <m/>
  </r>
  <r>
    <d v="2023-10-12T00:00:00"/>
    <x v="4"/>
    <x v="0"/>
    <s v="pago cliente"/>
    <x v="0"/>
    <x v="88"/>
    <m/>
    <s v="Transferencia"/>
    <m/>
    <n v="32000"/>
    <m/>
    <m/>
    <m/>
    <m/>
    <m/>
  </r>
  <r>
    <d v="2023-10-13T00:00:00"/>
    <x v="4"/>
    <x v="0"/>
    <s v="pago cliente"/>
    <x v="0"/>
    <x v="89"/>
    <m/>
    <s v="Transferencia"/>
    <m/>
    <n v="62600"/>
    <m/>
    <m/>
    <m/>
    <m/>
    <m/>
  </r>
  <r>
    <d v="2023-10-18T00:00:00"/>
    <x v="4"/>
    <x v="0"/>
    <s v="pago cliente"/>
    <x v="0"/>
    <x v="90"/>
    <m/>
    <s v="Transferencia"/>
    <m/>
    <n v="56765"/>
    <m/>
    <m/>
    <m/>
    <m/>
    <m/>
  </r>
  <r>
    <d v="2023-10-19T00:00:00"/>
    <x v="4"/>
    <x v="0"/>
    <s v="pago cliente"/>
    <x v="0"/>
    <x v="91"/>
    <m/>
    <s v="Transferencia"/>
    <m/>
    <n v="96400"/>
    <m/>
    <m/>
    <m/>
    <m/>
    <m/>
  </r>
  <r>
    <d v="2023-10-19T00:00:00"/>
    <x v="4"/>
    <x v="0"/>
    <s v="pago cliente"/>
    <x v="0"/>
    <x v="92"/>
    <m/>
    <s v="Cheque de terceros"/>
    <m/>
    <n v="145200"/>
    <m/>
    <m/>
    <m/>
    <m/>
    <m/>
  </r>
  <r>
    <d v="2023-10-19T00:00:00"/>
    <x v="4"/>
    <x v="0"/>
    <s v="Pago proveedor"/>
    <x v="0"/>
    <x v="27"/>
    <s v="Barotto Marcelo "/>
    <s v="Cheque de terceros"/>
    <m/>
    <m/>
    <n v="145200"/>
    <m/>
    <m/>
    <m/>
    <m/>
  </r>
  <r>
    <d v="2023-10-19T00:00:00"/>
    <x v="4"/>
    <x v="0"/>
    <s v="pago cliente"/>
    <x v="0"/>
    <x v="93"/>
    <m/>
    <s v="Transferencia"/>
    <m/>
    <n v="111900"/>
    <m/>
    <m/>
    <m/>
    <m/>
    <m/>
  </r>
  <r>
    <d v="2023-10-19T00:00:00"/>
    <x v="4"/>
    <x v="0"/>
    <s v="Pago proveedor"/>
    <x v="0"/>
    <x v="27"/>
    <s v="Barotto Marcelo "/>
    <s v="Transferencia"/>
    <m/>
    <m/>
    <n v="111900"/>
    <m/>
    <m/>
    <m/>
    <m/>
  </r>
  <r>
    <d v="2023-10-20T00:00:00"/>
    <x v="4"/>
    <x v="0"/>
    <s v="pago cliente"/>
    <x v="0"/>
    <x v="94"/>
    <m/>
    <s v="Transferencia"/>
    <m/>
    <n v="104100"/>
    <m/>
    <m/>
    <m/>
    <m/>
    <m/>
  </r>
  <r>
    <d v="2023-10-21T00:00:00"/>
    <x v="4"/>
    <x v="0"/>
    <s v="pago cliente"/>
    <x v="0"/>
    <x v="95"/>
    <m/>
    <s v="Transferencia"/>
    <m/>
    <n v="11400"/>
    <m/>
    <m/>
    <m/>
    <m/>
    <m/>
  </r>
  <r>
    <d v="2023-10-21T00:00:00"/>
    <x v="4"/>
    <x v="0"/>
    <s v="Pago proveedor"/>
    <x v="0"/>
    <x v="27"/>
    <s v="Repuestos Serrano"/>
    <s v="Transferencia"/>
    <m/>
    <m/>
    <n v="10800"/>
    <m/>
    <m/>
    <m/>
    <m/>
  </r>
  <r>
    <d v="2023-10-21T00:00:00"/>
    <x v="4"/>
    <x v="0"/>
    <s v="Personal"/>
    <x v="1"/>
    <x v="96"/>
    <m/>
    <s v="personal"/>
    <m/>
    <m/>
    <n v="20000"/>
    <m/>
    <m/>
    <m/>
    <m/>
  </r>
  <r>
    <d v="2023-10-21T00:00:00"/>
    <x v="4"/>
    <x v="0"/>
    <s v="Personal"/>
    <x v="1"/>
    <x v="97"/>
    <m/>
    <s v="personal"/>
    <m/>
    <m/>
    <n v="34000"/>
    <m/>
    <m/>
    <m/>
    <m/>
  </r>
  <r>
    <d v="2023-10-21T00:00:00"/>
    <x v="4"/>
    <x v="0"/>
    <s v="Personal"/>
    <x v="1"/>
    <x v="98"/>
    <m/>
    <s v="personal"/>
    <m/>
    <m/>
    <n v="34000"/>
    <m/>
    <m/>
    <m/>
    <m/>
  </r>
  <r>
    <d v="2023-10-24T00:00:00"/>
    <x v="4"/>
    <x v="0"/>
    <s v="pago cliente"/>
    <x v="0"/>
    <x v="99"/>
    <m/>
    <s v="Cheque de terceros"/>
    <m/>
    <n v="90000"/>
    <m/>
    <m/>
    <m/>
    <m/>
    <m/>
  </r>
  <r>
    <d v="2023-10-24T00:00:00"/>
    <x v="4"/>
    <x v="0"/>
    <s v="pago cliente"/>
    <x v="0"/>
    <x v="100"/>
    <m/>
    <s v="Cheque de terceros"/>
    <m/>
    <n v="101000"/>
    <m/>
    <m/>
    <m/>
    <m/>
    <m/>
  </r>
  <r>
    <d v="2023-10-24T00:00:00"/>
    <x v="4"/>
    <x v="0"/>
    <s v="pago cliente"/>
    <x v="0"/>
    <x v="101"/>
    <m/>
    <s v="Cheque de terceros"/>
    <m/>
    <n v="220000"/>
    <m/>
    <m/>
    <m/>
    <m/>
    <m/>
  </r>
  <r>
    <d v="2023-10-24T00:00:00"/>
    <x v="4"/>
    <x v="0"/>
    <s v="pago cliente"/>
    <x v="0"/>
    <x v="101"/>
    <m/>
    <s v="Cheque de terceros"/>
    <m/>
    <n v="95812.5"/>
    <m/>
    <m/>
    <m/>
    <m/>
    <m/>
  </r>
  <r>
    <d v="2023-10-24T00:00:00"/>
    <x v="4"/>
    <x v="0"/>
    <s v="pago cliente"/>
    <x v="0"/>
    <x v="101"/>
    <m/>
    <s v="Cheque de terceros"/>
    <m/>
    <n v="63500"/>
    <m/>
    <m/>
    <m/>
    <m/>
    <m/>
  </r>
  <r>
    <d v="2023-10-24T00:00:00"/>
    <x v="4"/>
    <x v="0"/>
    <s v="pago cliente"/>
    <x v="0"/>
    <x v="101"/>
    <m/>
    <s v="Cheque de terceros"/>
    <m/>
    <n v="225000"/>
    <m/>
    <m/>
    <m/>
    <m/>
    <m/>
  </r>
  <r>
    <d v="2023-10-24T00:00:00"/>
    <x v="4"/>
    <x v="0"/>
    <s v="pago cliente"/>
    <x v="0"/>
    <x v="101"/>
    <m/>
    <s v="Cheque de terceros"/>
    <m/>
    <n v="47217.09"/>
    <m/>
    <m/>
    <m/>
    <m/>
    <m/>
  </r>
  <r>
    <d v="2023-10-24T00:00:00"/>
    <x v="4"/>
    <x v="0"/>
    <s v="Pago proveedor"/>
    <x v="0"/>
    <x v="27"/>
    <s v="Shell"/>
    <s v="Cheque de terceros"/>
    <m/>
    <m/>
    <n v="101000"/>
    <m/>
    <m/>
    <m/>
    <m/>
  </r>
  <r>
    <d v="2023-10-24T00:00:00"/>
    <x v="4"/>
    <x v="0"/>
    <s v="Pago proveedor"/>
    <x v="0"/>
    <x v="27"/>
    <s v="Shell"/>
    <s v="Cheque de terceros"/>
    <m/>
    <m/>
    <n v="90000"/>
    <m/>
    <m/>
    <m/>
    <m/>
  </r>
  <r>
    <d v="2023-10-24T00:00:00"/>
    <x v="4"/>
    <x v="0"/>
    <s v="Pago proveedor"/>
    <x v="0"/>
    <x v="27"/>
    <s v="Shell"/>
    <s v="Cheque de terceros"/>
    <m/>
    <m/>
    <n v="42909"/>
    <m/>
    <m/>
    <m/>
    <m/>
  </r>
  <r>
    <d v="2023-10-24T00:00:00"/>
    <x v="4"/>
    <x v="0"/>
    <s v="Pago proveedor"/>
    <x v="0"/>
    <x v="27"/>
    <s v="Shell"/>
    <s v="Cheque de terceros"/>
    <m/>
    <m/>
    <n v="18840"/>
    <m/>
    <m/>
    <m/>
    <m/>
  </r>
  <r>
    <d v="2023-10-24T00:00:00"/>
    <x v="4"/>
    <x v="0"/>
    <s v="Pago proveedor"/>
    <x v="0"/>
    <x v="27"/>
    <s v="Shell"/>
    <s v="Cheque de terceros"/>
    <m/>
    <m/>
    <n v="33502.65"/>
    <m/>
    <m/>
    <m/>
    <m/>
  </r>
  <r>
    <d v="2023-10-28T00:00:00"/>
    <x v="4"/>
    <x v="0"/>
    <s v="pago cliente"/>
    <x v="0"/>
    <x v="102"/>
    <m/>
    <s v="Transferencia"/>
    <m/>
    <n v="26600"/>
    <m/>
    <m/>
    <m/>
    <m/>
    <m/>
  </r>
  <r>
    <d v="2023-10-28T00:00:00"/>
    <x v="4"/>
    <x v="0"/>
    <s v="pago cliente"/>
    <x v="0"/>
    <x v="103"/>
    <m/>
    <s v="Transferencia"/>
    <m/>
    <n v="40000"/>
    <m/>
    <m/>
    <m/>
    <m/>
    <m/>
  </r>
  <r>
    <d v="2023-10-30T00:00:00"/>
    <x v="4"/>
    <x v="0"/>
    <s v="pago cliente"/>
    <x v="0"/>
    <x v="7"/>
    <m/>
    <s v="Transferencia"/>
    <m/>
    <n v="100000"/>
    <m/>
    <m/>
    <m/>
    <m/>
    <m/>
  </r>
  <r>
    <d v="2023-10-31T00:00:00"/>
    <x v="4"/>
    <x v="0"/>
    <s v="Pago proveedor"/>
    <x v="0"/>
    <x v="27"/>
    <s v="Barotto Marcelo "/>
    <s v="Cheque de terceros"/>
    <m/>
    <m/>
    <n v="32000"/>
    <m/>
    <m/>
    <m/>
    <m/>
  </r>
  <r>
    <d v="2023-10-31T00:00:00"/>
    <x v="4"/>
    <x v="0"/>
    <s v="Pago proveedor"/>
    <x v="0"/>
    <x v="27"/>
    <s v="Barotto Marcelo "/>
    <s v="Cheque de terceros"/>
    <m/>
    <m/>
    <n v="47217.09"/>
    <m/>
    <m/>
    <m/>
    <m/>
  </r>
  <r>
    <d v="2023-11-02T00:00:00"/>
    <x v="5"/>
    <x v="0"/>
    <s v="pago cliente"/>
    <x v="0"/>
    <x v="6"/>
    <m/>
    <s v="Transferencia"/>
    <m/>
    <n v="43150"/>
    <m/>
    <m/>
    <m/>
    <m/>
    <m/>
  </r>
  <r>
    <d v="2023-11-02T00:00:00"/>
    <x v="5"/>
    <x v="0"/>
    <s v="pago cliente"/>
    <x v="0"/>
    <x v="104"/>
    <m/>
    <s v="Transferencia"/>
    <m/>
    <n v="75945"/>
    <m/>
    <m/>
    <m/>
    <m/>
    <m/>
  </r>
  <r>
    <d v="2023-11-03T00:00:00"/>
    <x v="5"/>
    <x v="0"/>
    <s v="pago cliente"/>
    <x v="0"/>
    <x v="101"/>
    <m/>
    <s v="Cheque de terceros"/>
    <m/>
    <n v="74766"/>
    <m/>
    <m/>
    <m/>
    <m/>
    <m/>
  </r>
  <r>
    <d v="2023-11-03T00:00:00"/>
    <x v="5"/>
    <x v="0"/>
    <s v="pago cliente"/>
    <x v="0"/>
    <x v="99"/>
    <m/>
    <s v="Cheque de terceros"/>
    <m/>
    <n v="29600"/>
    <m/>
    <m/>
    <m/>
    <m/>
    <m/>
  </r>
  <r>
    <d v="2023-11-03T00:00:00"/>
    <x v="5"/>
    <x v="0"/>
    <s v="pago cliente"/>
    <x v="0"/>
    <x v="99"/>
    <m/>
    <s v="Cheque de terceros"/>
    <m/>
    <n v="76230"/>
    <m/>
    <m/>
    <m/>
    <m/>
    <m/>
  </r>
  <r>
    <d v="2023-11-03T00:00:00"/>
    <x v="5"/>
    <x v="0"/>
    <s v="Pago proveedor"/>
    <x v="0"/>
    <x v="27"/>
    <s v="Atilio Lucero"/>
    <s v="Transferencia"/>
    <m/>
    <m/>
    <n v="109393.69"/>
    <m/>
    <m/>
    <m/>
    <m/>
  </r>
  <r>
    <d v="2023-11-03T00:00:00"/>
    <x v="5"/>
    <x v="0"/>
    <s v="pago cliente"/>
    <x v="0"/>
    <x v="105"/>
    <m/>
    <s v="Transferencia"/>
    <m/>
    <n v="80000"/>
    <m/>
    <m/>
    <m/>
    <m/>
    <m/>
  </r>
  <r>
    <d v="2023-11-03T00:00:00"/>
    <x v="5"/>
    <x v="0"/>
    <s v="Personal"/>
    <x v="1"/>
    <x v="106"/>
    <m/>
    <s v="Cheque de terceros"/>
    <m/>
    <n v="91464.2"/>
    <m/>
    <m/>
    <m/>
    <m/>
    <m/>
  </r>
  <r>
    <d v="2023-11-04T00:00:00"/>
    <x v="5"/>
    <x v="0"/>
    <s v="Personal"/>
    <x v="1"/>
    <x v="107"/>
    <m/>
    <s v="tarjeta"/>
    <m/>
    <m/>
    <n v="147672"/>
    <m/>
    <m/>
    <m/>
    <m/>
  </r>
  <r>
    <d v="2023-11-04T00:00:00"/>
    <x v="5"/>
    <x v="0"/>
    <s v="servicios"/>
    <x v="0"/>
    <x v="108"/>
    <m/>
    <s v="tarjeta"/>
    <m/>
    <m/>
    <n v="14100.28"/>
    <m/>
    <m/>
    <m/>
    <m/>
  </r>
  <r>
    <d v="2023-11-04T00:00:00"/>
    <x v="5"/>
    <x v="0"/>
    <s v="servicios"/>
    <x v="0"/>
    <x v="109"/>
    <m/>
    <s v="tarjeta"/>
    <m/>
    <m/>
    <n v="41107.760000000002"/>
    <m/>
    <m/>
    <m/>
    <m/>
  </r>
  <r>
    <d v="2023-11-06T00:00:00"/>
    <x v="5"/>
    <x v="0"/>
    <s v="pago cliente"/>
    <x v="0"/>
    <x v="110"/>
    <m/>
    <s v="Cheque de terceros"/>
    <m/>
    <n v="100000"/>
    <m/>
    <m/>
    <m/>
    <m/>
    <m/>
  </r>
  <r>
    <d v="2023-11-06T00:00:00"/>
    <x v="5"/>
    <x v="0"/>
    <s v="Pago proveedor"/>
    <x v="0"/>
    <x v="27"/>
    <s v="Repuestos Serrano"/>
    <s v="Cheque de terceros"/>
    <m/>
    <m/>
    <n v="100000"/>
    <m/>
    <m/>
    <m/>
    <m/>
  </r>
  <r>
    <d v="2023-11-06T00:00:00"/>
    <x v="5"/>
    <x v="0"/>
    <s v="Pago proveedor"/>
    <x v="0"/>
    <x v="27"/>
    <s v="Repuestos Serrano"/>
    <s v="Cheque de terceros"/>
    <m/>
    <m/>
    <n v="91464.2"/>
    <m/>
    <m/>
    <m/>
    <m/>
  </r>
  <r>
    <d v="2023-11-06T00:00:00"/>
    <x v="5"/>
    <x v="0"/>
    <s v="Pago proveedor"/>
    <x v="0"/>
    <x v="27"/>
    <s v="Repuestos Serrano"/>
    <s v="Cheque de terceros"/>
    <m/>
    <m/>
    <n v="29600"/>
    <m/>
    <m/>
    <m/>
    <m/>
  </r>
  <r>
    <d v="2023-11-06T00:00:00"/>
    <x v="5"/>
    <x v="0"/>
    <s v="Pago proveedor"/>
    <x v="0"/>
    <x v="27"/>
    <s v="Repuestos Serrano"/>
    <s v="Cheque de terceros"/>
    <m/>
    <m/>
    <n v="76230"/>
    <m/>
    <m/>
    <m/>
    <m/>
  </r>
  <r>
    <d v="2023-11-06T00:00:00"/>
    <x v="5"/>
    <x v="0"/>
    <s v="pago cliente"/>
    <x v="0"/>
    <x v="95"/>
    <m/>
    <s v="Cheque de terceros"/>
    <m/>
    <n v="42730"/>
    <m/>
    <m/>
    <m/>
    <m/>
    <m/>
  </r>
  <r>
    <d v="2023-11-07T00:00:00"/>
    <x v="5"/>
    <x v="0"/>
    <s v="pago cliente"/>
    <x v="0"/>
    <x v="82"/>
    <m/>
    <s v="Cheque de terceros"/>
    <m/>
    <n v="360000"/>
    <m/>
    <m/>
    <m/>
    <m/>
    <m/>
  </r>
  <r>
    <d v="2023-11-07T00:00:00"/>
    <x v="5"/>
    <x v="0"/>
    <s v="pago cliente"/>
    <x v="0"/>
    <x v="111"/>
    <m/>
    <s v="Cheque de terceros"/>
    <m/>
    <n v="46500"/>
    <m/>
    <m/>
    <m/>
    <m/>
    <m/>
  </r>
  <r>
    <d v="2023-11-08T00:00:00"/>
    <x v="5"/>
    <x v="0"/>
    <s v="Pago proveedor"/>
    <x v="0"/>
    <x v="27"/>
    <s v="TDI"/>
    <s v="Cheque de terceros"/>
    <m/>
    <m/>
    <n v="63500"/>
    <m/>
    <m/>
    <m/>
    <m/>
  </r>
  <r>
    <d v="2023-11-08T00:00:00"/>
    <x v="5"/>
    <x v="0"/>
    <s v="Pago proveedor"/>
    <x v="0"/>
    <x v="27"/>
    <s v="TDI"/>
    <s v="Cheque de terceros"/>
    <m/>
    <m/>
    <n v="74766"/>
    <m/>
    <m/>
    <m/>
    <m/>
  </r>
  <r>
    <d v="2023-11-08T00:00:00"/>
    <x v="5"/>
    <x v="0"/>
    <s v="Pago proveedor"/>
    <x v="0"/>
    <x v="27"/>
    <s v="TDI"/>
    <s v="Cheque de terceros"/>
    <m/>
    <m/>
    <n v="42730"/>
    <m/>
    <m/>
    <m/>
    <m/>
  </r>
  <r>
    <d v="2023-11-09T00:00:00"/>
    <x v="5"/>
    <x v="0"/>
    <s v="pago cliente"/>
    <x v="0"/>
    <x v="112"/>
    <m/>
    <s v="Cheque de terceros"/>
    <m/>
    <n v="4209.3"/>
    <m/>
    <m/>
    <m/>
    <m/>
    <m/>
  </r>
  <r>
    <d v="2023-11-10T00:00:00"/>
    <x v="5"/>
    <x v="0"/>
    <s v="Pago proveedor"/>
    <x v="0"/>
    <x v="27"/>
    <s v="Barotto Marcelo "/>
    <s v="Cheque de terceros"/>
    <m/>
    <m/>
    <n v="360000"/>
    <m/>
    <m/>
    <m/>
    <m/>
  </r>
  <r>
    <d v="2023-11-13T00:00:00"/>
    <x v="5"/>
    <x v="0"/>
    <s v="pago cliente"/>
    <x v="0"/>
    <x v="113"/>
    <m/>
    <s v="Transferencia"/>
    <m/>
    <n v="189200"/>
    <m/>
    <m/>
    <m/>
    <m/>
    <m/>
  </r>
  <r>
    <d v="2023-11-13T00:00:00"/>
    <x v="5"/>
    <x v="0"/>
    <s v="pago cliente"/>
    <x v="0"/>
    <x v="114"/>
    <m/>
    <s v="Transferencia"/>
    <m/>
    <n v="136300"/>
    <m/>
    <m/>
    <m/>
    <m/>
    <m/>
  </r>
  <r>
    <d v="2023-11-13T00:00:00"/>
    <x v="5"/>
    <x v="0"/>
    <s v="pago cliente"/>
    <x v="0"/>
    <x v="115"/>
    <m/>
    <s v="Transferencia"/>
    <m/>
    <n v="71366"/>
    <m/>
    <m/>
    <m/>
    <m/>
    <m/>
  </r>
  <r>
    <d v="2023-11-13T00:00:00"/>
    <x v="5"/>
    <x v="0"/>
    <s v="Personal"/>
    <x v="1"/>
    <x v="13"/>
    <m/>
    <s v="tarjeta"/>
    <m/>
    <m/>
    <n v="142730"/>
    <m/>
    <m/>
    <m/>
    <m/>
  </r>
  <r>
    <d v="2023-11-14T00:00:00"/>
    <x v="5"/>
    <x v="0"/>
    <s v="pago cliente"/>
    <x v="0"/>
    <x v="51"/>
    <m/>
    <s v="Cheque de terceros"/>
    <m/>
    <n v="83621.09"/>
    <m/>
    <m/>
    <m/>
    <m/>
    <m/>
  </r>
  <r>
    <d v="2023-11-14T00:00:00"/>
    <x v="5"/>
    <x v="0"/>
    <s v="pago cliente"/>
    <x v="0"/>
    <x v="51"/>
    <m/>
    <s v="Cheque de terceros"/>
    <m/>
    <n v="83621.09"/>
    <m/>
    <m/>
    <m/>
    <m/>
    <m/>
  </r>
  <r>
    <d v="2023-11-14T00:00:00"/>
    <x v="5"/>
    <x v="0"/>
    <s v="pago cliente"/>
    <x v="0"/>
    <x v="51"/>
    <m/>
    <s v="Cheque de terceros"/>
    <m/>
    <n v="83621.09"/>
    <m/>
    <m/>
    <m/>
    <m/>
    <m/>
  </r>
  <r>
    <d v="2023-11-14T00:00:00"/>
    <x v="5"/>
    <x v="0"/>
    <s v="Pago proveedor"/>
    <x v="0"/>
    <x v="27"/>
    <s v="Vetaro"/>
    <s v="Cheque de terceros"/>
    <m/>
    <m/>
    <n v="220000"/>
    <m/>
    <m/>
    <m/>
    <m/>
  </r>
  <r>
    <d v="2023-11-14T00:00:00"/>
    <x v="5"/>
    <x v="0"/>
    <s v="Pago proveedor"/>
    <x v="0"/>
    <x v="27"/>
    <s v="Vetaro"/>
    <s v="Cheque de terceros"/>
    <m/>
    <m/>
    <n v="46500"/>
    <m/>
    <m/>
    <m/>
    <m/>
  </r>
  <r>
    <d v="2023-11-14T00:00:00"/>
    <x v="5"/>
    <x v="0"/>
    <s v="Pago proveedor"/>
    <x v="0"/>
    <x v="27"/>
    <s v="Vetaro"/>
    <s v="Cheque de terceros"/>
    <m/>
    <m/>
    <n v="4209.3"/>
    <m/>
    <m/>
    <m/>
    <m/>
  </r>
  <r>
    <d v="2023-11-14T00:00:00"/>
    <x v="5"/>
    <x v="0"/>
    <s v="pago cliente"/>
    <x v="0"/>
    <x v="116"/>
    <m/>
    <s v="Transferencia"/>
    <m/>
    <n v="100000"/>
    <m/>
    <m/>
    <m/>
    <m/>
    <m/>
  </r>
  <r>
    <d v="2023-11-15T00:00:00"/>
    <x v="5"/>
    <x v="0"/>
    <s v="pago cliente"/>
    <x v="0"/>
    <x v="117"/>
    <m/>
    <s v="Cheque de terceros"/>
    <m/>
    <n v="79000"/>
    <m/>
    <m/>
    <m/>
    <m/>
    <m/>
  </r>
  <r>
    <d v="2023-11-15T00:00:00"/>
    <x v="5"/>
    <x v="0"/>
    <s v="pago cliente"/>
    <x v="0"/>
    <x v="117"/>
    <m/>
    <s v="Cheque de terceros"/>
    <m/>
    <n v="38000"/>
    <m/>
    <m/>
    <m/>
    <m/>
    <m/>
  </r>
  <r>
    <d v="2023-11-15T00:00:00"/>
    <x v="5"/>
    <x v="0"/>
    <s v="pago cliente"/>
    <x v="0"/>
    <x v="117"/>
    <m/>
    <s v="Cheque de terceros"/>
    <m/>
    <n v="29160"/>
    <m/>
    <m/>
    <m/>
    <m/>
    <m/>
  </r>
  <r>
    <d v="2023-11-16T00:00:00"/>
    <x v="5"/>
    <x v="0"/>
    <s v="pago cliente"/>
    <x v="0"/>
    <x v="86"/>
    <m/>
    <s v="Cheque de terceros"/>
    <m/>
    <n v="30000"/>
    <m/>
    <m/>
    <m/>
    <m/>
    <m/>
  </r>
  <r>
    <d v="2023-11-18T00:00:00"/>
    <x v="5"/>
    <x v="0"/>
    <s v="pago cliente"/>
    <x v="0"/>
    <x v="118"/>
    <m/>
    <s v="Transferencia"/>
    <m/>
    <n v="26000"/>
    <m/>
    <m/>
    <m/>
    <m/>
    <m/>
  </r>
  <r>
    <d v="2023-11-18T00:00:00"/>
    <x v="5"/>
    <x v="0"/>
    <s v="Personal"/>
    <x v="1"/>
    <x v="119"/>
    <m/>
    <s v="personal"/>
    <m/>
    <m/>
    <n v="130000"/>
    <m/>
    <m/>
    <m/>
    <m/>
  </r>
  <r>
    <d v="2023-11-20T00:00:00"/>
    <x v="5"/>
    <x v="0"/>
    <s v="pago cliente"/>
    <x v="0"/>
    <x v="120"/>
    <m/>
    <s v="Transferencia"/>
    <m/>
    <n v="500000"/>
    <m/>
    <m/>
    <m/>
    <m/>
    <m/>
  </r>
  <r>
    <d v="2023-11-20T00:00:00"/>
    <x v="5"/>
    <x v="0"/>
    <s v="Personal"/>
    <x v="1"/>
    <x v="121"/>
    <m/>
    <s v="personal"/>
    <m/>
    <m/>
    <n v="140000"/>
    <m/>
    <m/>
    <m/>
    <m/>
  </r>
  <r>
    <d v="2023-11-21T00:00:00"/>
    <x v="5"/>
    <x v="0"/>
    <s v="pago cliente"/>
    <x v="0"/>
    <x v="122"/>
    <m/>
    <s v="Cheque de terceros"/>
    <m/>
    <n v="67782"/>
    <m/>
    <m/>
    <m/>
    <m/>
    <m/>
  </r>
  <r>
    <d v="2023-11-21T00:00:00"/>
    <x v="5"/>
    <x v="0"/>
    <s v="pago cliente"/>
    <x v="0"/>
    <x v="122"/>
    <m/>
    <s v="Cheque de terceros"/>
    <m/>
    <n v="44070.8"/>
    <m/>
    <m/>
    <m/>
    <m/>
    <m/>
  </r>
  <r>
    <d v="2023-11-21T00:00:00"/>
    <x v="5"/>
    <x v="0"/>
    <s v="pago cliente"/>
    <x v="0"/>
    <x v="123"/>
    <m/>
    <s v="Transferencia"/>
    <m/>
    <n v="122500"/>
    <m/>
    <m/>
    <m/>
    <m/>
    <m/>
  </r>
  <r>
    <d v="2023-11-22T00:00:00"/>
    <x v="5"/>
    <x v="0"/>
    <s v="Pago proveedor"/>
    <x v="0"/>
    <x v="27"/>
    <s v="Barotto Marcelo "/>
    <s v="Cheque de terceros"/>
    <m/>
    <m/>
    <n v="44070"/>
    <m/>
    <m/>
    <m/>
    <m/>
  </r>
  <r>
    <d v="2023-11-22T00:00:00"/>
    <x v="5"/>
    <x v="0"/>
    <s v="Pago proveedor"/>
    <x v="0"/>
    <x v="27"/>
    <s v="Barotto Marcelo "/>
    <s v="Cheque de terceros"/>
    <m/>
    <m/>
    <n v="67782"/>
    <m/>
    <m/>
    <m/>
    <m/>
  </r>
  <r>
    <d v="2023-11-22T00:00:00"/>
    <x v="5"/>
    <x v="0"/>
    <s v="Pago proveedor"/>
    <x v="0"/>
    <x v="27"/>
    <s v="Barotto Marcelo "/>
    <s v="Cheque de terceros"/>
    <m/>
    <m/>
    <n v="83621.09"/>
    <m/>
    <m/>
    <m/>
    <m/>
  </r>
  <r>
    <d v="2023-11-22T00:00:00"/>
    <x v="5"/>
    <x v="0"/>
    <s v="Pago proveedor"/>
    <x v="0"/>
    <x v="27"/>
    <s v="Barotto Marcelo "/>
    <s v="Cheque de terceros"/>
    <m/>
    <m/>
    <n v="83621.09"/>
    <m/>
    <m/>
    <m/>
    <m/>
  </r>
  <r>
    <d v="2023-11-22T00:00:00"/>
    <x v="5"/>
    <x v="0"/>
    <s v="Pago proveedor"/>
    <x v="0"/>
    <x v="27"/>
    <s v="Barotto Marcelo "/>
    <s v="Cheque de terceros"/>
    <m/>
    <m/>
    <n v="83621.09"/>
    <m/>
    <m/>
    <m/>
    <m/>
  </r>
  <r>
    <d v="2023-11-22T00:00:00"/>
    <x v="5"/>
    <x v="0"/>
    <s v="Pago proveedor"/>
    <x v="0"/>
    <x v="27"/>
    <s v="Barotto Marcelo "/>
    <s v="Cheque de terceros"/>
    <m/>
    <m/>
    <n v="79000"/>
    <m/>
    <m/>
    <m/>
    <m/>
  </r>
  <r>
    <d v="2023-11-22T00:00:00"/>
    <x v="5"/>
    <x v="0"/>
    <s v="Personal"/>
    <x v="1"/>
    <x v="124"/>
    <m/>
    <s v="personal"/>
    <m/>
    <m/>
    <n v="73000"/>
    <m/>
    <m/>
    <m/>
    <m/>
  </r>
  <r>
    <d v="2023-11-23T00:00:00"/>
    <x v="5"/>
    <x v="0"/>
    <s v="pago cliente"/>
    <x v="0"/>
    <x v="125"/>
    <m/>
    <s v="Transferencia"/>
    <m/>
    <n v="113275"/>
    <m/>
    <m/>
    <m/>
    <m/>
    <m/>
  </r>
  <r>
    <d v="2023-11-23T00:00:00"/>
    <x v="5"/>
    <x v="0"/>
    <s v="pago cliente"/>
    <x v="0"/>
    <x v="126"/>
    <m/>
    <s v="Transferencia"/>
    <m/>
    <n v="53900"/>
    <m/>
    <m/>
    <m/>
    <m/>
    <m/>
  </r>
  <r>
    <d v="2023-11-23T00:00:00"/>
    <x v="5"/>
    <x v="0"/>
    <s v="pago cliente"/>
    <x v="0"/>
    <x v="127"/>
    <m/>
    <s v="Transferencia"/>
    <m/>
    <n v="28000"/>
    <m/>
    <m/>
    <m/>
    <m/>
    <m/>
  </r>
  <r>
    <d v="2023-11-23T00:00:00"/>
    <x v="5"/>
    <x v="0"/>
    <s v="Personal"/>
    <x v="1"/>
    <x v="128"/>
    <m/>
    <s v="personal"/>
    <m/>
    <m/>
    <n v="38000"/>
    <m/>
    <m/>
    <m/>
    <m/>
  </r>
  <r>
    <d v="2023-11-24T00:00:00"/>
    <x v="5"/>
    <x v="0"/>
    <s v="pago cliente"/>
    <x v="0"/>
    <x v="41"/>
    <m/>
    <s v="Transferencia"/>
    <m/>
    <n v="10000"/>
    <m/>
    <m/>
    <m/>
    <m/>
    <m/>
  </r>
  <r>
    <d v="2023-11-24T00:00:00"/>
    <x v="5"/>
    <x v="0"/>
    <s v="pago cliente"/>
    <x v="0"/>
    <x v="129"/>
    <m/>
    <s v="Transferencia"/>
    <m/>
    <n v="62700"/>
    <m/>
    <m/>
    <m/>
    <m/>
    <m/>
  </r>
  <r>
    <d v="2023-11-24T00:00:00"/>
    <x v="5"/>
    <x v="0"/>
    <s v="Personal"/>
    <x v="1"/>
    <x v="130"/>
    <m/>
    <s v="personal"/>
    <m/>
    <m/>
    <n v="2500"/>
    <m/>
    <m/>
    <m/>
    <m/>
  </r>
  <r>
    <d v="2023-11-25T00:00:00"/>
    <x v="5"/>
    <x v="0"/>
    <s v="Personal"/>
    <x v="1"/>
    <x v="131"/>
    <m/>
    <s v="personal"/>
    <m/>
    <m/>
    <n v="12259.05"/>
    <m/>
    <m/>
    <m/>
    <m/>
  </r>
  <r>
    <d v="2023-11-25T00:00:00"/>
    <x v="5"/>
    <x v="0"/>
    <s v="Personal"/>
    <x v="1"/>
    <x v="132"/>
    <m/>
    <s v="personal"/>
    <m/>
    <m/>
    <n v="6500"/>
    <m/>
    <m/>
    <m/>
    <m/>
  </r>
  <r>
    <d v="2023-11-25T00:00:00"/>
    <x v="5"/>
    <x v="0"/>
    <s v="Personal"/>
    <x v="1"/>
    <x v="133"/>
    <m/>
    <s v="personal"/>
    <m/>
    <m/>
    <n v="50000"/>
    <m/>
    <m/>
    <m/>
    <m/>
  </r>
  <r>
    <d v="2023-11-26T00:00:00"/>
    <x v="5"/>
    <x v="0"/>
    <s v="Herramientas / bienes de uso"/>
    <x v="0"/>
    <x v="134"/>
    <m/>
    <s v="tarjeta"/>
    <m/>
    <m/>
    <n v="547200"/>
    <m/>
    <m/>
    <m/>
    <m/>
  </r>
  <r>
    <d v="2023-11-27T00:00:00"/>
    <x v="5"/>
    <x v="0"/>
    <s v="pago cliente"/>
    <x v="0"/>
    <x v="42"/>
    <m/>
    <s v="Transferencia"/>
    <m/>
    <n v="43300"/>
    <m/>
    <m/>
    <m/>
    <m/>
    <m/>
  </r>
  <r>
    <d v="2023-11-28T00:00:00"/>
    <x v="5"/>
    <x v="0"/>
    <s v="pago cliente"/>
    <x v="0"/>
    <x v="7"/>
    <m/>
    <s v="Transferencia"/>
    <m/>
    <n v="52000"/>
    <m/>
    <m/>
    <m/>
    <m/>
    <m/>
  </r>
  <r>
    <d v="2023-11-28T00:00:00"/>
    <x v="5"/>
    <x v="0"/>
    <s v="pago cliente"/>
    <x v="0"/>
    <x v="135"/>
    <m/>
    <s v="Transferencia"/>
    <m/>
    <n v="30000"/>
    <m/>
    <m/>
    <m/>
    <m/>
    <m/>
  </r>
  <r>
    <d v="2023-11-30T00:00:00"/>
    <x v="5"/>
    <x v="0"/>
    <s v="pago cliente"/>
    <x v="0"/>
    <x v="136"/>
    <m/>
    <s v="Transferencia"/>
    <m/>
    <n v="90000"/>
    <m/>
    <m/>
    <m/>
    <m/>
    <m/>
  </r>
  <r>
    <d v="2023-11-30T00:00:00"/>
    <x v="5"/>
    <x v="0"/>
    <s v="pago cliente"/>
    <x v="0"/>
    <x v="83"/>
    <m/>
    <s v="Cheque de terceros"/>
    <m/>
    <n v="44400"/>
    <m/>
    <m/>
    <m/>
    <m/>
    <m/>
  </r>
  <r>
    <d v="2023-11-30T00:00:00"/>
    <x v="5"/>
    <x v="0"/>
    <s v="Personal"/>
    <x v="1"/>
    <x v="137"/>
    <m/>
    <s v="personal"/>
    <m/>
    <m/>
    <n v="23000"/>
    <m/>
    <m/>
    <m/>
    <m/>
  </r>
  <r>
    <d v="2023-11-30T00:00:00"/>
    <x v="5"/>
    <x v="0"/>
    <s v="Personal"/>
    <x v="1"/>
    <x v="132"/>
    <m/>
    <s v="personal"/>
    <m/>
    <m/>
    <n v="5500"/>
    <m/>
    <m/>
    <m/>
    <m/>
  </r>
  <r>
    <d v="2023-12-01T00:00:00"/>
    <x v="6"/>
    <x v="0"/>
    <s v="pago cliente"/>
    <x v="0"/>
    <x v="138"/>
    <m/>
    <s v="Transferencia"/>
    <m/>
    <n v="55000"/>
    <m/>
    <m/>
    <m/>
    <m/>
    <m/>
  </r>
  <r>
    <d v="2023-12-01T00:00:00"/>
    <x v="6"/>
    <x v="0"/>
    <s v="Personal"/>
    <x v="1"/>
    <x v="97"/>
    <m/>
    <s v="personal"/>
    <m/>
    <m/>
    <n v="60000"/>
    <m/>
    <m/>
    <m/>
    <m/>
  </r>
  <r>
    <d v="2023-12-02T00:00:00"/>
    <x v="6"/>
    <x v="0"/>
    <s v="pago cliente"/>
    <x v="0"/>
    <x v="139"/>
    <m/>
    <s v="Transferencia"/>
    <m/>
    <n v="93000"/>
    <m/>
    <m/>
    <m/>
    <m/>
    <m/>
  </r>
  <r>
    <d v="2023-12-02T00:00:00"/>
    <x v="6"/>
    <x v="0"/>
    <s v="Personal"/>
    <x v="1"/>
    <x v="137"/>
    <m/>
    <s v="personal"/>
    <m/>
    <m/>
    <n v="11000"/>
    <m/>
    <m/>
    <m/>
    <m/>
  </r>
  <r>
    <d v="2023-12-02T00:00:00"/>
    <x v="6"/>
    <x v="0"/>
    <s v="Personal"/>
    <x v="1"/>
    <x v="140"/>
    <m/>
    <s v="personal"/>
    <m/>
    <m/>
    <n v="289930"/>
    <m/>
    <m/>
    <m/>
    <m/>
  </r>
  <r>
    <d v="2023-12-03T00:00:00"/>
    <x v="6"/>
    <x v="0"/>
    <s v="Personal"/>
    <x v="1"/>
    <x v="140"/>
    <m/>
    <s v="personal"/>
    <m/>
    <m/>
    <n v="55340"/>
    <m/>
    <m/>
    <m/>
    <m/>
  </r>
  <r>
    <d v="2023-12-04T00:00:00"/>
    <x v="6"/>
    <x v="0"/>
    <s v="Personal"/>
    <x v="1"/>
    <x v="141"/>
    <m/>
    <s v="personal"/>
    <m/>
    <m/>
    <n v="30000"/>
    <m/>
    <m/>
    <m/>
    <m/>
  </r>
  <r>
    <d v="2023-12-05T00:00:00"/>
    <x v="6"/>
    <x v="0"/>
    <s v="Personal"/>
    <x v="1"/>
    <x v="107"/>
    <m/>
    <s v="tarjeta"/>
    <m/>
    <m/>
    <n v="17140.900000000001"/>
    <m/>
    <m/>
    <m/>
    <m/>
  </r>
  <r>
    <d v="2023-12-05T00:00:00"/>
    <x v="6"/>
    <x v="0"/>
    <s v="servicios"/>
    <x v="0"/>
    <x v="108"/>
    <m/>
    <s v="tarjeta"/>
    <m/>
    <m/>
    <n v="14100.28"/>
    <m/>
    <m/>
    <m/>
    <m/>
  </r>
  <r>
    <d v="2023-12-05T00:00:00"/>
    <x v="6"/>
    <x v="0"/>
    <s v="servicios"/>
    <x v="0"/>
    <x v="109"/>
    <m/>
    <s v="tarjeta"/>
    <m/>
    <m/>
    <n v="48541.45"/>
    <m/>
    <m/>
    <m/>
    <m/>
  </r>
  <r>
    <d v="2023-12-05T00:00:00"/>
    <x v="6"/>
    <x v="0"/>
    <s v="pago cliente"/>
    <x v="0"/>
    <x v="142"/>
    <m/>
    <s v="Transferencia"/>
    <m/>
    <n v="108500"/>
    <m/>
    <m/>
    <m/>
    <m/>
    <m/>
  </r>
  <r>
    <d v="2023-12-06T00:00:00"/>
    <x v="6"/>
    <x v="0"/>
    <s v="Personal"/>
    <x v="1"/>
    <x v="132"/>
    <m/>
    <s v="personal"/>
    <m/>
    <m/>
    <n v="5500"/>
    <m/>
    <m/>
    <m/>
    <m/>
  </r>
  <r>
    <d v="2023-12-07T00:00:00"/>
    <x v="6"/>
    <x v="0"/>
    <s v="Personal"/>
    <x v="1"/>
    <x v="13"/>
    <m/>
    <s v="tarjeta"/>
    <m/>
    <m/>
    <n v="159580"/>
    <m/>
    <m/>
    <m/>
    <m/>
  </r>
  <r>
    <d v="2023-12-07T00:00:00"/>
    <x v="6"/>
    <x v="0"/>
    <s v="Personal"/>
    <x v="1"/>
    <x v="132"/>
    <m/>
    <s v="personal"/>
    <m/>
    <m/>
    <n v="10500"/>
    <m/>
    <m/>
    <m/>
    <m/>
  </r>
  <r>
    <d v="2023-12-08T00:00:00"/>
    <x v="6"/>
    <x v="0"/>
    <s v="Sueldo mecánicos"/>
    <x v="0"/>
    <x v="27"/>
    <m/>
    <s v="Transferencia"/>
    <m/>
    <m/>
    <n v="220000"/>
    <m/>
    <m/>
    <m/>
    <m/>
  </r>
  <r>
    <d v="2023-12-08T00:00:00"/>
    <x v="6"/>
    <x v="0"/>
    <s v="Sueldo administrativo"/>
    <x v="0"/>
    <x v="27"/>
    <m/>
    <s v="Transferencia"/>
    <m/>
    <m/>
    <n v="50000"/>
    <m/>
    <m/>
    <m/>
    <m/>
  </r>
  <r>
    <d v="2023-12-09T00:00:00"/>
    <x v="6"/>
    <x v="0"/>
    <s v="pago cliente"/>
    <x v="0"/>
    <x v="116"/>
    <m/>
    <s v="Transferencia"/>
    <m/>
    <n v="100000"/>
    <m/>
    <m/>
    <m/>
    <m/>
    <m/>
  </r>
  <r>
    <d v="2023-12-09T00:00:00"/>
    <x v="6"/>
    <x v="0"/>
    <s v="Personal"/>
    <x v="1"/>
    <x v="132"/>
    <m/>
    <s v="personal"/>
    <m/>
    <m/>
    <n v="84200"/>
    <m/>
    <m/>
    <m/>
    <m/>
  </r>
  <r>
    <d v="2023-12-11T00:00:00"/>
    <x v="6"/>
    <x v="0"/>
    <s v="pago cliente"/>
    <x v="0"/>
    <x v="99"/>
    <m/>
    <s v="Cheque de terceros"/>
    <m/>
    <n v="39325"/>
    <m/>
    <m/>
    <m/>
    <m/>
    <m/>
  </r>
  <r>
    <d v="2023-12-11T00:00:00"/>
    <x v="6"/>
    <x v="0"/>
    <s v="pago cliente"/>
    <x v="0"/>
    <x v="143"/>
    <m/>
    <s v="Cheque de terceros"/>
    <m/>
    <n v="12000"/>
    <m/>
    <m/>
    <m/>
    <m/>
    <m/>
  </r>
  <r>
    <d v="2023-12-11T00:00:00"/>
    <x v="6"/>
    <x v="0"/>
    <s v="pago cliente"/>
    <x v="0"/>
    <x v="143"/>
    <m/>
    <s v="Cheque de terceros"/>
    <m/>
    <n v="10000"/>
    <m/>
    <m/>
    <m/>
    <m/>
    <m/>
  </r>
  <r>
    <d v="2023-12-11T00:00:00"/>
    <x v="6"/>
    <x v="0"/>
    <s v="pago cliente"/>
    <x v="0"/>
    <x v="144"/>
    <m/>
    <s v="Transferencia"/>
    <m/>
    <n v="179605"/>
    <m/>
    <m/>
    <m/>
    <m/>
    <m/>
  </r>
  <r>
    <d v="2023-12-11T00:00:00"/>
    <x v="6"/>
    <x v="0"/>
    <s v="pago cliente"/>
    <x v="0"/>
    <x v="145"/>
    <m/>
    <s v="Transferencia"/>
    <m/>
    <n v="100000"/>
    <m/>
    <m/>
    <m/>
    <m/>
    <m/>
  </r>
  <r>
    <d v="2023-12-12T00:00:00"/>
    <x v="6"/>
    <x v="0"/>
    <s v="pago cliente"/>
    <x v="0"/>
    <x v="146"/>
    <m/>
    <s v="Cheque de terceros"/>
    <m/>
    <n v="89000"/>
    <m/>
    <m/>
    <m/>
    <m/>
    <m/>
  </r>
  <r>
    <d v="2023-12-12T00:00:00"/>
    <x v="6"/>
    <x v="0"/>
    <s v="pago cliente"/>
    <x v="0"/>
    <x v="147"/>
    <m/>
    <s v="tarjeta"/>
    <m/>
    <n v="218740"/>
    <m/>
    <m/>
    <m/>
    <m/>
    <m/>
  </r>
  <r>
    <d v="2023-12-13T00:00:00"/>
    <x v="6"/>
    <x v="0"/>
    <s v="Pago proveedor"/>
    <x v="0"/>
    <x v="27"/>
    <s v="Barotto Marcelo "/>
    <s v="Cheque de terceros"/>
    <m/>
    <m/>
    <n v="39325"/>
    <m/>
    <m/>
    <m/>
    <m/>
  </r>
  <r>
    <d v="2023-12-13T00:00:00"/>
    <x v="6"/>
    <x v="0"/>
    <s v="Pago proveedor"/>
    <x v="0"/>
    <x v="27"/>
    <s v="Barotto Marcelo "/>
    <s v="Cheque de terceros"/>
    <m/>
    <m/>
    <n v="44400"/>
    <m/>
    <m/>
    <m/>
    <m/>
  </r>
  <r>
    <d v="2023-12-13T00:00:00"/>
    <x v="6"/>
    <x v="0"/>
    <s v="Pago proveedor"/>
    <x v="0"/>
    <x v="27"/>
    <s v="Barotto Marcelo "/>
    <s v="Cheque de terceros"/>
    <m/>
    <m/>
    <n v="10000"/>
    <m/>
    <m/>
    <m/>
    <m/>
  </r>
  <r>
    <d v="2023-12-13T00:00:00"/>
    <x v="6"/>
    <x v="0"/>
    <s v="Pago proveedor"/>
    <x v="0"/>
    <x v="27"/>
    <s v="Barotto Marcelo "/>
    <s v="Cheque de terceros"/>
    <m/>
    <m/>
    <n v="12000"/>
    <m/>
    <m/>
    <m/>
    <m/>
  </r>
  <r>
    <d v="2023-12-13T00:00:00"/>
    <x v="6"/>
    <x v="0"/>
    <s v="Pago proveedor"/>
    <x v="0"/>
    <x v="27"/>
    <s v="Barotto Marcelo "/>
    <s v="Cheque de terceros"/>
    <m/>
    <m/>
    <n v="89000"/>
    <m/>
    <m/>
    <m/>
    <m/>
  </r>
  <r>
    <d v="2023-12-13T00:00:00"/>
    <x v="6"/>
    <x v="0"/>
    <s v="pago cliente"/>
    <x v="0"/>
    <x v="148"/>
    <m/>
    <s v="Transferencia"/>
    <m/>
    <n v="92500"/>
    <m/>
    <m/>
    <m/>
    <m/>
    <m/>
  </r>
  <r>
    <d v="2023-12-13T00:00:00"/>
    <x v="6"/>
    <x v="0"/>
    <s v="pago cliente"/>
    <x v="0"/>
    <x v="149"/>
    <m/>
    <s v="Transferencia"/>
    <m/>
    <n v="21800"/>
    <m/>
    <m/>
    <m/>
    <m/>
    <m/>
  </r>
  <r>
    <d v="2023-12-14T00:00:00"/>
    <x v="6"/>
    <x v="0"/>
    <s v="pago cliente"/>
    <x v="0"/>
    <x v="150"/>
    <m/>
    <s v="Transferencia"/>
    <m/>
    <n v="112600"/>
    <m/>
    <m/>
    <m/>
    <m/>
    <m/>
  </r>
  <r>
    <d v="2023-12-14T00:00:00"/>
    <x v="6"/>
    <x v="0"/>
    <s v="pago cliente"/>
    <x v="0"/>
    <x v="151"/>
    <m/>
    <s v="tarjeta"/>
    <m/>
    <n v="128250"/>
    <m/>
    <m/>
    <m/>
    <d v="2023-12-18T00:00:00"/>
    <n v="124992.09"/>
  </r>
  <r>
    <d v="2023-12-14T00:00:00"/>
    <x v="6"/>
    <x v="0"/>
    <s v="pago cliente"/>
    <x v="0"/>
    <x v="51"/>
    <m/>
    <s v="Cheque de terceros"/>
    <m/>
    <n v="475106.5"/>
    <m/>
    <m/>
    <m/>
    <m/>
    <m/>
  </r>
  <r>
    <d v="2023-12-14T00:00:00"/>
    <x v="6"/>
    <x v="0"/>
    <s v="pago cliente"/>
    <x v="0"/>
    <x v="93"/>
    <m/>
    <s v="Transferencia"/>
    <m/>
    <n v="91350"/>
    <m/>
    <m/>
    <m/>
    <m/>
    <m/>
  </r>
  <r>
    <d v="2023-12-14T00:00:00"/>
    <x v="6"/>
    <x v="0"/>
    <s v="pago cliente"/>
    <x v="0"/>
    <x v="93"/>
    <m/>
    <s v="Transferencia"/>
    <m/>
    <n v="93950"/>
    <m/>
    <m/>
    <m/>
    <m/>
    <m/>
  </r>
  <r>
    <d v="2023-12-14T00:00:00"/>
    <x v="6"/>
    <x v="0"/>
    <s v="Pago proveedor"/>
    <x v="0"/>
    <x v="27"/>
    <s v="Barotto Marcelo "/>
    <s v="Transferencia"/>
    <m/>
    <m/>
    <n v="91350"/>
    <m/>
    <m/>
    <m/>
    <m/>
  </r>
  <r>
    <d v="2023-12-14T00:00:00"/>
    <x v="6"/>
    <x v="0"/>
    <s v="Pago proveedor"/>
    <x v="0"/>
    <x v="27"/>
    <s v="Barotto Marcelo "/>
    <s v="Transferencia"/>
    <m/>
    <m/>
    <n v="93950"/>
    <m/>
    <m/>
    <m/>
    <m/>
  </r>
  <r>
    <d v="2023-12-14T00:00:00"/>
    <x v="6"/>
    <x v="0"/>
    <s v="honorarios"/>
    <x v="0"/>
    <x v="152"/>
    <m/>
    <s v="Transferencia"/>
    <m/>
    <m/>
    <n v="70000"/>
    <m/>
    <m/>
    <m/>
    <m/>
  </r>
  <r>
    <d v="2023-12-14T00:00:00"/>
    <x v="6"/>
    <x v="0"/>
    <s v="Personal"/>
    <x v="1"/>
    <x v="132"/>
    <m/>
    <s v="personal"/>
    <m/>
    <m/>
    <n v="2250"/>
    <m/>
    <m/>
    <m/>
    <m/>
  </r>
  <r>
    <d v="2023-12-15T00:00:00"/>
    <x v="6"/>
    <x v="0"/>
    <s v="pago cliente"/>
    <x v="0"/>
    <x v="153"/>
    <m/>
    <s v="Transferencia"/>
    <m/>
    <n v="50000"/>
    <m/>
    <m/>
    <m/>
    <m/>
    <m/>
  </r>
  <r>
    <d v="2023-12-15T00:00:00"/>
    <x v="6"/>
    <x v="0"/>
    <s v="Sueldo mecánicos"/>
    <x v="0"/>
    <x v="27"/>
    <m/>
    <s v="Transferencia"/>
    <m/>
    <m/>
    <n v="220000"/>
    <m/>
    <m/>
    <m/>
    <m/>
  </r>
  <r>
    <d v="2023-12-15T00:00:00"/>
    <x v="6"/>
    <x v="0"/>
    <s v="Sueldo administrativo"/>
    <x v="0"/>
    <x v="27"/>
    <m/>
    <s v="Transferencia"/>
    <m/>
    <m/>
    <n v="60800"/>
    <m/>
    <m/>
    <m/>
    <m/>
  </r>
  <r>
    <d v="2023-12-15T00:00:00"/>
    <x v="6"/>
    <x v="0"/>
    <s v="pago cliente"/>
    <x v="0"/>
    <x v="154"/>
    <m/>
    <s v="Transferencia"/>
    <m/>
    <n v="50000"/>
    <m/>
    <m/>
    <m/>
    <m/>
    <m/>
  </r>
  <r>
    <d v="2023-12-15T00:00:00"/>
    <x v="6"/>
    <x v="0"/>
    <s v="pago cliente"/>
    <x v="0"/>
    <x v="155"/>
    <m/>
    <s v="tarjeta"/>
    <m/>
    <n v="68900"/>
    <m/>
    <m/>
    <m/>
    <d v="2023-12-19T00:00:00"/>
    <n v="64323.040000000001"/>
  </r>
  <r>
    <d v="2023-12-15T00:00:00"/>
    <x v="6"/>
    <x v="0"/>
    <s v="Personal"/>
    <x v="1"/>
    <x v="119"/>
    <m/>
    <s v="personal"/>
    <m/>
    <m/>
    <n v="43034"/>
    <m/>
    <m/>
    <m/>
    <m/>
  </r>
  <r>
    <d v="2023-12-15T00:00:00"/>
    <x v="6"/>
    <x v="0"/>
    <s v="Personal"/>
    <x v="1"/>
    <x v="156"/>
    <m/>
    <s v="personal"/>
    <m/>
    <m/>
    <n v="40000"/>
    <m/>
    <m/>
    <m/>
    <m/>
  </r>
  <r>
    <d v="2023-12-16T00:00:00"/>
    <x v="6"/>
    <x v="0"/>
    <s v="Personal"/>
    <x v="1"/>
    <x v="132"/>
    <m/>
    <s v="personal"/>
    <m/>
    <m/>
    <n v="17000"/>
    <m/>
    <m/>
    <m/>
    <m/>
  </r>
  <r>
    <d v="2023-12-18T00:00:00"/>
    <x v="6"/>
    <x v="0"/>
    <s v="pago cliente"/>
    <x v="0"/>
    <x v="157"/>
    <m/>
    <s v="Cheque de terceros"/>
    <m/>
    <n v="275800"/>
    <m/>
    <m/>
    <m/>
    <m/>
    <m/>
  </r>
  <r>
    <d v="2023-12-18T00:00:00"/>
    <x v="6"/>
    <x v="0"/>
    <s v="pago cliente"/>
    <x v="0"/>
    <x v="158"/>
    <m/>
    <s v="tarjeta"/>
    <m/>
    <n v="110000"/>
    <m/>
    <m/>
    <m/>
    <m/>
    <m/>
  </r>
  <r>
    <d v="2023-12-18T00:00:00"/>
    <x v="6"/>
    <x v="0"/>
    <s v="pago cliente"/>
    <x v="0"/>
    <x v="135"/>
    <m/>
    <s v="Transferencia"/>
    <m/>
    <n v="35000"/>
    <m/>
    <m/>
    <m/>
    <m/>
    <m/>
  </r>
  <r>
    <d v="2023-12-18T00:00:00"/>
    <x v="6"/>
    <x v="0"/>
    <s v="Personal"/>
    <x v="1"/>
    <x v="159"/>
    <m/>
    <s v="personal"/>
    <m/>
    <m/>
    <n v="30000"/>
    <m/>
    <m/>
    <m/>
    <m/>
  </r>
  <r>
    <d v="2023-12-18T00:00:00"/>
    <x v="6"/>
    <x v="0"/>
    <s v="Personal"/>
    <x v="1"/>
    <x v="137"/>
    <m/>
    <s v="personal"/>
    <m/>
    <m/>
    <n v="34450"/>
    <m/>
    <m/>
    <m/>
    <m/>
  </r>
  <r>
    <d v="2023-12-19T00:00:00"/>
    <x v="6"/>
    <x v="0"/>
    <s v="pago cliente"/>
    <x v="0"/>
    <x v="160"/>
    <m/>
    <s v="Transferencia"/>
    <m/>
    <n v="51520"/>
    <m/>
    <m/>
    <m/>
    <m/>
    <m/>
  </r>
  <r>
    <d v="2023-12-20T00:00:00"/>
    <x v="6"/>
    <x v="0"/>
    <s v="Pago proveedor"/>
    <x v="0"/>
    <x v="27"/>
    <s v="Repuestos Serrano"/>
    <s v="Transferencia"/>
    <m/>
    <m/>
    <n v="111700.08"/>
    <m/>
    <m/>
    <m/>
    <m/>
  </r>
  <r>
    <d v="2023-12-20T00:00:00"/>
    <x v="6"/>
    <x v="0"/>
    <s v="Pago proveedor"/>
    <x v="0"/>
    <x v="27"/>
    <s v="Oleo Hidraulica"/>
    <s v="Transferencia"/>
    <m/>
    <m/>
    <n v="185000"/>
    <m/>
    <m/>
    <m/>
    <m/>
  </r>
  <r>
    <d v="2023-12-20T00:00:00"/>
    <x v="6"/>
    <x v="0"/>
    <s v="pago cliente"/>
    <x v="0"/>
    <x v="161"/>
    <m/>
    <s v="Transferencia"/>
    <m/>
    <n v="109550"/>
    <m/>
    <m/>
    <m/>
    <m/>
    <m/>
  </r>
  <r>
    <d v="2023-12-20T00:00:00"/>
    <x v="6"/>
    <x v="0"/>
    <s v="pago cliente"/>
    <x v="0"/>
    <x v="162"/>
    <m/>
    <s v="Transferencia"/>
    <m/>
    <n v="31000"/>
    <m/>
    <m/>
    <m/>
    <m/>
    <m/>
  </r>
  <r>
    <d v="2023-12-20T00:00:00"/>
    <x v="6"/>
    <x v="0"/>
    <s v="pago cliente"/>
    <x v="0"/>
    <x v="163"/>
    <m/>
    <s v="Transferencia"/>
    <m/>
    <n v="146200"/>
    <m/>
    <m/>
    <m/>
    <m/>
    <m/>
  </r>
  <r>
    <d v="2023-12-20T00:00:00"/>
    <x v="6"/>
    <x v="0"/>
    <s v="Personal"/>
    <x v="1"/>
    <x v="132"/>
    <m/>
    <s v="personal"/>
    <m/>
    <m/>
    <n v="6200"/>
    <m/>
    <m/>
    <m/>
    <m/>
  </r>
  <r>
    <d v="2023-12-20T00:00:00"/>
    <x v="6"/>
    <x v="0"/>
    <s v="Personal"/>
    <x v="1"/>
    <x v="132"/>
    <m/>
    <s v="personal"/>
    <m/>
    <m/>
    <n v="13200"/>
    <m/>
    <m/>
    <m/>
    <m/>
  </r>
  <r>
    <d v="2023-12-21T00:00:00"/>
    <x v="6"/>
    <x v="0"/>
    <s v="pago cliente"/>
    <x v="0"/>
    <x v="164"/>
    <m/>
    <s v="tarjeta"/>
    <m/>
    <n v="144878"/>
    <m/>
    <m/>
    <m/>
    <d v="2023-12-26T00:00:00"/>
    <n v="135253.9"/>
  </r>
  <r>
    <d v="2023-12-21T00:00:00"/>
    <x v="6"/>
    <x v="0"/>
    <s v="pago cliente"/>
    <x v="0"/>
    <x v="165"/>
    <m/>
    <s v="Transferencia"/>
    <m/>
    <n v="25000"/>
    <m/>
    <m/>
    <m/>
    <m/>
    <m/>
  </r>
  <r>
    <d v="2023-12-21T00:00:00"/>
    <x v="6"/>
    <x v="0"/>
    <s v="pago cliente"/>
    <x v="0"/>
    <x v="74"/>
    <m/>
    <s v="Transferencia"/>
    <m/>
    <n v="222400"/>
    <m/>
    <m/>
    <m/>
    <m/>
    <m/>
  </r>
  <r>
    <d v="2023-12-21T00:00:00"/>
    <x v="6"/>
    <x v="0"/>
    <s v="Personal"/>
    <x v="1"/>
    <x v="137"/>
    <m/>
    <s v="personal"/>
    <m/>
    <m/>
    <n v="10000"/>
    <m/>
    <m/>
    <m/>
    <m/>
  </r>
  <r>
    <d v="2023-12-22T00:00:00"/>
    <x v="6"/>
    <x v="0"/>
    <s v="pago cliente"/>
    <x v="0"/>
    <x v="83"/>
    <m/>
    <s v="Cheque de terceros"/>
    <m/>
    <n v="76048.850000000006"/>
    <m/>
    <m/>
    <m/>
    <m/>
    <m/>
  </r>
  <r>
    <d v="2023-12-22T00:00:00"/>
    <x v="6"/>
    <x v="0"/>
    <s v="pago cliente"/>
    <x v="0"/>
    <x v="83"/>
    <m/>
    <s v="Cheque de terceros"/>
    <m/>
    <n v="42420"/>
    <m/>
    <m/>
    <m/>
    <m/>
    <m/>
  </r>
  <r>
    <d v="2023-12-22T00:00:00"/>
    <x v="6"/>
    <x v="0"/>
    <s v="pago cliente"/>
    <x v="0"/>
    <x v="83"/>
    <m/>
    <s v="Transferencia"/>
    <m/>
    <n v="8332"/>
    <m/>
    <m/>
    <m/>
    <m/>
    <m/>
  </r>
  <r>
    <d v="2023-12-22T00:00:00"/>
    <x v="6"/>
    <x v="0"/>
    <s v="pago cliente"/>
    <x v="0"/>
    <x v="166"/>
    <m/>
    <s v="tarjeta"/>
    <m/>
    <n v="225187"/>
    <m/>
    <m/>
    <m/>
    <d v="2023-12-27T00:00:00"/>
    <n v="210228.05"/>
  </r>
  <r>
    <d v="2023-12-22T00:00:00"/>
    <x v="6"/>
    <x v="0"/>
    <s v="pago cliente"/>
    <x v="0"/>
    <x v="111"/>
    <m/>
    <s v="Cheque de terceros"/>
    <m/>
    <n v="182500"/>
    <m/>
    <m/>
    <m/>
    <m/>
    <m/>
  </r>
  <r>
    <d v="2023-12-22T00:00:00"/>
    <x v="6"/>
    <x v="0"/>
    <s v="pago cliente"/>
    <x v="0"/>
    <x v="111"/>
    <m/>
    <s v="Cheque de terceros"/>
    <m/>
    <n v="272750"/>
    <m/>
    <m/>
    <m/>
    <m/>
    <m/>
  </r>
  <r>
    <d v="2023-12-22T00:00:00"/>
    <x v="6"/>
    <x v="0"/>
    <s v="Sueldo administrativo"/>
    <x v="0"/>
    <x v="167"/>
    <m/>
    <s v="Transferencia"/>
    <m/>
    <m/>
    <n v="231600"/>
    <m/>
    <m/>
    <m/>
    <m/>
  </r>
  <r>
    <d v="2023-12-22T00:00:00"/>
    <x v="6"/>
    <x v="0"/>
    <s v="pago cliente"/>
    <x v="0"/>
    <x v="32"/>
    <m/>
    <s v="Cheque de terceros"/>
    <m/>
    <n v="53900"/>
    <m/>
    <m/>
    <m/>
    <m/>
    <m/>
  </r>
  <r>
    <d v="2023-12-22T00:00:00"/>
    <x v="6"/>
    <x v="0"/>
    <s v="Sueldo mecánicos"/>
    <x v="0"/>
    <x v="167"/>
    <m/>
    <s v="Transferencia"/>
    <m/>
    <m/>
    <n v="660000"/>
    <m/>
    <m/>
    <m/>
    <m/>
  </r>
  <r>
    <d v="2023-12-22T00:00:00"/>
    <x v="6"/>
    <x v="0"/>
    <s v="pago cliente"/>
    <x v="0"/>
    <x v="158"/>
    <m/>
    <s v="tarjeta"/>
    <m/>
    <n v="83400"/>
    <m/>
    <m/>
    <m/>
    <m/>
    <m/>
  </r>
  <r>
    <d v="2023-12-23T00:00:00"/>
    <x v="6"/>
    <x v="0"/>
    <s v="Personal"/>
    <x v="1"/>
    <x v="137"/>
    <m/>
    <s v="personal"/>
    <m/>
    <m/>
    <n v="10000"/>
    <m/>
    <m/>
    <m/>
    <m/>
  </r>
  <r>
    <d v="2023-12-25T00:00:00"/>
    <x v="6"/>
    <x v="0"/>
    <s v="Personal"/>
    <x v="1"/>
    <x v="132"/>
    <m/>
    <s v="personal"/>
    <m/>
    <m/>
    <n v="12000"/>
    <m/>
    <m/>
    <m/>
    <m/>
  </r>
  <r>
    <d v="2023-12-25T00:00:00"/>
    <x v="6"/>
    <x v="0"/>
    <s v="Personal"/>
    <x v="1"/>
    <x v="168"/>
    <m/>
    <s v="personal"/>
    <m/>
    <m/>
    <n v="2000"/>
    <m/>
    <m/>
    <m/>
    <m/>
  </r>
  <r>
    <d v="2023-12-26T00:00:00"/>
    <x v="6"/>
    <x v="0"/>
    <s v="Personal"/>
    <x v="1"/>
    <x v="137"/>
    <m/>
    <s v="personal"/>
    <m/>
    <m/>
    <n v="5000"/>
    <m/>
    <m/>
    <m/>
    <m/>
  </r>
  <r>
    <d v="2023-12-26T00:00:00"/>
    <x v="6"/>
    <x v="0"/>
    <s v="Personal"/>
    <x v="1"/>
    <x v="119"/>
    <m/>
    <s v="personal"/>
    <m/>
    <m/>
    <n v="15000"/>
    <m/>
    <m/>
    <m/>
    <m/>
  </r>
  <r>
    <d v="2023-12-26T00:00:00"/>
    <x v="6"/>
    <x v="0"/>
    <s v="Personal"/>
    <x v="1"/>
    <x v="119"/>
    <m/>
    <s v="personal"/>
    <m/>
    <m/>
    <n v="35000"/>
    <m/>
    <m/>
    <m/>
    <m/>
  </r>
  <r>
    <d v="2023-12-27T00:00:00"/>
    <x v="6"/>
    <x v="0"/>
    <s v="Personal"/>
    <x v="1"/>
    <x v="169"/>
    <m/>
    <s v="personal"/>
    <m/>
    <m/>
    <n v="2500"/>
    <m/>
    <m/>
    <m/>
    <m/>
  </r>
  <r>
    <d v="2023-12-28T00:00:00"/>
    <x v="6"/>
    <x v="0"/>
    <s v="pago cliente"/>
    <x v="0"/>
    <x v="170"/>
    <m/>
    <s v="Transferencia"/>
    <m/>
    <n v="175675"/>
    <m/>
    <m/>
    <m/>
    <m/>
    <m/>
  </r>
  <r>
    <d v="2023-12-28T00:00:00"/>
    <x v="6"/>
    <x v="0"/>
    <s v="pago cliente"/>
    <x v="0"/>
    <x v="171"/>
    <m/>
    <s v="Transferencia"/>
    <m/>
    <n v="51050"/>
    <m/>
    <m/>
    <m/>
    <m/>
    <m/>
  </r>
  <r>
    <d v="2023-12-31T00:00:00"/>
    <x v="6"/>
    <x v="0"/>
    <s v="Personal"/>
    <x v="1"/>
    <x v="137"/>
    <m/>
    <s v="personal"/>
    <m/>
    <m/>
    <n v="60000"/>
    <m/>
    <m/>
    <m/>
    <m/>
  </r>
  <r>
    <d v="2024-01-01T00:00:00"/>
    <x v="7"/>
    <x v="1"/>
    <s v="Personal"/>
    <x v="1"/>
    <x v="137"/>
    <m/>
    <s v="personal"/>
    <m/>
    <m/>
    <n v="53000"/>
    <m/>
    <m/>
    <m/>
    <m/>
  </r>
  <r>
    <d v="2024-01-01T00:00:00"/>
    <x v="7"/>
    <x v="1"/>
    <s v="Personal"/>
    <x v="1"/>
    <x v="137"/>
    <m/>
    <s v="personal"/>
    <m/>
    <m/>
    <n v="53000"/>
    <m/>
    <m/>
    <m/>
    <m/>
  </r>
  <r>
    <d v="2024-01-01T00:00:00"/>
    <x v="7"/>
    <x v="1"/>
    <s v="Personal"/>
    <x v="1"/>
    <x v="172"/>
    <m/>
    <s v="personal"/>
    <m/>
    <m/>
    <n v="59998"/>
    <m/>
    <m/>
    <m/>
    <m/>
  </r>
  <r>
    <d v="2024-01-02T00:00:00"/>
    <x v="7"/>
    <x v="1"/>
    <s v="Pago proveedor"/>
    <x v="0"/>
    <x v="27"/>
    <s v="Barotto Marcelo "/>
    <s v="Cheque de terceros"/>
    <m/>
    <m/>
    <n v="76048.850000000006"/>
    <m/>
    <m/>
    <m/>
    <m/>
  </r>
  <r>
    <d v="2024-01-02T00:00:00"/>
    <x v="7"/>
    <x v="1"/>
    <s v="Pago proveedor"/>
    <x v="0"/>
    <x v="27"/>
    <s v="Barotto Marcelo "/>
    <s v="Cheque de terceros"/>
    <m/>
    <m/>
    <n v="42420"/>
    <m/>
    <m/>
    <m/>
    <m/>
  </r>
  <r>
    <d v="2024-01-02T00:00:00"/>
    <x v="7"/>
    <x v="1"/>
    <s v="Pago proveedor"/>
    <x v="0"/>
    <x v="27"/>
    <s v="Barotto Marcelo "/>
    <s v="Cheque de terceros"/>
    <m/>
    <m/>
    <n v="272750"/>
    <m/>
    <m/>
    <m/>
    <m/>
  </r>
  <r>
    <d v="2024-01-02T00:00:00"/>
    <x v="7"/>
    <x v="1"/>
    <s v="Pago proveedor"/>
    <x v="0"/>
    <x v="27"/>
    <s v="Barotto Marcelo "/>
    <s v="Cheque de terceros"/>
    <m/>
    <m/>
    <n v="182500"/>
    <m/>
    <m/>
    <m/>
    <m/>
  </r>
  <r>
    <d v="2024-01-02T00:00:00"/>
    <x v="7"/>
    <x v="1"/>
    <s v="Pago proveedor"/>
    <x v="0"/>
    <x v="27"/>
    <s v="Barotto Marcelo "/>
    <s v="Cheque de terceros"/>
    <m/>
    <m/>
    <n v="53900"/>
    <m/>
    <m/>
    <m/>
    <m/>
  </r>
  <r>
    <d v="2024-01-02T00:00:00"/>
    <x v="7"/>
    <x v="1"/>
    <s v="Personal"/>
    <x v="1"/>
    <x v="27"/>
    <m/>
    <s v="personal"/>
    <m/>
    <m/>
    <n v="21300"/>
    <m/>
    <m/>
    <m/>
    <m/>
  </r>
  <r>
    <d v="2024-01-02T00:00:00"/>
    <x v="7"/>
    <x v="1"/>
    <s v="Personal"/>
    <x v="1"/>
    <x v="137"/>
    <m/>
    <s v="personal"/>
    <m/>
    <m/>
    <n v="60000"/>
    <m/>
    <m/>
    <m/>
    <m/>
  </r>
  <r>
    <d v="2024-01-03T00:00:00"/>
    <x v="7"/>
    <x v="1"/>
    <s v="pago cliente"/>
    <x v="0"/>
    <x v="173"/>
    <m/>
    <s v="Transferencia"/>
    <m/>
    <n v="477525"/>
    <m/>
    <m/>
    <m/>
    <m/>
    <m/>
  </r>
  <r>
    <d v="2024-01-03T00:00:00"/>
    <x v="7"/>
    <x v="1"/>
    <s v="Personal"/>
    <x v="1"/>
    <x v="137"/>
    <m/>
    <s v="personal"/>
    <m/>
    <m/>
    <n v="51000"/>
    <m/>
    <m/>
    <m/>
    <m/>
  </r>
  <r>
    <d v="2024-01-03T00:00:00"/>
    <x v="7"/>
    <x v="1"/>
    <s v="Personal"/>
    <x v="1"/>
    <x v="174"/>
    <m/>
    <s v="personal"/>
    <m/>
    <m/>
    <n v="5000"/>
    <m/>
    <m/>
    <m/>
    <m/>
  </r>
  <r>
    <d v="2024-01-03T00:00:00"/>
    <x v="7"/>
    <x v="1"/>
    <s v="Personal"/>
    <x v="1"/>
    <x v="175"/>
    <m/>
    <s v="personal"/>
    <m/>
    <m/>
    <n v="198000"/>
    <m/>
    <m/>
    <m/>
    <m/>
  </r>
  <r>
    <d v="2024-01-03T00:00:00"/>
    <x v="7"/>
    <x v="1"/>
    <s v="Personal"/>
    <x v="1"/>
    <x v="137"/>
    <m/>
    <s v="personal"/>
    <m/>
    <m/>
    <n v="51000"/>
    <m/>
    <m/>
    <m/>
    <m/>
  </r>
  <r>
    <d v="2024-01-04T00:00:00"/>
    <x v="7"/>
    <x v="1"/>
    <s v="pago cliente"/>
    <x v="0"/>
    <x v="112"/>
    <m/>
    <s v="Cheque de terceros"/>
    <m/>
    <n v="155206.54999999999"/>
    <m/>
    <m/>
    <m/>
    <m/>
    <m/>
  </r>
  <r>
    <d v="2024-01-04T00:00:00"/>
    <x v="7"/>
    <x v="1"/>
    <s v="Personal"/>
    <x v="1"/>
    <x v="107"/>
    <m/>
    <s v="tarjeta"/>
    <m/>
    <m/>
    <n v="6250.35"/>
    <m/>
    <m/>
    <m/>
    <m/>
  </r>
  <r>
    <d v="2024-01-04T00:00:00"/>
    <x v="7"/>
    <x v="1"/>
    <s v="servicios"/>
    <x v="0"/>
    <x v="108"/>
    <m/>
    <s v="tarjeta"/>
    <m/>
    <m/>
    <n v="3964.57"/>
    <m/>
    <m/>
    <m/>
    <m/>
  </r>
  <r>
    <d v="2024-01-04T00:00:00"/>
    <x v="7"/>
    <x v="1"/>
    <s v="servicios"/>
    <x v="0"/>
    <x v="109"/>
    <m/>
    <s v="tarjeta"/>
    <m/>
    <m/>
    <n v="60027.87"/>
    <m/>
    <m/>
    <m/>
    <m/>
  </r>
  <r>
    <d v="2024-01-04T00:00:00"/>
    <x v="7"/>
    <x v="1"/>
    <s v="Personal"/>
    <x v="1"/>
    <x v="132"/>
    <m/>
    <s v="personal"/>
    <m/>
    <m/>
    <n v="4600"/>
    <m/>
    <m/>
    <m/>
    <m/>
  </r>
  <r>
    <d v="2024-01-04T00:00:00"/>
    <x v="7"/>
    <x v="1"/>
    <s v="Personal"/>
    <x v="1"/>
    <x v="176"/>
    <m/>
    <s v="personal"/>
    <m/>
    <m/>
    <n v="52207"/>
    <m/>
    <m/>
    <m/>
    <m/>
  </r>
  <r>
    <d v="2024-01-05T00:00:00"/>
    <x v="7"/>
    <x v="1"/>
    <s v="pago cliente"/>
    <x v="0"/>
    <x v="116"/>
    <m/>
    <s v="Transferencia"/>
    <m/>
    <n v="109000"/>
    <m/>
    <m/>
    <m/>
    <m/>
    <m/>
  </r>
  <r>
    <d v="2024-01-05T00:00:00"/>
    <x v="7"/>
    <x v="1"/>
    <s v="Sueldo mecánicos"/>
    <x v="0"/>
    <x v="27"/>
    <m/>
    <s v="Transferencia"/>
    <m/>
    <m/>
    <n v="220000"/>
    <m/>
    <m/>
    <m/>
    <m/>
  </r>
  <r>
    <d v="2024-01-05T00:00:00"/>
    <x v="7"/>
    <x v="1"/>
    <s v="Sueldo administrativo"/>
    <x v="0"/>
    <x v="27"/>
    <m/>
    <s v="Transferencia"/>
    <m/>
    <m/>
    <n v="60800"/>
    <m/>
    <m/>
    <m/>
    <m/>
  </r>
  <r>
    <d v="2024-01-06T00:00:00"/>
    <x v="7"/>
    <x v="1"/>
    <s v="pago cliente"/>
    <x v="0"/>
    <x v="177"/>
    <m/>
    <s v="Transferencia"/>
    <m/>
    <n v="100000"/>
    <m/>
    <m/>
    <m/>
    <m/>
    <m/>
  </r>
  <r>
    <d v="2024-01-06T00:00:00"/>
    <x v="7"/>
    <x v="1"/>
    <s v="pago cliente"/>
    <x v="0"/>
    <x v="150"/>
    <m/>
    <s v="Transferencia"/>
    <m/>
    <n v="180000"/>
    <m/>
    <m/>
    <m/>
    <m/>
    <m/>
  </r>
  <r>
    <d v="2024-01-06T00:00:00"/>
    <x v="7"/>
    <x v="1"/>
    <s v="Personal"/>
    <x v="1"/>
    <x v="132"/>
    <m/>
    <s v="personal"/>
    <m/>
    <m/>
    <n v="5500"/>
    <m/>
    <m/>
    <m/>
    <m/>
  </r>
  <r>
    <d v="2024-01-06T00:00:00"/>
    <x v="7"/>
    <x v="1"/>
    <s v="Personal"/>
    <x v="1"/>
    <x v="132"/>
    <m/>
    <s v="personal"/>
    <m/>
    <m/>
    <n v="7000"/>
    <m/>
    <m/>
    <m/>
    <m/>
  </r>
  <r>
    <d v="2024-01-07T00:00:00"/>
    <x v="7"/>
    <x v="1"/>
    <s v="Personal"/>
    <x v="1"/>
    <x v="131"/>
    <m/>
    <s v="personal"/>
    <m/>
    <m/>
    <n v="18650"/>
    <m/>
    <m/>
    <m/>
    <m/>
  </r>
  <r>
    <d v="2024-01-08T00:00:00"/>
    <x v="7"/>
    <x v="1"/>
    <s v="Personal"/>
    <x v="1"/>
    <x v="178"/>
    <m/>
    <s v="Cheque de terceros"/>
    <m/>
    <m/>
    <n v="155206.54999999999"/>
    <m/>
    <m/>
    <m/>
    <m/>
  </r>
  <r>
    <d v="2024-01-08T00:00:00"/>
    <x v="7"/>
    <x v="1"/>
    <s v="pago cliente"/>
    <x v="0"/>
    <x v="179"/>
    <m/>
    <s v="Transferencia"/>
    <m/>
    <n v="108200"/>
    <m/>
    <m/>
    <m/>
    <m/>
    <m/>
  </r>
  <r>
    <d v="2024-01-09T00:00:00"/>
    <x v="7"/>
    <x v="1"/>
    <s v="pago cliente"/>
    <x v="0"/>
    <x v="8"/>
    <m/>
    <s v="Cheque de terceros"/>
    <m/>
    <n v="100000"/>
    <m/>
    <m/>
    <m/>
    <m/>
    <m/>
  </r>
  <r>
    <d v="2024-01-09T00:00:00"/>
    <x v="7"/>
    <x v="1"/>
    <s v="pago cliente"/>
    <x v="0"/>
    <x v="8"/>
    <m/>
    <s v="Cheque de terceros"/>
    <m/>
    <n v="150000"/>
    <m/>
    <m/>
    <m/>
    <m/>
    <m/>
  </r>
  <r>
    <d v="2024-01-09T00:00:00"/>
    <x v="7"/>
    <x v="1"/>
    <s v="Personal"/>
    <x v="1"/>
    <x v="119"/>
    <m/>
    <s v="personal"/>
    <m/>
    <m/>
    <n v="69300"/>
    <m/>
    <m/>
    <m/>
    <m/>
  </r>
  <r>
    <d v="2024-01-10T00:00:00"/>
    <x v="7"/>
    <x v="1"/>
    <s v="Personal"/>
    <x v="1"/>
    <x v="175"/>
    <m/>
    <s v="personal"/>
    <m/>
    <m/>
    <n v="11765"/>
    <m/>
    <m/>
    <m/>
    <m/>
  </r>
  <r>
    <d v="2024-01-11T00:00:00"/>
    <x v="7"/>
    <x v="1"/>
    <s v="pago cliente"/>
    <x v="0"/>
    <x v="180"/>
    <m/>
    <s v="Transferencia"/>
    <m/>
    <n v="277020"/>
    <m/>
    <m/>
    <m/>
    <m/>
    <m/>
  </r>
  <r>
    <d v="2024-01-11T00:00:00"/>
    <x v="7"/>
    <x v="1"/>
    <s v="Pago proveedor"/>
    <x v="0"/>
    <x v="27"/>
    <s v="Barotto Marcelo "/>
    <s v="Transferencia"/>
    <m/>
    <m/>
    <n v="177000"/>
    <m/>
    <m/>
    <m/>
    <m/>
  </r>
  <r>
    <d v="2024-01-11T00:00:00"/>
    <x v="7"/>
    <x v="1"/>
    <s v="librería"/>
    <x v="0"/>
    <x v="181"/>
    <m/>
    <s v="tarjeta"/>
    <m/>
    <m/>
    <n v="30000"/>
    <m/>
    <m/>
    <m/>
    <m/>
  </r>
  <r>
    <d v="2024-01-11T00:00:00"/>
    <x v="7"/>
    <x v="1"/>
    <s v="pago cliente"/>
    <x v="0"/>
    <x v="182"/>
    <m/>
    <s v="Transferencia"/>
    <m/>
    <n v="63000"/>
    <m/>
    <m/>
    <m/>
    <m/>
    <m/>
  </r>
  <r>
    <d v="2024-01-11T00:00:00"/>
    <x v="7"/>
    <x v="1"/>
    <s v="Personal"/>
    <x v="1"/>
    <x v="183"/>
    <m/>
    <s v="personal"/>
    <m/>
    <m/>
    <n v="15000"/>
    <m/>
    <m/>
    <m/>
    <m/>
  </r>
  <r>
    <d v="2024-01-11T00:00:00"/>
    <x v="7"/>
    <x v="1"/>
    <s v="Personal"/>
    <x v="1"/>
    <x v="184"/>
    <m/>
    <s v="personal"/>
    <m/>
    <m/>
    <n v="8500"/>
    <m/>
    <m/>
    <m/>
    <m/>
  </r>
  <r>
    <d v="2024-01-11T00:00:00"/>
    <x v="7"/>
    <x v="1"/>
    <s v="Personal"/>
    <x v="1"/>
    <x v="176"/>
    <m/>
    <s v="personal"/>
    <m/>
    <m/>
    <n v="4196"/>
    <m/>
    <m/>
    <m/>
    <m/>
  </r>
  <r>
    <d v="2024-01-12T00:00:00"/>
    <x v="7"/>
    <x v="1"/>
    <s v="pago cliente"/>
    <x v="0"/>
    <x v="185"/>
    <m/>
    <s v="Transferencia"/>
    <m/>
    <n v="150000"/>
    <m/>
    <m/>
    <m/>
    <m/>
    <m/>
  </r>
  <r>
    <d v="2024-01-12T00:00:00"/>
    <x v="7"/>
    <x v="1"/>
    <s v="pago cliente"/>
    <x v="0"/>
    <x v="186"/>
    <m/>
    <s v="Transferencia"/>
    <m/>
    <n v="121710"/>
    <m/>
    <m/>
    <m/>
    <m/>
    <m/>
  </r>
  <r>
    <d v="2024-01-12T00:00:00"/>
    <x v="7"/>
    <x v="1"/>
    <s v="Personal"/>
    <x v="1"/>
    <x v="132"/>
    <m/>
    <s v="personal"/>
    <m/>
    <m/>
    <n v="15000"/>
    <m/>
    <m/>
    <m/>
    <m/>
  </r>
  <r>
    <d v="2024-01-13T00:00:00"/>
    <x v="7"/>
    <x v="1"/>
    <s v="Sueldo mecánicos"/>
    <x v="0"/>
    <x v="187"/>
    <m/>
    <s v="Transferencia"/>
    <m/>
    <m/>
    <n v="100000"/>
    <m/>
    <m/>
    <m/>
    <m/>
  </r>
  <r>
    <d v="2024-01-13T00:00:00"/>
    <x v="7"/>
    <x v="1"/>
    <s v="Sueldo administrativo"/>
    <x v="0"/>
    <x v="27"/>
    <m/>
    <s v="Transferencia"/>
    <m/>
    <m/>
    <n v="60800"/>
    <m/>
    <m/>
    <m/>
    <m/>
  </r>
  <r>
    <d v="2024-01-13T00:00:00"/>
    <x v="7"/>
    <x v="1"/>
    <s v="pago cliente"/>
    <x v="0"/>
    <x v="188"/>
    <m/>
    <s v="Transferencia"/>
    <m/>
    <n v="180800"/>
    <m/>
    <m/>
    <m/>
    <m/>
    <m/>
  </r>
  <r>
    <d v="2024-01-14T00:00:00"/>
    <x v="7"/>
    <x v="1"/>
    <s v="Personal"/>
    <x v="1"/>
    <x v="189"/>
    <m/>
    <s v="personal"/>
    <m/>
    <m/>
    <n v="29000"/>
    <m/>
    <m/>
    <m/>
    <m/>
  </r>
  <r>
    <d v="2024-01-14T00:00:00"/>
    <x v="7"/>
    <x v="1"/>
    <s v="Personal"/>
    <x v="1"/>
    <x v="132"/>
    <m/>
    <s v="personal"/>
    <m/>
    <m/>
    <n v="8800"/>
    <m/>
    <m/>
    <m/>
    <m/>
  </r>
  <r>
    <d v="2024-01-15T00:00:00"/>
    <x v="7"/>
    <x v="1"/>
    <s v="Personal"/>
    <x v="1"/>
    <x v="137"/>
    <m/>
    <s v="tarjeta"/>
    <m/>
    <m/>
    <n v="75000"/>
    <m/>
    <m/>
    <m/>
    <m/>
  </r>
  <r>
    <d v="2024-01-15T00:00:00"/>
    <x v="7"/>
    <x v="1"/>
    <s v="Personal"/>
    <x v="1"/>
    <x v="132"/>
    <m/>
    <s v="personal"/>
    <m/>
    <m/>
    <n v="11000"/>
    <m/>
    <m/>
    <m/>
    <m/>
  </r>
  <r>
    <d v="2024-01-15T00:00:00"/>
    <x v="7"/>
    <x v="1"/>
    <s v="Herramientas / bienes de uso"/>
    <x v="0"/>
    <x v="27"/>
    <m/>
    <s v="tarjeta"/>
    <m/>
    <m/>
    <n v="60000"/>
    <m/>
    <m/>
    <m/>
    <m/>
  </r>
  <r>
    <d v="2024-01-15T00:00:00"/>
    <x v="7"/>
    <x v="1"/>
    <s v="servicios"/>
    <x v="1"/>
    <x v="190"/>
    <m/>
    <s v="personal"/>
    <m/>
    <m/>
    <n v="10850"/>
    <m/>
    <m/>
    <m/>
    <m/>
  </r>
  <r>
    <d v="2024-01-15T00:00:00"/>
    <x v="7"/>
    <x v="1"/>
    <s v="Personal"/>
    <x v="1"/>
    <x v="175"/>
    <m/>
    <s v="personal"/>
    <m/>
    <m/>
    <n v="75000"/>
    <m/>
    <m/>
    <m/>
    <m/>
  </r>
  <r>
    <d v="2024-01-16T00:00:00"/>
    <x v="7"/>
    <x v="1"/>
    <s v="pago cliente"/>
    <x v="0"/>
    <x v="191"/>
    <m/>
    <s v="Transferencia"/>
    <m/>
    <n v="313550"/>
    <m/>
    <m/>
    <m/>
    <m/>
    <m/>
  </r>
  <r>
    <d v="2024-01-16T00:00:00"/>
    <x v="7"/>
    <x v="1"/>
    <s v="Pago proveedor"/>
    <x v="0"/>
    <x v="192"/>
    <s v="Barotto Marcelo "/>
    <s v="Transferencia"/>
    <m/>
    <m/>
    <n v="248550"/>
    <m/>
    <m/>
    <m/>
    <m/>
  </r>
  <r>
    <d v="2024-01-18T00:00:00"/>
    <x v="7"/>
    <x v="1"/>
    <s v="Pago proveedor"/>
    <x v="0"/>
    <x v="27"/>
    <s v="Shell Bata"/>
    <s v="Cheque de terceros"/>
    <m/>
    <m/>
    <n v="100000"/>
    <m/>
    <m/>
    <m/>
    <m/>
  </r>
  <r>
    <d v="2024-01-18T00:00:00"/>
    <x v="7"/>
    <x v="1"/>
    <s v="Pago proveedor"/>
    <x v="0"/>
    <x v="27"/>
    <s v="Shell Bata"/>
    <s v="Cheque de terceros"/>
    <m/>
    <m/>
    <n v="150000"/>
    <m/>
    <m/>
    <m/>
    <m/>
  </r>
  <r>
    <d v="2024-01-18T00:00:00"/>
    <x v="7"/>
    <x v="1"/>
    <s v="pago cliente"/>
    <x v="0"/>
    <x v="186"/>
    <m/>
    <s v="Cheque de terceros"/>
    <m/>
    <n v="200000"/>
    <m/>
    <m/>
    <m/>
    <m/>
    <m/>
  </r>
  <r>
    <d v="2024-01-18T00:00:00"/>
    <x v="7"/>
    <x v="1"/>
    <s v="Pago proveedor"/>
    <x v="0"/>
    <x v="27"/>
    <s v="Shell Bata"/>
    <s v="Cheque de terceros"/>
    <m/>
    <m/>
    <n v="200000"/>
    <m/>
    <m/>
    <m/>
    <m/>
  </r>
  <r>
    <d v="2024-01-18T00:00:00"/>
    <x v="7"/>
    <x v="1"/>
    <s v="pago cliente"/>
    <x v="0"/>
    <x v="193"/>
    <m/>
    <s v="Transferencia"/>
    <m/>
    <n v="41000"/>
    <m/>
    <m/>
    <m/>
    <m/>
    <m/>
  </r>
  <r>
    <d v="2024-01-18T00:00:00"/>
    <x v="7"/>
    <x v="1"/>
    <s v="pago cliente"/>
    <x v="0"/>
    <x v="194"/>
    <m/>
    <s v="Transferencia"/>
    <m/>
    <n v="210000"/>
    <m/>
    <m/>
    <m/>
    <m/>
    <m/>
  </r>
  <r>
    <d v="2024-01-18T00:00:00"/>
    <x v="7"/>
    <x v="1"/>
    <s v="Pago proveedor"/>
    <x v="0"/>
    <x v="195"/>
    <m/>
    <s v="Transferencia"/>
    <m/>
    <m/>
    <n v="23500"/>
    <m/>
    <m/>
    <m/>
    <m/>
  </r>
  <r>
    <d v="2024-01-18T00:00:00"/>
    <x v="7"/>
    <x v="1"/>
    <s v="Personal"/>
    <x v="1"/>
    <x v="176"/>
    <m/>
    <s v="personal"/>
    <m/>
    <m/>
    <n v="81995"/>
    <m/>
    <m/>
    <m/>
    <m/>
  </r>
  <r>
    <d v="2024-01-19T00:00:00"/>
    <x v="7"/>
    <x v="1"/>
    <s v="pago cliente"/>
    <x v="0"/>
    <x v="71"/>
    <m/>
    <s v="Transferencia"/>
    <m/>
    <n v="104600"/>
    <m/>
    <m/>
    <m/>
    <m/>
    <m/>
  </r>
  <r>
    <d v="2024-01-19T00:00:00"/>
    <x v="7"/>
    <x v="1"/>
    <s v="Gastos generales"/>
    <x v="0"/>
    <x v="196"/>
    <m/>
    <s v="Transferencia"/>
    <m/>
    <m/>
    <n v="19300"/>
    <m/>
    <m/>
    <m/>
    <m/>
  </r>
  <r>
    <d v="2024-01-19T00:00:00"/>
    <x v="7"/>
    <x v="1"/>
    <s v="pago cliente"/>
    <x v="0"/>
    <x v="163"/>
    <m/>
    <s v="Transferencia"/>
    <m/>
    <n v="100000"/>
    <m/>
    <m/>
    <m/>
    <m/>
    <m/>
  </r>
  <r>
    <d v="2024-01-19T00:00:00"/>
    <x v="7"/>
    <x v="1"/>
    <s v="pago cliente"/>
    <x v="0"/>
    <x v="197"/>
    <m/>
    <s v="Transferencia"/>
    <m/>
    <n v="50000"/>
    <m/>
    <m/>
    <m/>
    <m/>
    <m/>
  </r>
  <r>
    <d v="2024-01-19T00:00:00"/>
    <x v="7"/>
    <x v="1"/>
    <s v="pago cliente"/>
    <x v="0"/>
    <x v="51"/>
    <m/>
    <s v="Cheque de terceros"/>
    <m/>
    <n v="351448.13"/>
    <m/>
    <m/>
    <m/>
    <m/>
    <m/>
  </r>
  <r>
    <d v="2024-01-19T00:00:00"/>
    <x v="7"/>
    <x v="1"/>
    <s v="pago cliente"/>
    <x v="0"/>
    <x v="51"/>
    <m/>
    <s v="Cheque de terceros"/>
    <m/>
    <n v="351448.13"/>
    <m/>
    <m/>
    <m/>
    <m/>
    <m/>
  </r>
  <r>
    <d v="2024-01-19T00:00:00"/>
    <x v="7"/>
    <x v="1"/>
    <s v="Sueldo administrativo"/>
    <x v="0"/>
    <x v="27"/>
    <m/>
    <s v="Transferencia"/>
    <m/>
    <m/>
    <n v="60800"/>
    <m/>
    <m/>
    <m/>
    <m/>
  </r>
  <r>
    <d v="2024-01-19T00:00:00"/>
    <x v="7"/>
    <x v="1"/>
    <s v="Sueldo mecánicos"/>
    <x v="0"/>
    <x v="187"/>
    <m/>
    <s v="Transferencia"/>
    <m/>
    <m/>
    <n v="100000"/>
    <m/>
    <m/>
    <m/>
    <m/>
  </r>
  <r>
    <d v="2024-01-20T00:00:00"/>
    <x v="7"/>
    <x v="1"/>
    <s v="Gastos generales"/>
    <x v="0"/>
    <x v="198"/>
    <m/>
    <s v="personal"/>
    <m/>
    <m/>
    <n v="220000"/>
    <m/>
    <m/>
    <m/>
    <m/>
  </r>
  <r>
    <d v="2024-01-20T00:00:00"/>
    <x v="7"/>
    <x v="1"/>
    <s v="Personal"/>
    <x v="1"/>
    <x v="199"/>
    <m/>
    <s v="personal"/>
    <m/>
    <m/>
    <n v="10000"/>
    <m/>
    <m/>
    <m/>
    <m/>
  </r>
  <r>
    <d v="2024-01-20T00:00:00"/>
    <x v="7"/>
    <x v="1"/>
    <s v="Personal"/>
    <x v="1"/>
    <x v="132"/>
    <m/>
    <s v="personal"/>
    <m/>
    <m/>
    <n v="20000"/>
    <m/>
    <m/>
    <m/>
    <m/>
  </r>
  <r>
    <d v="2024-01-20T00:00:00"/>
    <x v="7"/>
    <x v="1"/>
    <s v="Personal"/>
    <x v="1"/>
    <x v="137"/>
    <m/>
    <s v="personal"/>
    <m/>
    <m/>
    <n v="6000"/>
    <m/>
    <m/>
    <m/>
    <m/>
  </r>
  <r>
    <d v="2024-01-22T00:00:00"/>
    <x v="7"/>
    <x v="1"/>
    <s v="pago cliente"/>
    <x v="0"/>
    <x v="200"/>
    <m/>
    <s v="Transferencia"/>
    <m/>
    <n v="58700"/>
    <m/>
    <m/>
    <m/>
    <m/>
    <m/>
  </r>
  <r>
    <d v="2024-01-22T00:00:00"/>
    <x v="7"/>
    <x v="1"/>
    <s v="pago cliente"/>
    <x v="0"/>
    <x v="201"/>
    <m/>
    <s v="tarjeta"/>
    <m/>
    <n v="158556"/>
    <m/>
    <m/>
    <m/>
    <d v="2024-01-25T00:00:00"/>
    <m/>
  </r>
  <r>
    <d v="2024-01-22T00:00:00"/>
    <x v="7"/>
    <x v="1"/>
    <s v="monotributo"/>
    <x v="1"/>
    <x v="202"/>
    <m/>
    <s v="personal"/>
    <m/>
    <m/>
    <n v="35736.43"/>
    <m/>
    <m/>
    <m/>
    <m/>
  </r>
  <r>
    <d v="2024-01-23T00:00:00"/>
    <x v="7"/>
    <x v="1"/>
    <s v="Personal"/>
    <x v="1"/>
    <x v="132"/>
    <m/>
    <s v="personal"/>
    <m/>
    <m/>
    <n v="7800"/>
    <m/>
    <m/>
    <m/>
    <m/>
  </r>
  <r>
    <d v="2024-01-23T00:00:00"/>
    <x v="7"/>
    <x v="1"/>
    <s v="Personal"/>
    <x v="1"/>
    <x v="132"/>
    <m/>
    <s v="personal"/>
    <m/>
    <m/>
    <n v="70000"/>
    <m/>
    <m/>
    <m/>
    <m/>
  </r>
  <r>
    <d v="2024-01-24T00:00:00"/>
    <x v="7"/>
    <x v="1"/>
    <s v="pago cliente"/>
    <x v="0"/>
    <x v="203"/>
    <m/>
    <s v="Cheque de terceros"/>
    <m/>
    <n v="250000"/>
    <m/>
    <m/>
    <m/>
    <m/>
    <m/>
  </r>
  <r>
    <d v="2024-01-24T00:00:00"/>
    <x v="7"/>
    <x v="1"/>
    <s v="pago cliente"/>
    <x v="0"/>
    <x v="112"/>
    <m/>
    <s v="Cheque de terceros"/>
    <m/>
    <n v="152785.12"/>
    <m/>
    <m/>
    <m/>
    <m/>
    <m/>
  </r>
  <r>
    <d v="2024-01-24T00:00:00"/>
    <x v="7"/>
    <x v="1"/>
    <s v="pago cliente"/>
    <x v="0"/>
    <x v="8"/>
    <m/>
    <s v="Cheque de terceros"/>
    <m/>
    <n v="60000"/>
    <m/>
    <m/>
    <m/>
    <m/>
    <m/>
  </r>
  <r>
    <d v="2024-01-24T00:00:00"/>
    <x v="7"/>
    <x v="1"/>
    <s v="pago cliente"/>
    <x v="0"/>
    <x v="8"/>
    <m/>
    <s v="Cheque de terceros"/>
    <m/>
    <n v="34425"/>
    <m/>
    <m/>
    <m/>
    <m/>
    <m/>
  </r>
  <r>
    <d v="2024-01-24T00:00:00"/>
    <x v="7"/>
    <x v="1"/>
    <s v="pago cliente"/>
    <x v="0"/>
    <x v="8"/>
    <m/>
    <s v="Cheque de terceros"/>
    <m/>
    <n v="44610"/>
    <m/>
    <m/>
    <m/>
    <m/>
    <m/>
  </r>
  <r>
    <d v="2024-01-24T00:00:00"/>
    <x v="7"/>
    <x v="1"/>
    <s v="pago cliente"/>
    <x v="0"/>
    <x v="8"/>
    <m/>
    <s v="Cheque de terceros"/>
    <m/>
    <n v="149865.5"/>
    <m/>
    <m/>
    <m/>
    <m/>
    <m/>
  </r>
  <r>
    <d v="2024-01-24T00:00:00"/>
    <x v="7"/>
    <x v="1"/>
    <s v="pago cliente"/>
    <x v="0"/>
    <x v="204"/>
    <m/>
    <s v="Transferencia"/>
    <m/>
    <n v="50000"/>
    <m/>
    <m/>
    <m/>
    <m/>
    <m/>
  </r>
  <r>
    <d v="2024-01-24T00:00:00"/>
    <x v="7"/>
    <x v="1"/>
    <s v="pago cliente"/>
    <x v="0"/>
    <x v="6"/>
    <m/>
    <s v="Transferencia"/>
    <m/>
    <n v="26200"/>
    <m/>
    <m/>
    <m/>
    <m/>
    <m/>
  </r>
  <r>
    <d v="2024-01-24T00:00:00"/>
    <x v="7"/>
    <x v="1"/>
    <s v="Pago proveedor"/>
    <x v="0"/>
    <x v="27"/>
    <s v="Repuestos Serrano"/>
    <s v="Transferencia"/>
    <m/>
    <m/>
    <n v="605272.03"/>
    <m/>
    <m/>
    <m/>
    <m/>
  </r>
  <r>
    <d v="2024-01-24T00:00:00"/>
    <x v="7"/>
    <x v="1"/>
    <s v="Personal"/>
    <x v="1"/>
    <x v="137"/>
    <m/>
    <s v="personal"/>
    <m/>
    <m/>
    <n v="50000"/>
    <m/>
    <m/>
    <m/>
    <m/>
  </r>
  <r>
    <d v="2024-01-24T00:00:00"/>
    <x v="7"/>
    <x v="1"/>
    <s v="pago cliente"/>
    <x v="0"/>
    <x v="205"/>
    <m/>
    <s v="Transferencia"/>
    <m/>
    <n v="193900"/>
    <m/>
    <m/>
    <m/>
    <m/>
    <m/>
  </r>
  <r>
    <d v="2024-01-24T00:00:00"/>
    <x v="7"/>
    <x v="1"/>
    <s v="pago cliente"/>
    <x v="0"/>
    <x v="99"/>
    <m/>
    <s v="Cheque de terceros"/>
    <m/>
    <n v="36300"/>
    <m/>
    <m/>
    <m/>
    <m/>
    <m/>
  </r>
  <r>
    <d v="2024-01-25T00:00:00"/>
    <x v="7"/>
    <x v="1"/>
    <s v="pago cliente"/>
    <x v="0"/>
    <x v="206"/>
    <m/>
    <s v="Transferencia"/>
    <m/>
    <n v="181700"/>
    <m/>
    <m/>
    <m/>
    <m/>
    <m/>
  </r>
  <r>
    <d v="2024-01-25T00:00:00"/>
    <x v="7"/>
    <x v="1"/>
    <s v="Personal"/>
    <x v="1"/>
    <x v="207"/>
    <m/>
    <s v="personal"/>
    <m/>
    <m/>
    <n v="600000"/>
    <m/>
    <m/>
    <m/>
    <m/>
  </r>
  <r>
    <d v="2024-01-25T00:00:00"/>
    <x v="7"/>
    <x v="1"/>
    <s v="Pago proveedor"/>
    <x v="0"/>
    <x v="27"/>
    <s v="Shell Bata"/>
    <s v="Cheque de terceros"/>
    <m/>
    <m/>
    <n v="60000"/>
    <m/>
    <m/>
    <m/>
    <m/>
  </r>
  <r>
    <d v="2024-01-25T00:00:00"/>
    <x v="7"/>
    <x v="1"/>
    <s v="Pago proveedor"/>
    <x v="0"/>
    <x v="27"/>
    <s v="Shell Bata"/>
    <s v="Cheque de terceros"/>
    <m/>
    <m/>
    <n v="250000"/>
    <m/>
    <m/>
    <m/>
    <m/>
  </r>
  <r>
    <d v="2024-01-25T00:00:00"/>
    <x v="7"/>
    <x v="1"/>
    <s v="Pago proveedor"/>
    <x v="0"/>
    <x v="27"/>
    <s v="Shell Bata"/>
    <s v="Cheque de terceros"/>
    <m/>
    <m/>
    <n v="152785.12"/>
    <m/>
    <m/>
    <m/>
    <m/>
  </r>
  <r>
    <d v="2024-01-25T00:00:00"/>
    <x v="7"/>
    <x v="1"/>
    <s v="pago cliente"/>
    <x v="0"/>
    <x v="208"/>
    <m/>
    <s v="Transferencia"/>
    <m/>
    <n v="59500"/>
    <m/>
    <m/>
    <m/>
    <m/>
    <m/>
  </r>
  <r>
    <d v="2024-01-26T00:00:00"/>
    <x v="7"/>
    <x v="1"/>
    <s v="pago cliente"/>
    <x v="0"/>
    <x v="209"/>
    <m/>
    <s v="tarjeta"/>
    <m/>
    <n v="42000"/>
    <m/>
    <m/>
    <m/>
    <d v="2024-01-30T00:00:00"/>
    <n v="39209.980000000003"/>
  </r>
  <r>
    <d v="2024-01-26T00:00:00"/>
    <x v="7"/>
    <x v="1"/>
    <s v="Sueldo mecánicos"/>
    <x v="0"/>
    <x v="187"/>
    <m/>
    <s v="Transferencia"/>
    <m/>
    <m/>
    <n v="100000"/>
    <m/>
    <m/>
    <m/>
    <m/>
  </r>
  <r>
    <d v="2024-01-26T00:00:00"/>
    <x v="7"/>
    <x v="1"/>
    <s v="Sueldo administrativo"/>
    <x v="0"/>
    <x v="27"/>
    <m/>
    <s v="Transferencia"/>
    <m/>
    <m/>
    <n v="100000"/>
    <m/>
    <m/>
    <m/>
    <m/>
  </r>
  <r>
    <d v="2024-01-26T00:00:00"/>
    <x v="7"/>
    <x v="1"/>
    <s v="Personal"/>
    <x v="1"/>
    <x v="176"/>
    <m/>
    <s v="personal"/>
    <m/>
    <m/>
    <n v="20811"/>
    <m/>
    <m/>
    <m/>
    <m/>
  </r>
  <r>
    <d v="2024-01-26T00:00:00"/>
    <x v="7"/>
    <x v="1"/>
    <s v="Personal"/>
    <x v="1"/>
    <x v="176"/>
    <m/>
    <s v="personal"/>
    <m/>
    <m/>
    <n v="36618"/>
    <m/>
    <m/>
    <m/>
    <m/>
  </r>
  <r>
    <d v="2024-01-29T00:00:00"/>
    <x v="7"/>
    <x v="1"/>
    <s v="pago cliente"/>
    <x v="0"/>
    <x v="99"/>
    <m/>
    <s v="Cheque de terceros"/>
    <m/>
    <n v="76835"/>
    <m/>
    <m/>
    <m/>
    <m/>
    <m/>
  </r>
  <r>
    <d v="2024-01-29T00:00:00"/>
    <x v="7"/>
    <x v="1"/>
    <s v="Personal"/>
    <x v="1"/>
    <x v="132"/>
    <m/>
    <s v="personal"/>
    <m/>
    <m/>
    <n v="350000"/>
    <m/>
    <m/>
    <m/>
    <m/>
  </r>
  <r>
    <d v="2024-01-29T00:00:00"/>
    <x v="7"/>
    <x v="1"/>
    <s v="Personal"/>
    <x v="1"/>
    <x v="119"/>
    <m/>
    <s v="personal"/>
    <m/>
    <m/>
    <n v="250030"/>
    <m/>
    <m/>
    <m/>
    <m/>
  </r>
  <r>
    <d v="2024-01-30T00:00:00"/>
    <x v="7"/>
    <x v="1"/>
    <s v="pago cliente"/>
    <x v="0"/>
    <x v="53"/>
    <m/>
    <s v="Transferencia"/>
    <m/>
    <n v="214850"/>
    <m/>
    <m/>
    <m/>
    <m/>
    <m/>
  </r>
  <r>
    <d v="2024-01-30T00:00:00"/>
    <x v="7"/>
    <x v="1"/>
    <s v="Pago proveedor"/>
    <x v="0"/>
    <x v="210"/>
    <s v="Barotto Marcelo "/>
    <s v="Transferencia"/>
    <m/>
    <m/>
    <n v="214850"/>
    <m/>
    <m/>
    <m/>
    <m/>
  </r>
  <r>
    <d v="2024-01-30T00:00:00"/>
    <x v="7"/>
    <x v="1"/>
    <s v="pago cliente"/>
    <x v="0"/>
    <x v="204"/>
    <m/>
    <s v="Transferencia"/>
    <m/>
    <n v="50000"/>
    <m/>
    <m/>
    <m/>
    <m/>
    <m/>
  </r>
  <r>
    <d v="2024-01-30T00:00:00"/>
    <x v="7"/>
    <x v="1"/>
    <s v="Pago proveedor"/>
    <x v="0"/>
    <x v="27"/>
    <s v="Barotto Marcelo "/>
    <s v="Cheque de terceros"/>
    <m/>
    <m/>
    <n v="351448.13"/>
    <m/>
    <m/>
    <m/>
    <m/>
  </r>
  <r>
    <d v="2024-01-30T00:00:00"/>
    <x v="7"/>
    <x v="1"/>
    <s v="Pago proveedor"/>
    <x v="0"/>
    <x v="27"/>
    <s v="Barotto Marcelo "/>
    <s v="Cheque de terceros"/>
    <m/>
    <m/>
    <n v="351448.13"/>
    <m/>
    <m/>
    <m/>
    <m/>
  </r>
  <r>
    <d v="2024-01-30T00:00:00"/>
    <x v="7"/>
    <x v="1"/>
    <s v="Pago proveedor"/>
    <x v="0"/>
    <x v="27"/>
    <s v="Barotto Marcelo "/>
    <s v="Cheque de terceros"/>
    <m/>
    <m/>
    <n v="149865.5"/>
    <m/>
    <m/>
    <m/>
    <m/>
  </r>
  <r>
    <d v="2024-01-30T00:00:00"/>
    <x v="7"/>
    <x v="1"/>
    <s v="Pago proveedor"/>
    <x v="0"/>
    <x v="27"/>
    <s v="Barotto Marcelo "/>
    <s v="Cheque de terceros"/>
    <m/>
    <m/>
    <n v="44610"/>
    <m/>
    <m/>
    <m/>
    <m/>
  </r>
  <r>
    <d v="2024-01-30T00:00:00"/>
    <x v="7"/>
    <x v="1"/>
    <s v="Pago proveedor"/>
    <x v="0"/>
    <x v="27"/>
    <s v="Barotto Marcelo "/>
    <s v="Cheque de terceros"/>
    <m/>
    <m/>
    <n v="34425"/>
    <m/>
    <m/>
    <m/>
    <m/>
  </r>
  <r>
    <d v="2024-01-30T00:00:00"/>
    <x v="7"/>
    <x v="1"/>
    <s v="Pago proveedor"/>
    <x v="0"/>
    <x v="27"/>
    <s v="Barotto Marcelo "/>
    <s v="Cheque de terceros"/>
    <m/>
    <m/>
    <n v="40535"/>
    <m/>
    <m/>
    <m/>
    <m/>
  </r>
  <r>
    <d v="2024-01-30T00:00:00"/>
    <x v="7"/>
    <x v="1"/>
    <s v="pago cliente"/>
    <x v="0"/>
    <x v="197"/>
    <m/>
    <s v="Transferencia"/>
    <m/>
    <n v="43000"/>
    <m/>
    <m/>
    <m/>
    <m/>
    <m/>
  </r>
  <r>
    <d v="2024-01-31T00:00:00"/>
    <x v="7"/>
    <x v="1"/>
    <s v="pago cliente"/>
    <x v="0"/>
    <x v="211"/>
    <m/>
    <s v="tarjeta"/>
    <m/>
    <n v="253950"/>
    <m/>
    <m/>
    <m/>
    <d v="2024-02-02T00:00:00"/>
    <m/>
  </r>
  <r>
    <d v="2024-01-31T00:00:00"/>
    <x v="7"/>
    <x v="1"/>
    <s v="pago cliente"/>
    <x v="0"/>
    <x v="155"/>
    <m/>
    <s v="tarjeta"/>
    <m/>
    <n v="33400"/>
    <m/>
    <m/>
    <m/>
    <d v="2024-02-02T00:00:00"/>
    <m/>
  </r>
  <r>
    <d v="2024-01-31T00:00:00"/>
    <x v="7"/>
    <x v="1"/>
    <s v="pago cliente"/>
    <x v="0"/>
    <x v="212"/>
    <m/>
    <s v="tarjeta"/>
    <m/>
    <n v="250150"/>
    <m/>
    <m/>
    <m/>
    <d v="2024-02-02T00:00:00"/>
    <m/>
  </r>
  <r>
    <d v="2024-01-31T00:00:00"/>
    <x v="7"/>
    <x v="1"/>
    <s v="Personal"/>
    <x v="1"/>
    <x v="213"/>
    <m/>
    <s v="personal"/>
    <m/>
    <m/>
    <n v="6046"/>
    <m/>
    <m/>
    <m/>
    <m/>
  </r>
  <r>
    <d v="2024-01-31T00:00:00"/>
    <x v="7"/>
    <x v="1"/>
    <s v="Personal"/>
    <x v="1"/>
    <x v="213"/>
    <m/>
    <s v="personal"/>
    <m/>
    <m/>
    <n v="23578"/>
    <m/>
    <m/>
    <m/>
    <m/>
  </r>
  <r>
    <d v="2024-02-01T00:00:00"/>
    <x v="0"/>
    <x v="1"/>
    <s v="pago cliente"/>
    <x v="0"/>
    <x v="78"/>
    <m/>
    <s v="Cheque de terceros"/>
    <m/>
    <n v="122280"/>
    <m/>
    <m/>
    <m/>
    <m/>
    <m/>
  </r>
  <r>
    <d v="2024-02-01T00:00:00"/>
    <x v="0"/>
    <x v="1"/>
    <s v="pago cliente"/>
    <x v="0"/>
    <x v="51"/>
    <m/>
    <s v="Cheque de terceros"/>
    <m/>
    <n v="1980000"/>
    <m/>
    <m/>
    <m/>
    <m/>
    <m/>
  </r>
  <r>
    <d v="2024-02-01T00:00:00"/>
    <x v="0"/>
    <x v="1"/>
    <s v="Herramientas / bienes de uso"/>
    <x v="0"/>
    <x v="214"/>
    <m/>
    <s v="Cheque de terceros"/>
    <m/>
    <m/>
    <n v="1980000"/>
    <m/>
    <m/>
    <m/>
    <m/>
  </r>
  <r>
    <d v="2024-02-02T00:00:00"/>
    <x v="0"/>
    <x v="1"/>
    <s v="pago cliente"/>
    <x v="0"/>
    <x v="215"/>
    <m/>
    <s v="Cheque de terceros"/>
    <m/>
    <n v="186900"/>
    <m/>
    <m/>
    <m/>
    <m/>
    <m/>
  </r>
  <r>
    <d v="2024-02-02T00:00:00"/>
    <x v="0"/>
    <x v="1"/>
    <s v="pago cliente"/>
    <x v="0"/>
    <x v="216"/>
    <m/>
    <s v="Transferencia"/>
    <m/>
    <n v="15000"/>
    <m/>
    <m/>
    <m/>
    <m/>
    <m/>
  </r>
  <r>
    <d v="2024-02-03T00:00:00"/>
    <x v="0"/>
    <x v="1"/>
    <s v="pago cliente"/>
    <x v="0"/>
    <x v="217"/>
    <m/>
    <s v="tarjeta"/>
    <m/>
    <n v="200000"/>
    <m/>
    <m/>
    <m/>
    <d v="2024-02-06T00:00:00"/>
    <m/>
  </r>
  <r>
    <d v="2024-02-03T00:00:00"/>
    <x v="0"/>
    <x v="1"/>
    <s v="pago cliente"/>
    <x v="0"/>
    <x v="205"/>
    <m/>
    <s v="Transferencia"/>
    <m/>
    <n v="31100"/>
    <m/>
    <m/>
    <m/>
    <m/>
    <m/>
  </r>
  <r>
    <d v="2024-02-05T00:00:00"/>
    <x v="0"/>
    <x v="1"/>
    <s v="servicios"/>
    <x v="0"/>
    <x v="109"/>
    <m/>
    <s v="tarjeta"/>
    <m/>
    <m/>
    <n v="69664.66"/>
    <m/>
    <m/>
    <m/>
    <m/>
  </r>
  <r>
    <d v="2024-02-05T00:00:00"/>
    <x v="0"/>
    <x v="1"/>
    <s v="servicios"/>
    <x v="0"/>
    <x v="108"/>
    <m/>
    <s v="tarjeta"/>
    <m/>
    <m/>
    <m/>
    <m/>
    <m/>
    <m/>
    <m/>
  </r>
  <r>
    <d v="2024-02-06T00:00:00"/>
    <x v="0"/>
    <x v="1"/>
    <s v="pago cliente"/>
    <x v="0"/>
    <x v="154"/>
    <m/>
    <s v="Transferencia"/>
    <m/>
    <n v="71900"/>
    <m/>
    <m/>
    <m/>
    <m/>
    <m/>
  </r>
  <r>
    <d v="2024-02-06T00:00:00"/>
    <x v="0"/>
    <x v="1"/>
    <s v="servicios"/>
    <x v="1"/>
    <x v="190"/>
    <m/>
    <s v="personal"/>
    <m/>
    <m/>
    <n v="32446"/>
    <m/>
    <m/>
    <m/>
    <m/>
  </r>
  <r>
    <d v="2024-02-06T00:00:00"/>
    <x v="0"/>
    <x v="1"/>
    <s v="servicios"/>
    <x v="1"/>
    <x v="190"/>
    <m/>
    <s v="personal"/>
    <m/>
    <m/>
    <n v="36940"/>
    <m/>
    <m/>
    <m/>
    <m/>
  </r>
  <r>
    <d v="2024-02-07T00:00:00"/>
    <x v="0"/>
    <x v="1"/>
    <s v="pago cliente"/>
    <x v="0"/>
    <x v="218"/>
    <m/>
    <s v="tarjeta"/>
    <m/>
    <n v="95000"/>
    <m/>
    <m/>
    <m/>
    <m/>
    <m/>
  </r>
  <r>
    <d v="2024-02-07T00:00:00"/>
    <x v="0"/>
    <x v="1"/>
    <s v="pago cliente"/>
    <x v="0"/>
    <x v="219"/>
    <m/>
    <s v="tarjeta"/>
    <m/>
    <n v="138000"/>
    <m/>
    <m/>
    <m/>
    <m/>
    <m/>
  </r>
  <r>
    <d v="2024-02-08T00:00:00"/>
    <x v="0"/>
    <x v="1"/>
    <s v="Personal"/>
    <x v="1"/>
    <x v="132"/>
    <m/>
    <s v="personal"/>
    <m/>
    <m/>
    <n v="40000"/>
    <m/>
    <m/>
    <m/>
    <m/>
  </r>
  <r>
    <d v="2024-02-08T00:00:00"/>
    <x v="0"/>
    <x v="1"/>
    <s v="pago cliente"/>
    <x v="0"/>
    <x v="219"/>
    <m/>
    <s v="Transferencia"/>
    <m/>
    <n v="13560"/>
    <m/>
    <m/>
    <m/>
    <m/>
    <m/>
  </r>
  <r>
    <d v="2024-02-08T00:00:00"/>
    <x v="0"/>
    <x v="1"/>
    <s v="pago cliente"/>
    <x v="0"/>
    <x v="220"/>
    <m/>
    <s v="tarjeta"/>
    <m/>
    <n v="13500"/>
    <m/>
    <m/>
    <m/>
    <m/>
    <m/>
  </r>
  <r>
    <d v="2024-02-09T00:00:00"/>
    <x v="0"/>
    <x v="1"/>
    <s v="pago cliente"/>
    <x v="0"/>
    <x v="221"/>
    <m/>
    <s v="Transferencia"/>
    <m/>
    <n v="6000"/>
    <m/>
    <m/>
    <m/>
    <m/>
    <m/>
  </r>
  <r>
    <d v="2024-02-09T00:00:00"/>
    <x v="0"/>
    <x v="1"/>
    <s v="Personal"/>
    <x v="1"/>
    <x v="132"/>
    <m/>
    <s v="personal"/>
    <m/>
    <m/>
    <n v="12000"/>
    <m/>
    <m/>
    <m/>
    <m/>
  </r>
  <r>
    <d v="2024-02-10T00:00:00"/>
    <x v="0"/>
    <x v="1"/>
    <s v="Sueldo administrativo"/>
    <x v="0"/>
    <x v="27"/>
    <m/>
    <s v="Transferencia"/>
    <m/>
    <m/>
    <n v="78000"/>
    <m/>
    <m/>
    <m/>
    <m/>
  </r>
  <r>
    <d v="2024-02-10T00:00:00"/>
    <x v="0"/>
    <x v="1"/>
    <s v="pago cliente"/>
    <x v="0"/>
    <x v="71"/>
    <m/>
    <s v="Cheque de terceros"/>
    <m/>
    <n v="57269.38"/>
    <m/>
    <m/>
    <m/>
    <m/>
    <m/>
  </r>
  <r>
    <d v="2024-02-10T00:00:00"/>
    <x v="0"/>
    <x v="1"/>
    <s v="Personal"/>
    <x v="1"/>
    <x v="132"/>
    <m/>
    <s v="personal"/>
    <m/>
    <m/>
    <n v="26000"/>
    <m/>
    <m/>
    <m/>
    <m/>
  </r>
  <r>
    <d v="2024-02-10T00:00:00"/>
    <x v="0"/>
    <x v="1"/>
    <s v="pago cliente"/>
    <x v="0"/>
    <x v="222"/>
    <m/>
    <s v="Transferencia"/>
    <m/>
    <n v="147800"/>
    <m/>
    <m/>
    <m/>
    <m/>
    <m/>
  </r>
  <r>
    <d v="2024-02-10T00:00:00"/>
    <x v="0"/>
    <x v="1"/>
    <s v="pago cliente"/>
    <x v="0"/>
    <x v="177"/>
    <m/>
    <s v="Transferencia"/>
    <m/>
    <n v="51000"/>
    <m/>
    <m/>
    <m/>
    <m/>
    <m/>
  </r>
  <r>
    <d v="2024-02-14T00:00:00"/>
    <x v="0"/>
    <x v="1"/>
    <s v="Personal"/>
    <x v="1"/>
    <x v="13"/>
    <m/>
    <s v="personal"/>
    <m/>
    <m/>
    <n v="260070"/>
    <m/>
    <m/>
    <m/>
    <m/>
  </r>
  <r>
    <d v="2024-02-14T00:00:00"/>
    <x v="0"/>
    <x v="1"/>
    <s v="pago cliente"/>
    <x v="0"/>
    <x v="51"/>
    <m/>
    <s v="Cheque de terceros"/>
    <m/>
    <n v="270436"/>
    <m/>
    <m/>
    <m/>
    <m/>
    <m/>
  </r>
  <r>
    <d v="2024-02-14T00:00:00"/>
    <x v="0"/>
    <x v="1"/>
    <s v="pago cliente"/>
    <x v="0"/>
    <x v="51"/>
    <m/>
    <s v="Cheque de terceros"/>
    <m/>
    <n v="270434"/>
    <m/>
    <m/>
    <m/>
    <m/>
    <m/>
  </r>
  <r>
    <d v="2024-02-14T00:00:00"/>
    <x v="0"/>
    <x v="1"/>
    <s v="pago cliente"/>
    <x v="0"/>
    <x v="135"/>
    <m/>
    <s v="Transferencia"/>
    <m/>
    <n v="11000"/>
    <m/>
    <m/>
    <m/>
    <m/>
    <m/>
  </r>
  <r>
    <d v="2024-02-14T00:00:00"/>
    <x v="0"/>
    <x v="1"/>
    <s v="servicios"/>
    <x v="1"/>
    <x v="190"/>
    <m/>
    <s v="personal"/>
    <m/>
    <m/>
    <n v="13560"/>
    <m/>
    <m/>
    <m/>
    <m/>
  </r>
  <r>
    <d v="2024-02-14T00:00:00"/>
    <x v="0"/>
    <x v="1"/>
    <s v="Personal"/>
    <x v="1"/>
    <x v="176"/>
    <m/>
    <s v="personal"/>
    <m/>
    <m/>
    <n v="4588"/>
    <m/>
    <m/>
    <m/>
    <m/>
  </r>
  <r>
    <d v="2024-02-14T00:00:00"/>
    <x v="0"/>
    <x v="1"/>
    <s v="Personal"/>
    <x v="1"/>
    <x v="176"/>
    <m/>
    <s v="personal"/>
    <m/>
    <m/>
    <n v="56882"/>
    <m/>
    <m/>
    <m/>
    <m/>
  </r>
  <r>
    <d v="2024-02-15T00:00:00"/>
    <x v="0"/>
    <x v="1"/>
    <s v="pago cliente"/>
    <x v="0"/>
    <x v="83"/>
    <m/>
    <s v="Cheque de terceros"/>
    <m/>
    <n v="110000"/>
    <m/>
    <m/>
    <m/>
    <m/>
    <m/>
  </r>
  <r>
    <d v="2024-02-15T00:00:00"/>
    <x v="0"/>
    <x v="1"/>
    <s v="Personal"/>
    <x v="1"/>
    <x v="223"/>
    <m/>
    <s v="personal"/>
    <m/>
    <m/>
    <n v="15600"/>
    <m/>
    <m/>
    <m/>
    <m/>
  </r>
  <r>
    <d v="2024-02-15T00:00:00"/>
    <x v="0"/>
    <x v="1"/>
    <s v="Personal"/>
    <x v="1"/>
    <x v="132"/>
    <m/>
    <s v="personal"/>
    <m/>
    <m/>
    <n v="8200"/>
    <m/>
    <m/>
    <m/>
    <m/>
  </r>
  <r>
    <d v="2024-02-15T00:00:00"/>
    <x v="0"/>
    <x v="1"/>
    <s v="Gastos generales"/>
    <x v="1"/>
    <x v="224"/>
    <m/>
    <s v="personal"/>
    <m/>
    <m/>
    <n v="33450"/>
    <m/>
    <m/>
    <m/>
    <m/>
  </r>
  <r>
    <d v="2024-02-16T00:00:00"/>
    <x v="0"/>
    <x v="1"/>
    <s v="Personal"/>
    <x v="1"/>
    <x v="137"/>
    <m/>
    <s v="personal"/>
    <m/>
    <m/>
    <n v="57000"/>
    <m/>
    <m/>
    <m/>
    <m/>
  </r>
  <r>
    <d v="2024-02-16T00:00:00"/>
    <x v="0"/>
    <x v="1"/>
    <s v="pago cliente"/>
    <x v="0"/>
    <x v="225"/>
    <m/>
    <s v="Transferencia"/>
    <m/>
    <n v="25000"/>
    <m/>
    <m/>
    <m/>
    <m/>
    <m/>
  </r>
  <r>
    <d v="2024-02-16T00:00:00"/>
    <x v="0"/>
    <x v="1"/>
    <s v="pago cliente"/>
    <x v="0"/>
    <x v="226"/>
    <m/>
    <s v="tarjeta"/>
    <m/>
    <n v="49300"/>
    <m/>
    <m/>
    <m/>
    <m/>
    <m/>
  </r>
  <r>
    <d v="2024-02-17T00:00:00"/>
    <x v="0"/>
    <x v="1"/>
    <s v="Personal"/>
    <x v="1"/>
    <x v="132"/>
    <m/>
    <s v="personal"/>
    <m/>
    <m/>
    <n v="59000"/>
    <m/>
    <m/>
    <m/>
    <m/>
  </r>
  <r>
    <d v="2024-02-19T00:00:00"/>
    <x v="0"/>
    <x v="1"/>
    <s v="pago cliente"/>
    <x v="0"/>
    <x v="99"/>
    <m/>
    <s v="Cheque de terceros"/>
    <m/>
    <n v="26977"/>
    <m/>
    <m/>
    <m/>
    <m/>
    <m/>
  </r>
  <r>
    <d v="2024-02-19T00:00:00"/>
    <x v="0"/>
    <x v="1"/>
    <s v="pago cliente"/>
    <x v="0"/>
    <x v="226"/>
    <m/>
    <s v="tarjeta"/>
    <m/>
    <n v="49300"/>
    <m/>
    <m/>
    <m/>
    <m/>
    <m/>
  </r>
  <r>
    <d v="2024-02-19T00:00:00"/>
    <x v="0"/>
    <x v="1"/>
    <s v="pago cliente"/>
    <x v="0"/>
    <x v="227"/>
    <m/>
    <s v="Transferencia"/>
    <m/>
    <n v="34800"/>
    <m/>
    <m/>
    <m/>
    <m/>
    <m/>
  </r>
  <r>
    <d v="2024-02-20T00:00:00"/>
    <x v="0"/>
    <x v="1"/>
    <s v="pago cliente"/>
    <x v="0"/>
    <x v="228"/>
    <m/>
    <s v="Transferencia"/>
    <m/>
    <n v="144400"/>
    <m/>
    <m/>
    <m/>
    <m/>
    <m/>
  </r>
  <r>
    <d v="2024-02-20T00:00:00"/>
    <x v="0"/>
    <x v="1"/>
    <s v="Personal"/>
    <x v="1"/>
    <x v="229"/>
    <m/>
    <s v="Cheque de terceros"/>
    <m/>
    <m/>
    <n v="122280"/>
    <m/>
    <m/>
    <m/>
    <m/>
  </r>
  <r>
    <d v="2024-02-20T00:00:00"/>
    <x v="0"/>
    <x v="1"/>
    <s v="Personal"/>
    <x v="1"/>
    <x v="230"/>
    <m/>
    <s v="personal"/>
    <m/>
    <m/>
    <n v="10900"/>
    <m/>
    <m/>
    <m/>
    <m/>
  </r>
  <r>
    <d v="2024-02-20T00:00:00"/>
    <x v="0"/>
    <x v="1"/>
    <s v="monotributo"/>
    <x v="1"/>
    <x v="202"/>
    <m/>
    <s v="personal"/>
    <m/>
    <m/>
    <n v="35736.43"/>
    <m/>
    <m/>
    <m/>
    <m/>
  </r>
  <r>
    <d v="2024-02-21T00:00:00"/>
    <x v="0"/>
    <x v="1"/>
    <s v="Pago proveedor"/>
    <x v="0"/>
    <x v="27"/>
    <s v="TDI"/>
    <s v="Cheque de terceros"/>
    <m/>
    <m/>
    <n v="57269.38"/>
    <m/>
    <m/>
    <m/>
    <m/>
  </r>
  <r>
    <d v="2024-02-21T00:00:00"/>
    <x v="0"/>
    <x v="1"/>
    <s v="Pago proveedor"/>
    <x v="0"/>
    <x v="27"/>
    <s v="TDI"/>
    <s v="Cheque de terceros"/>
    <m/>
    <m/>
    <n v="110000"/>
    <m/>
    <m/>
    <m/>
    <m/>
  </r>
  <r>
    <d v="2024-02-21T00:00:00"/>
    <x v="0"/>
    <x v="1"/>
    <s v="Pago proveedor"/>
    <x v="0"/>
    <x v="27"/>
    <s v="TDI"/>
    <s v="Cheque de terceros"/>
    <m/>
    <m/>
    <n v="26977"/>
    <m/>
    <m/>
    <m/>
    <m/>
  </r>
  <r>
    <d v="2024-02-21T00:00:00"/>
    <x v="0"/>
    <x v="1"/>
    <s v="Pago proveedor"/>
    <x v="0"/>
    <x v="27"/>
    <s v="Aldo repuestos"/>
    <s v="Transferencia"/>
    <m/>
    <m/>
    <n v="331040"/>
    <m/>
    <m/>
    <m/>
    <m/>
  </r>
  <r>
    <d v="2024-02-21T00:00:00"/>
    <x v="0"/>
    <x v="1"/>
    <s v="pago cliente"/>
    <x v="0"/>
    <x v="127"/>
    <m/>
    <s v="Transferencia"/>
    <m/>
    <n v="83500"/>
    <m/>
    <m/>
    <m/>
    <m/>
    <m/>
  </r>
  <r>
    <d v="2024-02-21T00:00:00"/>
    <x v="0"/>
    <x v="1"/>
    <s v="Personal"/>
    <x v="1"/>
    <x v="176"/>
    <m/>
    <s v="personal"/>
    <m/>
    <m/>
    <n v="43374"/>
    <m/>
    <m/>
    <m/>
    <m/>
  </r>
  <r>
    <d v="2024-02-21T00:00:00"/>
    <x v="0"/>
    <x v="1"/>
    <s v="Personal"/>
    <x v="1"/>
    <x v="176"/>
    <m/>
    <s v="personal"/>
    <m/>
    <m/>
    <n v="91290"/>
    <m/>
    <m/>
    <m/>
    <m/>
  </r>
  <r>
    <d v="2024-02-21T00:00:00"/>
    <x v="0"/>
    <x v="1"/>
    <s v="Personal"/>
    <x v="1"/>
    <x v="176"/>
    <m/>
    <s v="personal"/>
    <m/>
    <m/>
    <n v="24521"/>
    <m/>
    <m/>
    <m/>
    <m/>
  </r>
  <r>
    <d v="2024-02-22T00:00:00"/>
    <x v="0"/>
    <x v="1"/>
    <s v="Personal"/>
    <x v="1"/>
    <x v="231"/>
    <m/>
    <s v="personal"/>
    <m/>
    <m/>
    <n v="7600"/>
    <m/>
    <m/>
    <m/>
    <m/>
  </r>
  <r>
    <d v="2024-02-24T00:00:00"/>
    <x v="0"/>
    <x v="1"/>
    <s v="pago cliente"/>
    <x v="0"/>
    <x v="232"/>
    <m/>
    <s v="tarjeta"/>
    <m/>
    <n v="191300"/>
    <m/>
    <m/>
    <m/>
    <m/>
    <m/>
  </r>
  <r>
    <d v="2024-02-24T00:00:00"/>
    <x v="0"/>
    <x v="1"/>
    <s v="pago cliente"/>
    <x v="0"/>
    <x v="233"/>
    <m/>
    <s v="Transferencia"/>
    <m/>
    <n v="20000"/>
    <m/>
    <m/>
    <m/>
    <m/>
    <m/>
  </r>
  <r>
    <d v="2024-02-24T00:00:00"/>
    <x v="0"/>
    <x v="1"/>
    <s v="pago cliente"/>
    <x v="0"/>
    <x v="233"/>
    <m/>
    <s v="Transferencia"/>
    <m/>
    <n v="17700"/>
    <m/>
    <m/>
    <m/>
    <m/>
    <m/>
  </r>
  <r>
    <d v="2024-02-26T00:00:00"/>
    <x v="0"/>
    <x v="1"/>
    <s v="Personal"/>
    <x v="1"/>
    <x v="213"/>
    <m/>
    <s v="personal"/>
    <m/>
    <m/>
    <n v="46969"/>
    <m/>
    <m/>
    <m/>
    <m/>
  </r>
  <r>
    <d v="2024-02-26T00:00:00"/>
    <x v="0"/>
    <x v="1"/>
    <s v="Personal"/>
    <x v="1"/>
    <x v="213"/>
    <m/>
    <s v="personal"/>
    <m/>
    <m/>
    <n v="10260"/>
    <m/>
    <m/>
    <m/>
    <m/>
  </r>
  <r>
    <d v="2024-02-27T00:00:00"/>
    <x v="0"/>
    <x v="1"/>
    <s v="Pago proveedor"/>
    <x v="0"/>
    <x v="27"/>
    <s v="Barotto Marcelo "/>
    <s v="Cheque de terceros"/>
    <m/>
    <m/>
    <n v="270436"/>
    <m/>
    <m/>
    <m/>
    <m/>
  </r>
  <r>
    <d v="2024-02-27T00:00:00"/>
    <x v="0"/>
    <x v="1"/>
    <s v="Pago proveedor"/>
    <x v="0"/>
    <x v="27"/>
    <s v="Barotto Marcelo "/>
    <s v="Cheque de terceros"/>
    <m/>
    <m/>
    <n v="270434"/>
    <m/>
    <m/>
    <m/>
    <m/>
  </r>
  <r>
    <d v="2024-02-28T00:00:00"/>
    <x v="0"/>
    <x v="1"/>
    <s v="pago cliente"/>
    <x v="0"/>
    <x v="234"/>
    <m/>
    <s v="tarjeta"/>
    <m/>
    <n v="572700"/>
    <m/>
    <m/>
    <m/>
    <m/>
    <m/>
  </r>
  <r>
    <d v="2024-02-28T00:00:00"/>
    <x v="0"/>
    <x v="1"/>
    <s v="Personal"/>
    <x v="1"/>
    <x v="235"/>
    <m/>
    <s v="personal"/>
    <m/>
    <m/>
    <n v="300000"/>
    <m/>
    <m/>
    <m/>
    <m/>
  </r>
  <r>
    <d v="2024-02-28T00:00:00"/>
    <x v="0"/>
    <x v="1"/>
    <s v="Personal"/>
    <x v="1"/>
    <x v="236"/>
    <m/>
    <s v="personal"/>
    <m/>
    <m/>
    <n v="6500"/>
    <m/>
    <m/>
    <m/>
    <m/>
  </r>
  <r>
    <d v="2024-02-28T00:00:00"/>
    <x v="0"/>
    <x v="1"/>
    <s v="Personal"/>
    <x v="1"/>
    <x v="27"/>
    <m/>
    <s v="personal"/>
    <m/>
    <m/>
    <n v="8200"/>
    <m/>
    <m/>
    <m/>
    <m/>
  </r>
  <r>
    <d v="2024-02-28T00:00:00"/>
    <x v="0"/>
    <x v="1"/>
    <s v="Pago proveedor"/>
    <x v="0"/>
    <x v="237"/>
    <m/>
    <s v="Transferencia"/>
    <m/>
    <m/>
    <n v="21000"/>
    <m/>
    <m/>
    <m/>
    <m/>
  </r>
  <r>
    <d v="2024-02-29T00:00:00"/>
    <x v="0"/>
    <x v="1"/>
    <s v="pago cliente"/>
    <x v="0"/>
    <x v="238"/>
    <m/>
    <s v="Transferencia"/>
    <m/>
    <n v="285700"/>
    <m/>
    <m/>
    <m/>
    <m/>
    <m/>
  </r>
  <r>
    <d v="2024-02-29T00:00:00"/>
    <x v="0"/>
    <x v="1"/>
    <s v="Pago proveedor"/>
    <x v="0"/>
    <x v="27"/>
    <s v="Barotto Marcelo "/>
    <s v="Transferencia"/>
    <m/>
    <m/>
    <n v="285700"/>
    <m/>
    <m/>
    <m/>
    <m/>
  </r>
  <r>
    <d v="2024-03-01T00:00:00"/>
    <x v="8"/>
    <x v="1"/>
    <s v="pago cliente"/>
    <x v="0"/>
    <x v="82"/>
    <m/>
    <s v="Cheque de terceros"/>
    <m/>
    <n v="861400"/>
    <m/>
    <m/>
    <m/>
    <m/>
    <m/>
  </r>
  <r>
    <d v="2024-03-01T00:00:00"/>
    <x v="8"/>
    <x v="1"/>
    <s v="Sueldo administrativo"/>
    <x v="0"/>
    <x v="27"/>
    <m/>
    <s v="Transferencia"/>
    <m/>
    <m/>
    <n v="78000"/>
    <m/>
    <m/>
    <m/>
    <m/>
  </r>
  <r>
    <d v="2024-03-01T00:00:00"/>
    <x v="8"/>
    <x v="1"/>
    <s v="pago cliente"/>
    <x v="0"/>
    <x v="239"/>
    <m/>
    <s v="Transferencia"/>
    <m/>
    <n v="210500"/>
    <m/>
    <m/>
    <m/>
    <m/>
    <m/>
  </r>
  <r>
    <d v="2024-03-01T00:00:00"/>
    <x v="8"/>
    <x v="1"/>
    <s v="Pago proveedor"/>
    <x v="2"/>
    <x v="27"/>
    <s v="Barotto Marcelo "/>
    <s v="Cheque de terceros"/>
    <m/>
    <m/>
    <n v="861400"/>
    <m/>
    <m/>
    <m/>
    <m/>
  </r>
  <r>
    <d v="2024-03-02T00:00:00"/>
    <x v="8"/>
    <x v="1"/>
    <s v="pago cliente"/>
    <x v="0"/>
    <x v="240"/>
    <m/>
    <s v="Transferencia"/>
    <m/>
    <n v="45000"/>
    <m/>
    <m/>
    <m/>
    <m/>
    <m/>
  </r>
  <r>
    <d v="2024-03-03T00:00:00"/>
    <x v="8"/>
    <x v="1"/>
    <s v="Personal"/>
    <x v="1"/>
    <x v="27"/>
    <m/>
    <s v="personal"/>
    <m/>
    <m/>
    <n v="23000"/>
    <m/>
    <m/>
    <m/>
    <m/>
  </r>
  <r>
    <d v="2024-03-04T00:00:00"/>
    <x v="8"/>
    <x v="1"/>
    <s v="pago cliente"/>
    <x v="0"/>
    <x v="241"/>
    <m/>
    <s v="Transferencia"/>
    <m/>
    <n v="25000"/>
    <m/>
    <m/>
    <m/>
    <m/>
    <m/>
  </r>
  <r>
    <d v="2024-03-05T00:00:00"/>
    <x v="8"/>
    <x v="1"/>
    <s v="pago cliente"/>
    <x v="0"/>
    <x v="100"/>
    <m/>
    <s v="Cheque de terceros"/>
    <m/>
    <n v="185000"/>
    <m/>
    <m/>
    <m/>
    <m/>
    <m/>
  </r>
  <r>
    <d v="2024-03-05T00:00:00"/>
    <x v="8"/>
    <x v="1"/>
    <s v="pago cliente"/>
    <x v="0"/>
    <x v="242"/>
    <m/>
    <s v="Cheque de terceros"/>
    <m/>
    <n v="104000"/>
    <m/>
    <m/>
    <m/>
    <m/>
    <m/>
  </r>
  <r>
    <d v="2024-03-05T00:00:00"/>
    <x v="8"/>
    <x v="1"/>
    <s v="pago cliente"/>
    <x v="0"/>
    <x v="242"/>
    <m/>
    <s v="Transferencia"/>
    <m/>
    <n v="65650"/>
    <m/>
    <m/>
    <m/>
    <m/>
    <m/>
  </r>
  <r>
    <d v="2024-03-05T00:00:00"/>
    <x v="8"/>
    <x v="1"/>
    <s v="pago cliente"/>
    <x v="0"/>
    <x v="112"/>
    <m/>
    <s v="Cheque de terceros"/>
    <m/>
    <n v="35000"/>
    <m/>
    <m/>
    <m/>
    <m/>
    <m/>
  </r>
  <r>
    <d v="2024-03-05T00:00:00"/>
    <x v="8"/>
    <x v="1"/>
    <s v="Personal"/>
    <x v="1"/>
    <x v="107"/>
    <m/>
    <s v="tarjeta"/>
    <m/>
    <m/>
    <n v="10295.84"/>
    <m/>
    <m/>
    <m/>
    <m/>
  </r>
  <r>
    <d v="2024-03-05T00:00:00"/>
    <x v="8"/>
    <x v="1"/>
    <s v="servicios"/>
    <x v="1"/>
    <x v="243"/>
    <m/>
    <s v="tarjeta"/>
    <m/>
    <m/>
    <n v="98675.85"/>
    <m/>
    <m/>
    <m/>
    <m/>
  </r>
  <r>
    <d v="2024-03-05T00:00:00"/>
    <x v="8"/>
    <x v="1"/>
    <s v="servicios"/>
    <x v="1"/>
    <x v="108"/>
    <m/>
    <s v="tarjeta"/>
    <m/>
    <m/>
    <n v="2254.62"/>
    <m/>
    <m/>
    <m/>
    <m/>
  </r>
  <r>
    <d v="2024-03-05T00:00:00"/>
    <x v="8"/>
    <x v="1"/>
    <s v="pago cliente"/>
    <x v="0"/>
    <x v="244"/>
    <m/>
    <s v="Transferencia"/>
    <m/>
    <n v="20000"/>
    <m/>
    <m/>
    <m/>
    <m/>
    <m/>
  </r>
  <r>
    <d v="2024-03-05T00:00:00"/>
    <x v="8"/>
    <x v="1"/>
    <s v="Personal"/>
    <x v="1"/>
    <x v="137"/>
    <m/>
    <s v="personal"/>
    <m/>
    <m/>
    <n v="56000"/>
    <m/>
    <m/>
    <m/>
    <m/>
  </r>
  <r>
    <d v="2024-03-05T00:00:00"/>
    <x v="8"/>
    <x v="1"/>
    <s v="Personal"/>
    <x v="1"/>
    <x v="27"/>
    <m/>
    <s v="personal"/>
    <m/>
    <m/>
    <n v="5000"/>
    <m/>
    <m/>
    <m/>
    <m/>
  </r>
  <r>
    <d v="2024-03-05T00:00:00"/>
    <x v="8"/>
    <x v="1"/>
    <s v="Pago proveedor"/>
    <x v="0"/>
    <x v="27"/>
    <s v="Wurth"/>
    <s v="Transferencia"/>
    <m/>
    <m/>
    <n v="116419"/>
    <m/>
    <m/>
    <m/>
    <m/>
  </r>
  <r>
    <d v="2024-03-05T00:00:00"/>
    <x v="8"/>
    <x v="1"/>
    <s v="pago cliente"/>
    <x v="0"/>
    <x v="245"/>
    <m/>
    <s v="Transferencia"/>
    <m/>
    <n v="150000"/>
    <m/>
    <m/>
    <m/>
    <m/>
    <m/>
  </r>
  <r>
    <d v="2024-03-06T00:00:00"/>
    <x v="8"/>
    <x v="1"/>
    <s v="pago cliente"/>
    <x v="0"/>
    <x v="84"/>
    <m/>
    <s v="Transferencia"/>
    <m/>
    <n v="481650"/>
    <m/>
    <m/>
    <m/>
    <m/>
    <m/>
  </r>
  <r>
    <d v="2024-03-06T00:00:00"/>
    <x v="8"/>
    <x v="1"/>
    <s v="Pago proveedor"/>
    <x v="0"/>
    <x v="27"/>
    <s v="Barotto Marcelo "/>
    <s v="Transferencia"/>
    <m/>
    <m/>
    <n v="481650"/>
    <m/>
    <m/>
    <m/>
    <m/>
  </r>
  <r>
    <d v="2024-03-06T00:00:00"/>
    <x v="8"/>
    <x v="1"/>
    <s v="pago cliente"/>
    <x v="0"/>
    <x v="246"/>
    <m/>
    <s v="Transferencia"/>
    <m/>
    <n v="35000"/>
    <m/>
    <m/>
    <m/>
    <m/>
    <m/>
  </r>
  <r>
    <d v="2024-03-07T00:00:00"/>
    <x v="8"/>
    <x v="1"/>
    <s v="Herramientas / bienes de uso"/>
    <x v="0"/>
    <x v="247"/>
    <m/>
    <s v="Cheque de terceros"/>
    <m/>
    <m/>
    <n v="104000"/>
    <m/>
    <m/>
    <m/>
    <m/>
  </r>
  <r>
    <d v="2024-03-07T00:00:00"/>
    <x v="8"/>
    <x v="1"/>
    <s v="pago cliente"/>
    <x v="0"/>
    <x v="83"/>
    <m/>
    <s v="Cheque de terceros"/>
    <m/>
    <n v="200000"/>
    <m/>
    <m/>
    <m/>
    <m/>
    <m/>
  </r>
  <r>
    <d v="2024-03-07T00:00:00"/>
    <x v="8"/>
    <x v="1"/>
    <s v="pago cliente"/>
    <x v="0"/>
    <x v="217"/>
    <m/>
    <s v="tarjeta"/>
    <m/>
    <n v="127200"/>
    <m/>
    <m/>
    <m/>
    <m/>
    <m/>
  </r>
  <r>
    <d v="2024-03-07T00:00:00"/>
    <x v="8"/>
    <x v="1"/>
    <s v="pago cliente"/>
    <x v="0"/>
    <x v="248"/>
    <m/>
    <s v="Transferencia"/>
    <m/>
    <n v="35000"/>
    <m/>
    <m/>
    <m/>
    <m/>
    <m/>
  </r>
  <r>
    <d v="2024-03-07T00:00:00"/>
    <x v="8"/>
    <x v="1"/>
    <s v="Pago proveedor"/>
    <x v="0"/>
    <x v="27"/>
    <s v="Atilio Lucero"/>
    <s v="Transferencia"/>
    <m/>
    <m/>
    <n v="20909.87"/>
    <m/>
    <m/>
    <m/>
    <m/>
  </r>
  <r>
    <d v="2024-03-07T00:00:00"/>
    <x v="8"/>
    <x v="1"/>
    <s v="Personal"/>
    <x v="1"/>
    <x v="249"/>
    <m/>
    <s v="personal"/>
    <m/>
    <m/>
    <n v="92500"/>
    <m/>
    <m/>
    <m/>
    <m/>
  </r>
  <r>
    <d v="2024-03-07T00:00:00"/>
    <x v="8"/>
    <x v="1"/>
    <s v="servicios"/>
    <x v="1"/>
    <x v="190"/>
    <m/>
    <s v="personal"/>
    <m/>
    <m/>
    <n v="40753"/>
    <m/>
    <m/>
    <m/>
    <m/>
  </r>
  <r>
    <d v="2024-03-07T00:00:00"/>
    <x v="8"/>
    <x v="1"/>
    <s v="servicios"/>
    <x v="1"/>
    <x v="190"/>
    <m/>
    <s v="personal"/>
    <m/>
    <m/>
    <n v="46170"/>
    <m/>
    <m/>
    <m/>
    <m/>
  </r>
  <r>
    <d v="2024-03-08T00:00:00"/>
    <x v="8"/>
    <x v="1"/>
    <s v="pago cliente"/>
    <x v="0"/>
    <x v="250"/>
    <m/>
    <s v="tarjeta"/>
    <m/>
    <n v="197000"/>
    <m/>
    <m/>
    <m/>
    <m/>
    <m/>
  </r>
  <r>
    <d v="2024-03-08T00:00:00"/>
    <x v="8"/>
    <x v="1"/>
    <s v="Sueldo administrativo"/>
    <x v="0"/>
    <x v="27"/>
    <m/>
    <s v="Transferencia"/>
    <m/>
    <m/>
    <n v="97000"/>
    <m/>
    <m/>
    <m/>
    <m/>
  </r>
  <r>
    <d v="2024-03-08T00:00:00"/>
    <x v="8"/>
    <x v="1"/>
    <s v="Personal"/>
    <x v="1"/>
    <x v="176"/>
    <m/>
    <s v="personal"/>
    <m/>
    <m/>
    <n v="60068"/>
    <m/>
    <m/>
    <m/>
    <m/>
  </r>
  <r>
    <d v="2024-03-11T00:00:00"/>
    <x v="8"/>
    <x v="1"/>
    <s v="Pago proveedor"/>
    <x v="0"/>
    <x v="251"/>
    <m/>
    <s v="Transferencia"/>
    <m/>
    <m/>
    <n v="81000"/>
    <m/>
    <m/>
    <m/>
    <m/>
  </r>
  <r>
    <d v="2024-03-11T00:00:00"/>
    <x v="8"/>
    <x v="1"/>
    <s v="pago cliente"/>
    <x v="0"/>
    <x v="252"/>
    <m/>
    <s v="Transferencia"/>
    <m/>
    <n v="156500"/>
    <m/>
    <m/>
    <m/>
    <m/>
    <m/>
  </r>
  <r>
    <d v="2024-03-11T00:00:00"/>
    <x v="8"/>
    <x v="1"/>
    <s v="pago cliente"/>
    <x v="0"/>
    <x v="253"/>
    <m/>
    <s v="Cheque de terceros"/>
    <m/>
    <n v="42940"/>
    <m/>
    <m/>
    <m/>
    <m/>
    <m/>
  </r>
  <r>
    <d v="2024-03-11T00:00:00"/>
    <x v="8"/>
    <x v="1"/>
    <s v="Personal"/>
    <x v="1"/>
    <x v="27"/>
    <m/>
    <s v="personal"/>
    <m/>
    <m/>
    <n v="6700"/>
    <m/>
    <m/>
    <m/>
    <m/>
  </r>
  <r>
    <d v="2024-03-11T00:00:00"/>
    <x v="8"/>
    <x v="1"/>
    <s v="Personal"/>
    <x v="1"/>
    <x v="119"/>
    <m/>
    <s v="personal"/>
    <m/>
    <m/>
    <n v="207000"/>
    <m/>
    <m/>
    <m/>
    <m/>
  </r>
  <r>
    <d v="2024-03-11T00:00:00"/>
    <x v="8"/>
    <x v="1"/>
    <s v="Personal"/>
    <x v="1"/>
    <x v="27"/>
    <m/>
    <s v="personal"/>
    <m/>
    <m/>
    <n v="19500"/>
    <m/>
    <m/>
    <m/>
    <m/>
  </r>
  <r>
    <d v="2024-03-11T00:00:00"/>
    <x v="8"/>
    <x v="1"/>
    <s v="Personal"/>
    <x v="1"/>
    <x v="137"/>
    <m/>
    <s v="personal"/>
    <m/>
    <m/>
    <n v="90000"/>
    <m/>
    <m/>
    <m/>
    <m/>
  </r>
  <r>
    <d v="2024-03-11T00:00:00"/>
    <x v="8"/>
    <x v="1"/>
    <s v="Personal"/>
    <x v="1"/>
    <x v="27"/>
    <m/>
    <s v="personal"/>
    <m/>
    <m/>
    <n v="7000"/>
    <m/>
    <m/>
    <m/>
    <m/>
  </r>
  <r>
    <d v="2024-03-11T00:00:00"/>
    <x v="8"/>
    <x v="1"/>
    <s v="Personal"/>
    <x v="1"/>
    <x v="224"/>
    <m/>
    <s v="personal"/>
    <m/>
    <m/>
    <n v="35510"/>
    <m/>
    <m/>
    <m/>
    <m/>
  </r>
  <r>
    <d v="2024-03-12T00:00:00"/>
    <x v="8"/>
    <x v="1"/>
    <s v="pago cliente"/>
    <x v="0"/>
    <x v="254"/>
    <m/>
    <s v="Cheque de terceros"/>
    <m/>
    <n v="498750"/>
    <m/>
    <m/>
    <m/>
    <m/>
    <m/>
  </r>
  <r>
    <d v="2024-03-12T00:00:00"/>
    <x v="8"/>
    <x v="1"/>
    <s v="Pago proveedor"/>
    <x v="0"/>
    <x v="27"/>
    <s v="Barotto Marcelo "/>
    <s v="Cheque de terceros"/>
    <m/>
    <m/>
    <n v="185000"/>
    <m/>
    <m/>
    <m/>
    <m/>
  </r>
  <r>
    <d v="2024-03-12T00:00:00"/>
    <x v="8"/>
    <x v="1"/>
    <s v="Pago proveedor"/>
    <x v="0"/>
    <x v="27"/>
    <s v="Barotto Marcelo "/>
    <s v="Cheque de terceros"/>
    <m/>
    <m/>
    <n v="35000"/>
    <m/>
    <m/>
    <m/>
    <m/>
  </r>
  <r>
    <d v="2024-03-12T00:00:00"/>
    <x v="8"/>
    <x v="1"/>
    <s v="Pago proveedor"/>
    <x v="0"/>
    <x v="27"/>
    <s v="Barotto Marcelo "/>
    <s v="Cheque de terceros"/>
    <m/>
    <m/>
    <n v="200000"/>
    <m/>
    <m/>
    <m/>
    <m/>
  </r>
  <r>
    <d v="2024-03-12T00:00:00"/>
    <x v="8"/>
    <x v="1"/>
    <s v="Pago proveedor"/>
    <x v="0"/>
    <x v="27"/>
    <s v="Barotto Marcelo "/>
    <s v="Cheque de terceros"/>
    <m/>
    <m/>
    <n v="42940"/>
    <m/>
    <m/>
    <m/>
    <m/>
  </r>
  <r>
    <d v="2024-03-12T00:00:00"/>
    <x v="8"/>
    <x v="1"/>
    <s v="Pago proveedor"/>
    <x v="0"/>
    <x v="27"/>
    <s v="Barotto Marcelo "/>
    <s v="Cheque de terceros"/>
    <m/>
    <m/>
    <n v="498750"/>
    <m/>
    <m/>
    <m/>
    <m/>
  </r>
  <r>
    <d v="2024-03-12T00:00:00"/>
    <x v="8"/>
    <x v="1"/>
    <s v="pago cliente"/>
    <x v="0"/>
    <x v="74"/>
    <m/>
    <s v="Transferencia"/>
    <m/>
    <n v="218000"/>
    <m/>
    <m/>
    <m/>
    <m/>
    <m/>
  </r>
  <r>
    <d v="2024-03-12T00:00:00"/>
    <x v="8"/>
    <x v="1"/>
    <s v="Pago proveedor"/>
    <x v="0"/>
    <x v="27"/>
    <s v="TDI"/>
    <s v="Transferencia"/>
    <m/>
    <m/>
    <n v="87429.06"/>
    <m/>
    <m/>
    <m/>
    <m/>
  </r>
  <r>
    <d v="2024-03-12T00:00:00"/>
    <x v="8"/>
    <x v="1"/>
    <s v="Pago proveedor"/>
    <x v="0"/>
    <x v="255"/>
    <m/>
    <s v="Transferencia"/>
    <m/>
    <m/>
    <n v="109000"/>
    <m/>
    <m/>
    <m/>
    <m/>
  </r>
  <r>
    <d v="2024-03-12T00:00:00"/>
    <x v="8"/>
    <x v="1"/>
    <s v="pago cliente"/>
    <x v="0"/>
    <x v="256"/>
    <m/>
    <s v="Transferencia"/>
    <m/>
    <n v="296925"/>
    <m/>
    <m/>
    <m/>
    <m/>
    <m/>
  </r>
  <r>
    <d v="2024-03-12T00:00:00"/>
    <x v="8"/>
    <x v="1"/>
    <s v="Personal"/>
    <x v="1"/>
    <x v="27"/>
    <m/>
    <s v="personal"/>
    <m/>
    <m/>
    <n v="4200"/>
    <m/>
    <m/>
    <m/>
    <m/>
  </r>
  <r>
    <d v="2024-03-12T00:00:00"/>
    <x v="8"/>
    <x v="1"/>
    <s v="honorarios"/>
    <x v="0"/>
    <x v="152"/>
    <m/>
    <s v="Transferencia"/>
    <m/>
    <m/>
    <n v="110000"/>
    <m/>
    <m/>
    <m/>
    <m/>
  </r>
  <r>
    <d v="2024-03-13T00:00:00"/>
    <x v="8"/>
    <x v="1"/>
    <s v="pago cliente"/>
    <x v="0"/>
    <x v="257"/>
    <m/>
    <s v="Transferencia"/>
    <m/>
    <n v="225300"/>
    <m/>
    <m/>
    <m/>
    <m/>
    <m/>
  </r>
  <r>
    <d v="2024-03-13T00:00:00"/>
    <x v="8"/>
    <x v="1"/>
    <s v="Personal"/>
    <x v="1"/>
    <x v="176"/>
    <m/>
    <s v="personal"/>
    <m/>
    <m/>
    <n v="8100"/>
    <m/>
    <m/>
    <m/>
    <m/>
  </r>
  <r>
    <d v="2024-03-13T00:00:00"/>
    <x v="8"/>
    <x v="1"/>
    <s v="Personal"/>
    <x v="1"/>
    <x v="175"/>
    <m/>
    <s v="personal"/>
    <m/>
    <m/>
    <n v="16772.86"/>
    <m/>
    <m/>
    <m/>
    <m/>
  </r>
  <r>
    <d v="2024-03-14T00:00:00"/>
    <x v="8"/>
    <x v="1"/>
    <s v="pago cliente"/>
    <x v="0"/>
    <x v="258"/>
    <m/>
    <s v="Transferencia"/>
    <m/>
    <n v="188600"/>
    <m/>
    <m/>
    <m/>
    <m/>
    <m/>
  </r>
  <r>
    <d v="2024-03-14T00:00:00"/>
    <x v="8"/>
    <x v="1"/>
    <s v="Pago cliente casual"/>
    <x v="0"/>
    <x v="27"/>
    <m/>
    <s v="Transferencia"/>
    <m/>
    <n v="75000"/>
    <m/>
    <m/>
    <m/>
    <m/>
    <m/>
  </r>
  <r>
    <d v="2024-03-14T00:00:00"/>
    <x v="8"/>
    <x v="1"/>
    <s v="Sueldo administrativo"/>
    <x v="0"/>
    <x v="27"/>
    <m/>
    <s v="Transferencia"/>
    <m/>
    <m/>
    <n v="97000"/>
    <m/>
    <m/>
    <m/>
    <m/>
  </r>
  <r>
    <d v="2024-03-14T00:00:00"/>
    <x v="8"/>
    <x v="1"/>
    <s v="Sueldo mecánicos"/>
    <x v="0"/>
    <x v="187"/>
    <m/>
    <s v="Transferencia"/>
    <m/>
    <m/>
    <n v="130000"/>
    <m/>
    <m/>
    <m/>
    <m/>
  </r>
  <r>
    <d v="2024-03-14T00:00:00"/>
    <x v="8"/>
    <x v="1"/>
    <s v="pago cliente"/>
    <x v="0"/>
    <x v="259"/>
    <m/>
    <s v="Transferencia"/>
    <m/>
    <n v="125000"/>
    <m/>
    <m/>
    <m/>
    <m/>
    <m/>
  </r>
  <r>
    <d v="2024-03-14T00:00:00"/>
    <x v="8"/>
    <x v="1"/>
    <s v="Personal"/>
    <x v="1"/>
    <x v="190"/>
    <m/>
    <s v="personal"/>
    <m/>
    <m/>
    <n v="16945"/>
    <m/>
    <m/>
    <m/>
    <m/>
  </r>
  <r>
    <d v="2024-03-16T00:00:00"/>
    <x v="8"/>
    <x v="1"/>
    <s v="Personal"/>
    <x v="1"/>
    <x v="260"/>
    <m/>
    <s v="personal"/>
    <m/>
    <m/>
    <n v="45000"/>
    <m/>
    <m/>
    <m/>
    <m/>
  </r>
  <r>
    <d v="2024-03-17T00:00:00"/>
    <x v="8"/>
    <x v="1"/>
    <s v="Personal"/>
    <x v="1"/>
    <x v="27"/>
    <m/>
    <s v="personal"/>
    <m/>
    <m/>
    <n v="30000"/>
    <m/>
    <m/>
    <m/>
    <m/>
  </r>
  <r>
    <d v="2024-03-18T00:00:00"/>
    <x v="8"/>
    <x v="1"/>
    <s v="pago cliente"/>
    <x v="0"/>
    <x v="95"/>
    <m/>
    <s v="Transferencia"/>
    <m/>
    <n v="70000"/>
    <m/>
    <m/>
    <m/>
    <m/>
    <m/>
  </r>
  <r>
    <d v="2024-03-18T00:00:00"/>
    <x v="8"/>
    <x v="1"/>
    <s v="pago cliente"/>
    <x v="0"/>
    <x v="261"/>
    <m/>
    <s v="Transferencia"/>
    <m/>
    <n v="200000"/>
    <m/>
    <m/>
    <m/>
    <m/>
    <m/>
  </r>
  <r>
    <d v="2024-03-18T00:00:00"/>
    <x v="8"/>
    <x v="1"/>
    <s v="pago cliente"/>
    <x v="0"/>
    <x v="154"/>
    <m/>
    <s v="Transferencia"/>
    <m/>
    <n v="21400"/>
    <m/>
    <m/>
    <m/>
    <m/>
    <m/>
  </r>
  <r>
    <d v="2024-03-18T00:00:00"/>
    <x v="8"/>
    <x v="1"/>
    <s v="Personal"/>
    <x v="1"/>
    <x v="176"/>
    <m/>
    <s v="personal"/>
    <m/>
    <m/>
    <n v="103945.09"/>
    <m/>
    <m/>
    <m/>
    <m/>
  </r>
  <r>
    <d v="2024-03-19T00:00:00"/>
    <x v="8"/>
    <x v="1"/>
    <s v="pago cliente"/>
    <x v="0"/>
    <x v="201"/>
    <m/>
    <s v="tarjeta"/>
    <m/>
    <n v="265000"/>
    <m/>
    <m/>
    <m/>
    <m/>
    <m/>
  </r>
  <r>
    <d v="2024-03-20T00:00:00"/>
    <x v="8"/>
    <x v="1"/>
    <s v="pago cliente"/>
    <x v="0"/>
    <x v="262"/>
    <m/>
    <s v="Transferencia"/>
    <m/>
    <n v="50000"/>
    <m/>
    <m/>
    <m/>
    <m/>
    <m/>
  </r>
  <r>
    <d v="2024-03-20T00:00:00"/>
    <x v="8"/>
    <x v="1"/>
    <s v="pago cliente"/>
    <x v="0"/>
    <x v="263"/>
    <m/>
    <s v="Cheque de terceros"/>
    <m/>
    <n v="397250"/>
    <m/>
    <m/>
    <m/>
    <m/>
    <m/>
  </r>
  <r>
    <d v="2024-03-20T00:00:00"/>
    <x v="8"/>
    <x v="1"/>
    <s v="pago cliente"/>
    <x v="0"/>
    <x v="264"/>
    <m/>
    <s v="Cheque de terceros"/>
    <m/>
    <n v="312800"/>
    <m/>
    <m/>
    <m/>
    <m/>
    <m/>
  </r>
  <r>
    <d v="2024-03-20T00:00:00"/>
    <x v="8"/>
    <x v="1"/>
    <s v="pago cliente"/>
    <x v="0"/>
    <x v="265"/>
    <m/>
    <s v="Transferencia"/>
    <m/>
    <n v="250000"/>
    <m/>
    <m/>
    <m/>
    <m/>
    <m/>
  </r>
  <r>
    <d v="2024-03-20T00:00:00"/>
    <x v="8"/>
    <x v="1"/>
    <s v="pago cliente"/>
    <x v="0"/>
    <x v="266"/>
    <m/>
    <s v="Transferencia"/>
    <m/>
    <n v="200000"/>
    <m/>
    <m/>
    <m/>
    <m/>
    <m/>
  </r>
  <r>
    <d v="2024-03-20T00:00:00"/>
    <x v="8"/>
    <x v="1"/>
    <s v="pago cliente"/>
    <x v="0"/>
    <x v="267"/>
    <m/>
    <s v="Transferencia"/>
    <m/>
    <n v="297800"/>
    <m/>
    <m/>
    <m/>
    <m/>
    <m/>
  </r>
  <r>
    <d v="2024-03-20T00:00:00"/>
    <x v="8"/>
    <x v="1"/>
    <s v="Personal"/>
    <x v="1"/>
    <x v="202"/>
    <m/>
    <s v="personal"/>
    <m/>
    <m/>
    <n v="35736.43"/>
    <m/>
    <m/>
    <m/>
    <m/>
  </r>
  <r>
    <d v="2024-03-21T00:00:00"/>
    <x v="8"/>
    <x v="1"/>
    <s v="pago cliente"/>
    <x v="0"/>
    <x v="50"/>
    <m/>
    <s v="Cheque de terceros"/>
    <m/>
    <n v="291325"/>
    <m/>
    <m/>
    <m/>
    <m/>
    <m/>
  </r>
  <r>
    <d v="2024-03-21T00:00:00"/>
    <x v="8"/>
    <x v="1"/>
    <s v="pago cliente"/>
    <x v="0"/>
    <x v="50"/>
    <m/>
    <s v="Cheque de terceros"/>
    <m/>
    <n v="291325"/>
    <m/>
    <m/>
    <m/>
    <m/>
    <m/>
  </r>
  <r>
    <d v="2024-03-21T00:00:00"/>
    <x v="8"/>
    <x v="1"/>
    <s v="pago cliente"/>
    <x v="0"/>
    <x v="50"/>
    <m/>
    <s v="Cheque de terceros"/>
    <m/>
    <n v="304900"/>
    <m/>
    <m/>
    <m/>
    <m/>
    <m/>
  </r>
  <r>
    <d v="2024-03-21T00:00:00"/>
    <x v="8"/>
    <x v="1"/>
    <s v="pago cliente"/>
    <x v="0"/>
    <x v="180"/>
    <m/>
    <s v="Transferencia"/>
    <m/>
    <n v="297400"/>
    <m/>
    <m/>
    <m/>
    <m/>
    <m/>
  </r>
  <r>
    <d v="2024-03-21T00:00:00"/>
    <x v="8"/>
    <x v="1"/>
    <s v="Pago proveedor"/>
    <x v="0"/>
    <x v="27"/>
    <s v="Barotto Marcelo "/>
    <s v="Transferencia"/>
    <m/>
    <m/>
    <n v="112400"/>
    <m/>
    <m/>
    <m/>
    <m/>
  </r>
  <r>
    <d v="2024-03-21T00:00:00"/>
    <x v="8"/>
    <x v="1"/>
    <s v="Personal"/>
    <x v="1"/>
    <x v="268"/>
    <m/>
    <s v="Cheque de terceros"/>
    <m/>
    <m/>
    <n v="397250"/>
    <m/>
    <m/>
    <m/>
    <m/>
  </r>
  <r>
    <d v="2024-03-21T00:00:00"/>
    <x v="8"/>
    <x v="1"/>
    <s v="Personal"/>
    <x v="1"/>
    <x v="268"/>
    <m/>
    <s v="Cheque de terceros"/>
    <m/>
    <m/>
    <n v="312800"/>
    <m/>
    <m/>
    <m/>
    <m/>
  </r>
  <r>
    <d v="2024-03-21T00:00:00"/>
    <x v="8"/>
    <x v="1"/>
    <s v="Personal"/>
    <x v="1"/>
    <x v="176"/>
    <m/>
    <s v="personal"/>
    <m/>
    <m/>
    <n v="28721"/>
    <m/>
    <m/>
    <m/>
    <m/>
  </r>
  <r>
    <d v="2024-03-21T00:00:00"/>
    <x v="8"/>
    <x v="1"/>
    <s v="Personal"/>
    <x v="1"/>
    <x v="176"/>
    <m/>
    <s v="personal"/>
    <m/>
    <m/>
    <n v="47184"/>
    <m/>
    <m/>
    <m/>
    <m/>
  </r>
  <r>
    <d v="2024-03-22T00:00:00"/>
    <x v="8"/>
    <x v="1"/>
    <s v="pago cliente"/>
    <x v="0"/>
    <x v="253"/>
    <m/>
    <s v="Cheque de terceros"/>
    <m/>
    <n v="38570"/>
    <m/>
    <m/>
    <m/>
    <m/>
    <m/>
  </r>
  <r>
    <d v="2024-03-22T00:00:00"/>
    <x v="8"/>
    <x v="1"/>
    <s v="pago cliente"/>
    <x v="0"/>
    <x v="253"/>
    <m/>
    <s v="Cheque de terceros"/>
    <m/>
    <n v="38000"/>
    <m/>
    <m/>
    <m/>
    <m/>
    <m/>
  </r>
  <r>
    <d v="2024-03-22T00:00:00"/>
    <x v="8"/>
    <x v="1"/>
    <s v="pago cliente"/>
    <x v="0"/>
    <x v="269"/>
    <m/>
    <s v="tarjeta"/>
    <m/>
    <n v="90000"/>
    <m/>
    <m/>
    <m/>
    <m/>
    <m/>
  </r>
  <r>
    <d v="2024-03-22T00:00:00"/>
    <x v="8"/>
    <x v="1"/>
    <s v="pago cliente"/>
    <x v="0"/>
    <x v="155"/>
    <m/>
    <s v="tarjeta"/>
    <m/>
    <n v="105000"/>
    <m/>
    <m/>
    <m/>
    <m/>
    <m/>
  </r>
  <r>
    <d v="2024-03-22T00:00:00"/>
    <x v="8"/>
    <x v="1"/>
    <s v="Pago cliente casual"/>
    <x v="0"/>
    <x v="270"/>
    <m/>
    <s v="Transferencia"/>
    <m/>
    <n v="8000"/>
    <m/>
    <m/>
    <m/>
    <m/>
    <m/>
  </r>
  <r>
    <d v="2024-03-22T00:00:00"/>
    <x v="8"/>
    <x v="1"/>
    <s v="pago cliente"/>
    <x v="0"/>
    <x v="146"/>
    <m/>
    <s v="Cheque de terceros"/>
    <m/>
    <n v="270000"/>
    <m/>
    <m/>
    <m/>
    <m/>
    <m/>
  </r>
  <r>
    <d v="2024-03-22T00:00:00"/>
    <x v="8"/>
    <x v="1"/>
    <s v="Sueldo administrativo"/>
    <x v="0"/>
    <x v="27"/>
    <m/>
    <s v="Transferencia"/>
    <m/>
    <m/>
    <n v="97000"/>
    <m/>
    <m/>
    <m/>
    <m/>
  </r>
  <r>
    <d v="2024-03-23T00:00:00"/>
    <x v="8"/>
    <x v="1"/>
    <s v="pago cliente"/>
    <x v="0"/>
    <x v="101"/>
    <m/>
    <s v="Cheque de terceros"/>
    <m/>
    <n v="172500"/>
    <m/>
    <m/>
    <m/>
    <m/>
    <m/>
  </r>
  <r>
    <d v="2024-03-23T00:00:00"/>
    <x v="8"/>
    <x v="1"/>
    <s v="pago cliente"/>
    <x v="0"/>
    <x v="143"/>
    <m/>
    <s v="Cheque de terceros"/>
    <m/>
    <n v="50000"/>
    <m/>
    <m/>
    <m/>
    <m/>
    <m/>
  </r>
  <r>
    <d v="2024-03-23T00:00:00"/>
    <x v="8"/>
    <x v="1"/>
    <s v="pago cliente"/>
    <x v="0"/>
    <x v="143"/>
    <m/>
    <s v="Cheque de terceros"/>
    <m/>
    <n v="60000"/>
    <m/>
    <m/>
    <m/>
    <m/>
    <m/>
  </r>
  <r>
    <d v="2024-03-23T00:00:00"/>
    <x v="8"/>
    <x v="1"/>
    <s v="pago cliente"/>
    <x v="0"/>
    <x v="143"/>
    <m/>
    <s v="Cheque de terceros"/>
    <m/>
    <n v="50000"/>
    <m/>
    <m/>
    <m/>
    <m/>
    <m/>
  </r>
  <r>
    <d v="2024-03-23T00:00:00"/>
    <x v="8"/>
    <x v="1"/>
    <s v="pago cliente"/>
    <x v="0"/>
    <x v="143"/>
    <m/>
    <s v="Cheque de terceros"/>
    <m/>
    <n v="23100"/>
    <m/>
    <m/>
    <m/>
    <m/>
    <m/>
  </r>
  <r>
    <d v="2024-03-23T00:00:00"/>
    <x v="8"/>
    <x v="1"/>
    <s v="pago cliente"/>
    <x v="0"/>
    <x v="143"/>
    <m/>
    <s v="Cheque de terceros"/>
    <m/>
    <n v="38410"/>
    <m/>
    <m/>
    <m/>
    <m/>
    <m/>
  </r>
  <r>
    <d v="2024-03-23T00:00:00"/>
    <x v="8"/>
    <x v="1"/>
    <s v="pago cliente"/>
    <x v="0"/>
    <x v="143"/>
    <m/>
    <s v="Cheque de terceros"/>
    <m/>
    <n v="50000"/>
    <m/>
    <m/>
    <m/>
    <m/>
    <m/>
  </r>
  <r>
    <d v="2024-03-23T00:00:00"/>
    <x v="8"/>
    <x v="1"/>
    <s v="pago cliente"/>
    <x v="0"/>
    <x v="143"/>
    <m/>
    <s v="Cheque de terceros"/>
    <m/>
    <n v="107285"/>
    <m/>
    <m/>
    <m/>
    <m/>
    <m/>
  </r>
  <r>
    <d v="2024-03-23T00:00:00"/>
    <x v="8"/>
    <x v="1"/>
    <s v="pago cliente"/>
    <x v="0"/>
    <x v="143"/>
    <m/>
    <s v="Cheque de terceros"/>
    <m/>
    <n v="50000"/>
    <m/>
    <m/>
    <m/>
    <m/>
    <m/>
  </r>
  <r>
    <d v="2024-03-23T00:00:00"/>
    <x v="8"/>
    <x v="1"/>
    <s v="pago cliente"/>
    <x v="0"/>
    <x v="143"/>
    <m/>
    <s v="Cheque de terceros"/>
    <m/>
    <n v="50000"/>
    <m/>
    <m/>
    <m/>
    <m/>
    <m/>
  </r>
  <r>
    <d v="2024-03-23T00:00:00"/>
    <x v="8"/>
    <x v="1"/>
    <s v="pago cliente"/>
    <x v="0"/>
    <x v="143"/>
    <m/>
    <s v="Cheque de terceros"/>
    <m/>
    <n v="317600"/>
    <m/>
    <m/>
    <m/>
    <m/>
    <m/>
  </r>
  <r>
    <d v="2024-03-25T00:00:00"/>
    <x v="8"/>
    <x v="1"/>
    <s v="Pago proveedor"/>
    <x v="0"/>
    <x v="271"/>
    <m/>
    <s v="Cheque de terceros"/>
    <m/>
    <m/>
    <n v="23100"/>
    <m/>
    <m/>
    <m/>
    <m/>
  </r>
  <r>
    <d v="2024-03-25T00:00:00"/>
    <x v="8"/>
    <x v="1"/>
    <s v="Personal"/>
    <x v="1"/>
    <x v="119"/>
    <m/>
    <s v="personal"/>
    <m/>
    <m/>
    <n v="106736"/>
    <m/>
    <m/>
    <m/>
    <m/>
  </r>
  <r>
    <d v="2024-03-25T00:00:00"/>
    <x v="8"/>
    <x v="1"/>
    <s v="Personal"/>
    <x v="1"/>
    <x v="131"/>
    <m/>
    <s v="personal"/>
    <m/>
    <m/>
    <n v="19377"/>
    <m/>
    <m/>
    <m/>
    <m/>
  </r>
  <r>
    <d v="2024-03-25T00:00:00"/>
    <x v="8"/>
    <x v="1"/>
    <s v="Personal"/>
    <x v="1"/>
    <x v="223"/>
    <m/>
    <s v="personal"/>
    <m/>
    <m/>
    <n v="4300"/>
    <m/>
    <m/>
    <m/>
    <m/>
  </r>
  <r>
    <d v="2024-03-25T00:00:00"/>
    <x v="8"/>
    <x v="1"/>
    <s v="Personal"/>
    <x v="1"/>
    <x v="27"/>
    <m/>
    <s v="personal"/>
    <m/>
    <m/>
    <n v="20000"/>
    <m/>
    <m/>
    <m/>
    <m/>
  </r>
  <r>
    <d v="2024-03-25T00:00:00"/>
    <x v="8"/>
    <x v="1"/>
    <s v="pago cliente"/>
    <x v="0"/>
    <x v="74"/>
    <m/>
    <s v="Transferencia"/>
    <m/>
    <n v="219300"/>
    <m/>
    <m/>
    <m/>
    <m/>
    <m/>
  </r>
  <r>
    <d v="2024-03-25T00:00:00"/>
    <x v="8"/>
    <x v="1"/>
    <s v="pago cliente"/>
    <x v="0"/>
    <x v="145"/>
    <m/>
    <s v="Transferencia"/>
    <m/>
    <n v="393600"/>
    <m/>
    <m/>
    <m/>
    <m/>
    <m/>
  </r>
  <r>
    <d v="2024-03-25T00:00:00"/>
    <x v="8"/>
    <x v="1"/>
    <s v="Pago proveedor"/>
    <x v="0"/>
    <x v="27"/>
    <s v="Barotto Marcelo "/>
    <s v="Transferencia"/>
    <m/>
    <m/>
    <n v="173600"/>
    <m/>
    <m/>
    <m/>
    <m/>
  </r>
  <r>
    <d v="2024-03-25T00:00:00"/>
    <x v="8"/>
    <x v="1"/>
    <s v="pago cliente"/>
    <x v="0"/>
    <x v="272"/>
    <m/>
    <s v="Transferencia"/>
    <m/>
    <n v="25000"/>
    <m/>
    <m/>
    <m/>
    <m/>
    <m/>
  </r>
  <r>
    <d v="2024-03-25T00:00:00"/>
    <x v="8"/>
    <x v="1"/>
    <s v="pago cliente"/>
    <x v="0"/>
    <x v="45"/>
    <m/>
    <s v="Transferencia"/>
    <m/>
    <n v="190100"/>
    <m/>
    <m/>
    <m/>
    <m/>
    <m/>
  </r>
  <r>
    <d v="2024-03-25T00:00:00"/>
    <x v="8"/>
    <x v="1"/>
    <s v="pago cliente"/>
    <x v="0"/>
    <x v="6"/>
    <m/>
    <s v="tarjeta"/>
    <m/>
    <n v="153275"/>
    <m/>
    <m/>
    <m/>
    <m/>
    <m/>
  </r>
  <r>
    <d v="2024-03-25T00:00:00"/>
    <x v="8"/>
    <x v="1"/>
    <s v="Personal"/>
    <x v="1"/>
    <x v="27"/>
    <m/>
    <s v="personal"/>
    <m/>
    <m/>
    <n v="22000"/>
    <m/>
    <m/>
    <m/>
    <m/>
  </r>
  <r>
    <d v="2024-03-26T00:00:00"/>
    <x v="8"/>
    <x v="1"/>
    <s v="pago cliente"/>
    <x v="0"/>
    <x v="144"/>
    <m/>
    <s v="Transferencia"/>
    <m/>
    <n v="254800"/>
    <m/>
    <m/>
    <m/>
    <m/>
    <m/>
  </r>
  <r>
    <d v="2024-03-26T00:00:00"/>
    <x v="8"/>
    <x v="1"/>
    <s v="pago cliente"/>
    <x v="0"/>
    <x v="8"/>
    <m/>
    <s v="Cheque de terceros"/>
    <m/>
    <n v="30000"/>
    <m/>
    <m/>
    <m/>
    <m/>
    <m/>
  </r>
  <r>
    <d v="2024-03-26T00:00:00"/>
    <x v="8"/>
    <x v="1"/>
    <s v="pago cliente"/>
    <x v="0"/>
    <x v="8"/>
    <m/>
    <s v="Cheque de terceros"/>
    <m/>
    <n v="327000"/>
    <m/>
    <m/>
    <m/>
    <m/>
    <m/>
  </r>
  <r>
    <d v="2024-03-26T00:00:00"/>
    <x v="8"/>
    <x v="1"/>
    <s v="pago cliente"/>
    <x v="0"/>
    <x v="182"/>
    <m/>
    <s v="Transferencia"/>
    <m/>
    <n v="417000"/>
    <m/>
    <m/>
    <m/>
    <m/>
    <m/>
  </r>
  <r>
    <d v="2024-03-27T00:00:00"/>
    <x v="8"/>
    <x v="1"/>
    <s v="pago cliente"/>
    <x v="0"/>
    <x v="265"/>
    <m/>
    <s v="Transferencia"/>
    <m/>
    <n v="334500"/>
    <m/>
    <m/>
    <m/>
    <m/>
    <m/>
  </r>
  <r>
    <d v="2024-03-27T00:00:00"/>
    <x v="8"/>
    <x v="1"/>
    <s v="pago cliente"/>
    <x v="0"/>
    <x v="83"/>
    <m/>
    <s v="Cheque de terceros"/>
    <m/>
    <n v="89500"/>
    <m/>
    <m/>
    <m/>
    <m/>
    <m/>
  </r>
  <r>
    <d v="2024-03-28T00:00:00"/>
    <x v="8"/>
    <x v="1"/>
    <s v="Pago proveedor"/>
    <x v="0"/>
    <x v="273"/>
    <m/>
    <s v="Cheque de terceros"/>
    <m/>
    <m/>
    <n v="172500"/>
    <m/>
    <m/>
    <m/>
    <m/>
  </r>
  <r>
    <d v="2024-03-28T00:00:00"/>
    <x v="8"/>
    <x v="1"/>
    <s v="Pago proveedor"/>
    <x v="0"/>
    <x v="273"/>
    <m/>
    <s v="Cheque de terceros"/>
    <m/>
    <m/>
    <n v="50000"/>
    <m/>
    <m/>
    <m/>
    <m/>
  </r>
  <r>
    <d v="2024-03-28T00:00:00"/>
    <x v="8"/>
    <x v="1"/>
    <s v="Pago proveedor"/>
    <x v="0"/>
    <x v="273"/>
    <m/>
    <s v="Cheque de terceros"/>
    <m/>
    <m/>
    <n v="50000"/>
    <m/>
    <m/>
    <m/>
    <m/>
  </r>
  <r>
    <d v="2024-03-28T00:00:00"/>
    <x v="8"/>
    <x v="1"/>
    <s v="Pago proveedor"/>
    <x v="0"/>
    <x v="273"/>
    <m/>
    <s v="Cheque de terceros"/>
    <m/>
    <m/>
    <n v="50000"/>
    <m/>
    <m/>
    <m/>
    <m/>
  </r>
  <r>
    <d v="2024-03-28T00:00:00"/>
    <x v="8"/>
    <x v="1"/>
    <s v="Sueldo administrativo"/>
    <x v="0"/>
    <x v="27"/>
    <m/>
    <s v="Transferencia"/>
    <m/>
    <m/>
    <n v="97000"/>
    <m/>
    <m/>
    <m/>
    <m/>
  </r>
  <r>
    <d v="2024-03-28T00:00:00"/>
    <x v="8"/>
    <x v="1"/>
    <s v="Sueldo mecánicos"/>
    <x v="0"/>
    <x v="187"/>
    <m/>
    <s v="Transferencia"/>
    <m/>
    <m/>
    <n v="130000"/>
    <m/>
    <m/>
    <m/>
    <m/>
  </r>
  <r>
    <d v="2024-03-28T00:00:00"/>
    <x v="8"/>
    <x v="1"/>
    <s v="Sueldo mecánicos"/>
    <x v="0"/>
    <x v="274"/>
    <m/>
    <s v="Transferencia"/>
    <m/>
    <m/>
    <n v="130000"/>
    <m/>
    <m/>
    <m/>
    <m/>
  </r>
  <r>
    <d v="2024-03-28T00:00:00"/>
    <x v="8"/>
    <x v="1"/>
    <s v="pago cliente"/>
    <x v="0"/>
    <x v="275"/>
    <m/>
    <s v="Transferencia"/>
    <m/>
    <n v="250000"/>
    <m/>
    <m/>
    <m/>
    <m/>
    <m/>
  </r>
  <r>
    <d v="2024-04-01T00:00:00"/>
    <x v="9"/>
    <x v="1"/>
    <s v="pago cliente"/>
    <x v="0"/>
    <x v="276"/>
    <m/>
    <s v="Transferencia"/>
    <m/>
    <n v="200000"/>
    <m/>
    <m/>
    <m/>
    <m/>
    <m/>
  </r>
  <r>
    <d v="2024-04-03T00:00:00"/>
    <x v="9"/>
    <x v="1"/>
    <s v="pago cliente"/>
    <x v="0"/>
    <x v="69"/>
    <m/>
    <s v="Transferencia"/>
    <m/>
    <n v="220600"/>
    <m/>
    <m/>
    <m/>
    <m/>
    <m/>
  </r>
  <r>
    <d v="2024-04-03T00:00:00"/>
    <x v="9"/>
    <x v="1"/>
    <s v="Pago proveedor"/>
    <x v="0"/>
    <x v="27"/>
    <s v="Barotto Marcelo "/>
    <s v="Transferencia"/>
    <m/>
    <m/>
    <n v="220600"/>
    <m/>
    <m/>
    <m/>
    <m/>
  </r>
  <r>
    <d v="2024-04-03T00:00:00"/>
    <x v="9"/>
    <x v="1"/>
    <s v="Pago proveedor"/>
    <x v="0"/>
    <x v="27"/>
    <s v="Chemical"/>
    <s v="Cheque de terceros"/>
    <m/>
    <m/>
    <n v="111400"/>
    <m/>
    <m/>
    <m/>
    <m/>
  </r>
  <r>
    <d v="2024-04-03T00:00:00"/>
    <x v="9"/>
    <x v="1"/>
    <s v="Pago proveedor"/>
    <x v="0"/>
    <x v="27"/>
    <s v="Barotto Marcelo "/>
    <s v="Cheque de terceros"/>
    <m/>
    <m/>
    <n v="38000"/>
    <m/>
    <m/>
    <m/>
    <m/>
  </r>
  <r>
    <d v="2024-04-03T00:00:00"/>
    <x v="9"/>
    <x v="1"/>
    <s v="Pago proveedor"/>
    <x v="0"/>
    <x v="27"/>
    <s v="Barotto Marcelo "/>
    <s v="Cheque de terceros"/>
    <m/>
    <m/>
    <n v="270000"/>
    <m/>
    <m/>
    <m/>
    <m/>
  </r>
  <r>
    <d v="2024-04-03T00:00:00"/>
    <x v="9"/>
    <x v="1"/>
    <s v="Pago proveedor"/>
    <x v="0"/>
    <x v="27"/>
    <s v="Barotto Marcelo "/>
    <s v="Cheque de terceros"/>
    <m/>
    <m/>
    <n v="317600"/>
    <m/>
    <m/>
    <m/>
    <m/>
  </r>
  <r>
    <d v="2024-04-03T00:00:00"/>
    <x v="9"/>
    <x v="1"/>
    <s v="Pago proveedor"/>
    <x v="0"/>
    <x v="27"/>
    <s v="Barotto Marcelo "/>
    <s v="Cheque de terceros"/>
    <m/>
    <m/>
    <n v="50000"/>
    <m/>
    <m/>
    <m/>
    <m/>
  </r>
  <r>
    <d v="2024-04-03T00:00:00"/>
    <x v="9"/>
    <x v="1"/>
    <s v="Pago proveedor"/>
    <x v="0"/>
    <x v="27"/>
    <s v="Barotto Marcelo "/>
    <s v="Cheque de terceros"/>
    <m/>
    <m/>
    <n v="38410"/>
    <m/>
    <m/>
    <m/>
    <m/>
  </r>
  <r>
    <d v="2024-04-03T00:00:00"/>
    <x v="9"/>
    <x v="1"/>
    <s v="Pago proveedor"/>
    <x v="0"/>
    <x v="27"/>
    <s v="Barotto Marcelo "/>
    <s v="Cheque de terceros"/>
    <m/>
    <m/>
    <n v="327000"/>
    <m/>
    <m/>
    <m/>
    <m/>
  </r>
  <r>
    <d v="2024-04-03T00:00:00"/>
    <x v="9"/>
    <x v="1"/>
    <s v="Pago proveedor"/>
    <x v="0"/>
    <x v="27"/>
    <s v="Barotto Marcelo "/>
    <s v="Cheque de terceros"/>
    <m/>
    <m/>
    <n v="300000"/>
    <m/>
    <m/>
    <m/>
    <m/>
  </r>
  <r>
    <d v="2024-04-03T00:00:00"/>
    <x v="9"/>
    <x v="1"/>
    <s v="Pago proveedor"/>
    <x v="0"/>
    <x v="27"/>
    <s v="Repuestos Serrano"/>
    <s v="Transferencia"/>
    <m/>
    <m/>
    <n v="924451.82"/>
    <m/>
    <m/>
    <m/>
    <m/>
  </r>
  <r>
    <d v="2024-04-03T00:00:00"/>
    <x v="9"/>
    <x v="1"/>
    <s v="Personal"/>
    <x v="1"/>
    <x v="249"/>
    <m/>
    <s v="Transferencia"/>
    <m/>
    <m/>
    <n v="270000"/>
    <m/>
    <m/>
    <m/>
    <m/>
  </r>
  <r>
    <d v="2024-04-03T00:00:00"/>
    <x v="9"/>
    <x v="1"/>
    <s v="Personal"/>
    <x v="1"/>
    <x v="27"/>
    <m/>
    <s v="personal"/>
    <m/>
    <m/>
    <n v="260000"/>
    <m/>
    <m/>
    <m/>
    <m/>
  </r>
  <r>
    <d v="2024-04-03T00:00:00"/>
    <x v="9"/>
    <x v="1"/>
    <s v="Personal"/>
    <x v="1"/>
    <x v="27"/>
    <m/>
    <s v="personal"/>
    <m/>
    <m/>
    <n v="59000"/>
    <m/>
    <m/>
    <m/>
    <m/>
  </r>
  <r>
    <d v="2024-04-03T00:00:00"/>
    <x v="9"/>
    <x v="1"/>
    <s v="Personal"/>
    <x v="1"/>
    <x v="27"/>
    <m/>
    <s v="personal"/>
    <m/>
    <m/>
    <n v="80000"/>
    <m/>
    <m/>
    <m/>
    <m/>
  </r>
  <r>
    <d v="2024-04-03T00:00:00"/>
    <x v="9"/>
    <x v="1"/>
    <s v="Personal"/>
    <x v="1"/>
    <x v="27"/>
    <m/>
    <s v="personal"/>
    <m/>
    <m/>
    <n v="40000"/>
    <m/>
    <m/>
    <m/>
    <m/>
  </r>
  <r>
    <d v="2024-04-03T00:00:00"/>
    <x v="9"/>
    <x v="1"/>
    <s v="Personal"/>
    <x v="1"/>
    <x v="108"/>
    <m/>
    <s v="tarjeta"/>
    <m/>
    <m/>
    <n v="2254.62"/>
    <m/>
    <m/>
    <m/>
    <m/>
  </r>
  <r>
    <d v="2024-04-03T00:00:00"/>
    <x v="9"/>
    <x v="1"/>
    <s v="Personal"/>
    <x v="1"/>
    <x v="109"/>
    <m/>
    <s v="tarjeta"/>
    <m/>
    <m/>
    <n v="187237.93"/>
    <m/>
    <m/>
    <m/>
    <m/>
  </r>
  <r>
    <d v="2024-04-03T00:00:00"/>
    <x v="9"/>
    <x v="1"/>
    <s v="Personal"/>
    <x v="1"/>
    <x v="107"/>
    <m/>
    <s v="tarjeta"/>
    <m/>
    <m/>
    <n v="13100"/>
    <m/>
    <m/>
    <m/>
    <m/>
  </r>
  <r>
    <d v="2024-04-04T00:00:00"/>
    <x v="9"/>
    <x v="1"/>
    <s v="pago cliente"/>
    <x v="0"/>
    <x v="277"/>
    <m/>
    <s v="Cheque de terceros"/>
    <m/>
    <n v="200000"/>
    <m/>
    <m/>
    <m/>
    <m/>
    <m/>
  </r>
  <r>
    <d v="2024-04-04T00:00:00"/>
    <x v="9"/>
    <x v="1"/>
    <s v="pago cliente"/>
    <x v="0"/>
    <x v="277"/>
    <m/>
    <s v="Transferencia"/>
    <m/>
    <n v="51000"/>
    <m/>
    <m/>
    <m/>
    <m/>
    <m/>
  </r>
  <r>
    <d v="2024-04-05T00:00:00"/>
    <x v="9"/>
    <x v="1"/>
    <s v="pago cliente"/>
    <x v="0"/>
    <x v="53"/>
    <m/>
    <s v="Transferencia"/>
    <m/>
    <n v="246560"/>
    <m/>
    <m/>
    <m/>
    <m/>
    <m/>
  </r>
  <r>
    <d v="2024-04-05T00:00:00"/>
    <x v="9"/>
    <x v="1"/>
    <s v="Pago proveedor"/>
    <x v="0"/>
    <x v="27"/>
    <s v="Aldo repuestos"/>
    <s v="Transferencia"/>
    <m/>
    <m/>
    <n v="246560"/>
    <m/>
    <m/>
    <m/>
    <m/>
  </r>
  <r>
    <d v="2024-04-05T00:00:00"/>
    <x v="9"/>
    <x v="1"/>
    <s v="Personal"/>
    <x v="1"/>
    <x v="27"/>
    <m/>
    <s v="personal"/>
    <m/>
    <m/>
    <n v="16000"/>
    <m/>
    <m/>
    <m/>
    <m/>
  </r>
  <r>
    <d v="2024-04-05T00:00:00"/>
    <x v="9"/>
    <x v="1"/>
    <s v="Sueldo administrativo"/>
    <x v="0"/>
    <x v="27"/>
    <m/>
    <s v="Transferencia"/>
    <m/>
    <m/>
    <n v="97000"/>
    <m/>
    <m/>
    <m/>
    <m/>
  </r>
  <r>
    <d v="2024-04-05T00:00:00"/>
    <x v="9"/>
    <x v="1"/>
    <s v="pago cliente"/>
    <x v="0"/>
    <x v="278"/>
    <m/>
    <s v="tarjeta"/>
    <m/>
    <n v="435000"/>
    <m/>
    <m/>
    <m/>
    <d v="2024-04-09T00:00:00"/>
    <n v="406103.38"/>
  </r>
  <r>
    <d v="2024-04-05T00:00:00"/>
    <x v="9"/>
    <x v="1"/>
    <s v="pago cliente"/>
    <x v="0"/>
    <x v="279"/>
    <m/>
    <s v="Transferencia"/>
    <m/>
    <n v="65000"/>
    <m/>
    <m/>
    <m/>
    <m/>
    <m/>
  </r>
  <r>
    <d v="2024-04-06T00:00:00"/>
    <x v="9"/>
    <x v="1"/>
    <s v="pago cliente"/>
    <x v="0"/>
    <x v="138"/>
    <m/>
    <s v="Transferencia"/>
    <m/>
    <n v="181000"/>
    <m/>
    <m/>
    <m/>
    <m/>
    <m/>
  </r>
  <r>
    <d v="2024-04-06T00:00:00"/>
    <x v="9"/>
    <x v="1"/>
    <s v="Sueldo mecánicos"/>
    <x v="0"/>
    <x v="187"/>
    <m/>
    <s v="Transferencia"/>
    <m/>
    <m/>
    <n v="130000"/>
    <m/>
    <m/>
    <m/>
    <m/>
  </r>
  <r>
    <d v="2024-04-08T00:00:00"/>
    <x v="9"/>
    <x v="1"/>
    <s v="pago cliente"/>
    <x v="0"/>
    <x v="186"/>
    <m/>
    <s v="Cheque de terceros"/>
    <m/>
    <n v="62000"/>
    <m/>
    <m/>
    <m/>
    <m/>
    <m/>
  </r>
  <r>
    <d v="2024-04-08T00:00:00"/>
    <x v="9"/>
    <x v="1"/>
    <s v="pago cliente"/>
    <x v="0"/>
    <x v="112"/>
    <m/>
    <s v="Cheque de terceros"/>
    <m/>
    <n v="6808.41"/>
    <m/>
    <m/>
    <m/>
    <m/>
    <m/>
  </r>
  <r>
    <d v="2024-04-08T00:00:00"/>
    <x v="9"/>
    <x v="1"/>
    <s v="Pago proveedor"/>
    <x v="0"/>
    <x v="280"/>
    <m/>
    <s v="Transferencia"/>
    <m/>
    <m/>
    <n v="12430"/>
    <m/>
    <s v="X"/>
    <m/>
    <m/>
  </r>
  <r>
    <d v="2024-04-08T00:00:00"/>
    <x v="9"/>
    <x v="1"/>
    <s v="pago cliente"/>
    <x v="0"/>
    <x v="145"/>
    <m/>
    <s v="Transferencia"/>
    <m/>
    <n v="165000"/>
    <m/>
    <m/>
    <m/>
    <m/>
    <m/>
  </r>
  <r>
    <d v="2024-04-09T00:00:00"/>
    <x v="9"/>
    <x v="1"/>
    <s v="pago cliente"/>
    <x v="0"/>
    <x v="261"/>
    <m/>
    <s v="Transferencia"/>
    <m/>
    <n v="200000"/>
    <m/>
    <m/>
    <m/>
    <m/>
    <m/>
  </r>
  <r>
    <d v="2024-04-09T00:00:00"/>
    <x v="9"/>
    <x v="1"/>
    <s v="pago cliente"/>
    <x v="0"/>
    <x v="281"/>
    <m/>
    <s v="tarjeta"/>
    <m/>
    <n v="42000"/>
    <m/>
    <m/>
    <m/>
    <m/>
    <m/>
  </r>
  <r>
    <d v="2024-04-09T00:00:00"/>
    <x v="9"/>
    <x v="1"/>
    <s v="pago cliente"/>
    <x v="0"/>
    <x v="275"/>
    <m/>
    <s v="Transferencia"/>
    <m/>
    <n v="404900"/>
    <m/>
    <m/>
    <m/>
    <m/>
    <m/>
  </r>
  <r>
    <d v="2024-04-09T00:00:00"/>
    <x v="9"/>
    <x v="1"/>
    <s v="Pago proveedor"/>
    <x v="0"/>
    <x v="282"/>
    <m/>
    <s v="Cheque de terceros"/>
    <m/>
    <m/>
    <n v="200000"/>
    <m/>
    <m/>
    <m/>
    <m/>
  </r>
  <r>
    <d v="2024-04-09T00:00:00"/>
    <x v="9"/>
    <x v="1"/>
    <s v="Pago proveedor"/>
    <x v="0"/>
    <x v="282"/>
    <m/>
    <s v="Cheque de terceros"/>
    <m/>
    <m/>
    <n v="30000"/>
    <m/>
    <m/>
    <m/>
    <m/>
  </r>
  <r>
    <d v="2024-04-09T00:00:00"/>
    <x v="9"/>
    <x v="1"/>
    <s v="honorarios"/>
    <x v="0"/>
    <x v="283"/>
    <m/>
    <s v="Transferencia"/>
    <m/>
    <m/>
    <n v="375100"/>
    <m/>
    <m/>
    <m/>
    <m/>
  </r>
  <r>
    <d v="2024-04-09T00:00:00"/>
    <x v="9"/>
    <x v="1"/>
    <s v="Gastos generales"/>
    <x v="0"/>
    <x v="284"/>
    <m/>
    <s v="Transferencia"/>
    <m/>
    <m/>
    <n v="46220"/>
    <m/>
    <m/>
    <m/>
    <m/>
  </r>
  <r>
    <d v="2024-04-10T00:00:00"/>
    <x v="9"/>
    <x v="1"/>
    <s v="pago cliente"/>
    <x v="0"/>
    <x v="262"/>
    <m/>
    <s v="Transferencia"/>
    <m/>
    <n v="101000"/>
    <m/>
    <m/>
    <m/>
    <m/>
    <m/>
  </r>
  <r>
    <d v="2024-04-10T00:00:00"/>
    <x v="9"/>
    <x v="1"/>
    <s v="Personal"/>
    <x v="1"/>
    <x v="27"/>
    <m/>
    <s v="personal"/>
    <m/>
    <m/>
    <n v="190000"/>
    <m/>
    <m/>
    <m/>
    <m/>
  </r>
  <r>
    <d v="2024-04-10T00:00:00"/>
    <x v="9"/>
    <x v="1"/>
    <s v="pago cliente"/>
    <x v="0"/>
    <x v="220"/>
    <m/>
    <s v="Transferencia"/>
    <m/>
    <n v="247300"/>
    <m/>
    <m/>
    <m/>
    <m/>
    <m/>
  </r>
  <r>
    <d v="2024-04-10T00:00:00"/>
    <x v="9"/>
    <x v="1"/>
    <s v="librería"/>
    <x v="0"/>
    <x v="27"/>
    <m/>
    <s v="tarjeta"/>
    <m/>
    <m/>
    <n v="29000"/>
    <m/>
    <m/>
    <m/>
    <m/>
  </r>
  <r>
    <d v="2024-04-10T00:00:00"/>
    <x v="9"/>
    <x v="1"/>
    <s v="Herramientas / bienes de uso"/>
    <x v="0"/>
    <x v="27"/>
    <m/>
    <s v="tarjeta"/>
    <m/>
    <m/>
    <n v="29300"/>
    <m/>
    <m/>
    <m/>
    <m/>
  </r>
  <r>
    <d v="2024-04-11T00:00:00"/>
    <x v="9"/>
    <x v="1"/>
    <s v="Pago proveedor"/>
    <x v="0"/>
    <x v="285"/>
    <m/>
    <s v="Cheque de terceros"/>
    <m/>
    <m/>
    <n v="89500"/>
    <m/>
    <m/>
    <m/>
    <m/>
  </r>
  <r>
    <d v="2024-04-11T00:00:00"/>
    <x v="9"/>
    <x v="1"/>
    <s v="pago cliente"/>
    <x v="0"/>
    <x v="264"/>
    <m/>
    <s v="Transferencia"/>
    <m/>
    <n v="75000"/>
    <m/>
    <m/>
    <m/>
    <m/>
    <m/>
  </r>
  <r>
    <d v="2024-04-11T00:00:00"/>
    <x v="9"/>
    <x v="1"/>
    <s v="pago cliente"/>
    <x v="0"/>
    <x v="253"/>
    <m/>
    <s v="Cheque de terceros"/>
    <m/>
    <n v="30000"/>
    <m/>
    <m/>
    <m/>
    <m/>
    <m/>
  </r>
  <r>
    <d v="2024-04-11T00:00:00"/>
    <x v="9"/>
    <x v="1"/>
    <s v="pago cliente"/>
    <x v="0"/>
    <x v="286"/>
    <m/>
    <s v="tarjeta"/>
    <m/>
    <n v="160600"/>
    <m/>
    <m/>
    <m/>
    <m/>
    <m/>
  </r>
  <r>
    <d v="2024-04-12T00:00:00"/>
    <x v="9"/>
    <x v="1"/>
    <s v="pago cliente"/>
    <x v="0"/>
    <x v="287"/>
    <m/>
    <s v="Transferencia"/>
    <m/>
    <n v="200000"/>
    <m/>
    <m/>
    <m/>
    <m/>
    <m/>
  </r>
  <r>
    <d v="2024-04-12T00:00:00"/>
    <x v="9"/>
    <x v="1"/>
    <s v="honorarios"/>
    <x v="0"/>
    <x v="152"/>
    <m/>
    <s v="Transferencia"/>
    <m/>
    <m/>
    <n v="120000"/>
    <m/>
    <m/>
    <m/>
    <m/>
  </r>
  <r>
    <d v="2024-04-12T00:00:00"/>
    <x v="9"/>
    <x v="1"/>
    <s v="pago cliente"/>
    <x v="0"/>
    <x v="288"/>
    <m/>
    <s v="tarjeta"/>
    <m/>
    <n v="562100"/>
    <m/>
    <m/>
    <m/>
    <m/>
    <m/>
  </r>
  <r>
    <d v="2024-04-12T00:00:00"/>
    <x v="9"/>
    <x v="1"/>
    <s v="Sueldo administrativo"/>
    <x v="0"/>
    <x v="27"/>
    <m/>
    <s v="Transferencia"/>
    <m/>
    <m/>
    <n v="97000"/>
    <m/>
    <m/>
    <m/>
    <m/>
  </r>
  <r>
    <d v="2024-04-12T00:00:00"/>
    <x v="9"/>
    <x v="1"/>
    <s v="Sueldo mecánicos"/>
    <x v="0"/>
    <x v="187"/>
    <m/>
    <s v="Transferencia"/>
    <m/>
    <m/>
    <n v="130000"/>
    <m/>
    <m/>
    <m/>
    <m/>
  </r>
  <r>
    <d v="2024-04-15T00:00:00"/>
    <x v="9"/>
    <x v="1"/>
    <s v="pago cliente"/>
    <x v="0"/>
    <x v="32"/>
    <m/>
    <s v="Cheque de terceros"/>
    <m/>
    <n v="233814.72"/>
    <m/>
    <m/>
    <m/>
    <m/>
    <m/>
  </r>
  <r>
    <d v="2024-04-15T00:00:00"/>
    <x v="9"/>
    <x v="1"/>
    <s v="Personal"/>
    <x v="1"/>
    <x v="13"/>
    <m/>
    <s v="personal"/>
    <m/>
    <m/>
    <n v="348964"/>
    <m/>
    <m/>
    <m/>
    <m/>
  </r>
  <r>
    <d v="2024-04-16T00:00:00"/>
    <x v="9"/>
    <x v="1"/>
    <s v="pago cliente"/>
    <x v="0"/>
    <x v="289"/>
    <m/>
    <s v="Transferencia"/>
    <m/>
    <n v="332375"/>
    <m/>
    <m/>
    <m/>
    <m/>
    <m/>
  </r>
  <r>
    <d v="2024-04-16T00:00:00"/>
    <x v="9"/>
    <x v="1"/>
    <s v="Pago cliente casual"/>
    <x v="0"/>
    <x v="29"/>
    <m/>
    <s v="Cheque de terceros"/>
    <m/>
    <n v="16000"/>
    <m/>
    <m/>
    <m/>
    <m/>
    <m/>
  </r>
  <r>
    <d v="2024-04-16T00:00:00"/>
    <x v="9"/>
    <x v="1"/>
    <s v="pago cliente"/>
    <x v="0"/>
    <x v="135"/>
    <m/>
    <s v="Transferencia"/>
    <m/>
    <n v="67000"/>
    <m/>
    <m/>
    <m/>
    <m/>
    <m/>
  </r>
  <r>
    <d v="2024-04-17T00:00:00"/>
    <x v="9"/>
    <x v="1"/>
    <s v="pago cliente"/>
    <x v="0"/>
    <x v="149"/>
    <m/>
    <s v="Transferencia"/>
    <m/>
    <n v="68000"/>
    <m/>
    <m/>
    <m/>
    <m/>
    <m/>
  </r>
  <r>
    <d v="2024-04-18T00:00:00"/>
    <x v="9"/>
    <x v="1"/>
    <s v="Pago proveedor"/>
    <x v="0"/>
    <x v="273"/>
    <m/>
    <s v="Cheque de terceros"/>
    <m/>
    <m/>
    <n v="16000"/>
    <m/>
    <m/>
    <m/>
    <m/>
  </r>
  <r>
    <d v="2024-04-18T00:00:00"/>
    <x v="9"/>
    <x v="1"/>
    <s v="pago cliente"/>
    <x v="0"/>
    <x v="101"/>
    <m/>
    <s v="Cheque de terceros"/>
    <m/>
    <n v="178000"/>
    <m/>
    <m/>
    <m/>
    <m/>
    <m/>
  </r>
  <r>
    <d v="2024-04-18T00:00:00"/>
    <x v="9"/>
    <x v="1"/>
    <s v="pago cliente"/>
    <x v="0"/>
    <x v="101"/>
    <m/>
    <s v="Cheque de terceros"/>
    <m/>
    <n v="178950"/>
    <m/>
    <m/>
    <m/>
    <m/>
    <m/>
  </r>
  <r>
    <d v="2024-04-18T00:00:00"/>
    <x v="9"/>
    <x v="1"/>
    <s v="pago cliente"/>
    <x v="0"/>
    <x v="50"/>
    <m/>
    <s v="E-cheq"/>
    <m/>
    <n v="597135"/>
    <m/>
    <m/>
    <m/>
    <m/>
    <m/>
  </r>
  <r>
    <d v="2024-04-19T00:00:00"/>
    <x v="9"/>
    <x v="1"/>
    <s v="pago cliente"/>
    <x v="0"/>
    <x v="290"/>
    <m/>
    <s v="tarjeta"/>
    <m/>
    <n v="96300"/>
    <m/>
    <m/>
    <m/>
    <m/>
    <m/>
  </r>
  <r>
    <d v="2024-04-19T00:00:00"/>
    <x v="9"/>
    <x v="1"/>
    <s v="pago cliente"/>
    <x v="0"/>
    <x v="291"/>
    <m/>
    <s v="tarjeta"/>
    <m/>
    <n v="47800"/>
    <m/>
    <m/>
    <m/>
    <m/>
    <m/>
  </r>
  <r>
    <d v="2024-04-19T00:00:00"/>
    <x v="9"/>
    <x v="1"/>
    <s v="Personal"/>
    <x v="1"/>
    <x v="27"/>
    <m/>
    <s v="personal"/>
    <m/>
    <m/>
    <n v="146000"/>
    <m/>
    <m/>
    <m/>
    <m/>
  </r>
  <r>
    <d v="2024-04-19T00:00:00"/>
    <x v="9"/>
    <x v="1"/>
    <s v="Personal"/>
    <x v="1"/>
    <x v="27"/>
    <m/>
    <s v="personal"/>
    <m/>
    <m/>
    <n v="117000"/>
    <m/>
    <m/>
    <m/>
    <m/>
  </r>
  <r>
    <d v="2024-04-19T00:00:00"/>
    <x v="9"/>
    <x v="1"/>
    <s v="Personal"/>
    <x v="1"/>
    <x v="27"/>
    <m/>
    <s v="personal"/>
    <m/>
    <m/>
    <n v="45000"/>
    <m/>
    <m/>
    <m/>
    <m/>
  </r>
  <r>
    <d v="2024-04-19T00:00:00"/>
    <x v="9"/>
    <x v="1"/>
    <s v="pago cliente"/>
    <x v="0"/>
    <x v="292"/>
    <m/>
    <s v="tarjeta"/>
    <m/>
    <n v="200625"/>
    <m/>
    <m/>
    <m/>
    <m/>
    <m/>
  </r>
  <r>
    <d v="2024-04-19T00:00:00"/>
    <x v="9"/>
    <x v="1"/>
    <s v="pago cliente"/>
    <x v="0"/>
    <x v="293"/>
    <m/>
    <s v="tarjeta"/>
    <m/>
    <n v="49000"/>
    <m/>
    <m/>
    <m/>
    <m/>
    <m/>
  </r>
  <r>
    <d v="2024-04-20T00:00:00"/>
    <x v="9"/>
    <x v="1"/>
    <s v="Sueldo mecánicos"/>
    <x v="0"/>
    <x v="187"/>
    <m/>
    <s v="Transferencia"/>
    <m/>
    <m/>
    <n v="100000"/>
    <m/>
    <m/>
    <m/>
    <m/>
  </r>
  <r>
    <d v="2024-04-20T00:00:00"/>
    <x v="9"/>
    <x v="1"/>
    <s v="Sueldo administrativo"/>
    <x v="0"/>
    <x v="27"/>
    <m/>
    <s v="Transferencia"/>
    <m/>
    <m/>
    <n v="97000"/>
    <m/>
    <m/>
    <m/>
    <m/>
  </r>
  <r>
    <d v="2024-04-20T00:00:00"/>
    <x v="9"/>
    <x v="1"/>
    <s v="Personal"/>
    <x v="1"/>
    <x v="27"/>
    <m/>
    <s v="personal"/>
    <m/>
    <m/>
    <n v="140000"/>
    <m/>
    <m/>
    <m/>
    <m/>
  </r>
  <r>
    <d v="2024-04-22T00:00:00"/>
    <x v="9"/>
    <x v="1"/>
    <s v="pago cliente"/>
    <x v="0"/>
    <x v="294"/>
    <m/>
    <s v="Transferencia"/>
    <m/>
    <n v="201400"/>
    <m/>
    <m/>
    <m/>
    <m/>
    <m/>
  </r>
  <r>
    <d v="2024-04-24T00:00:00"/>
    <x v="9"/>
    <x v="1"/>
    <s v="Personal"/>
    <x v="1"/>
    <x v="295"/>
    <m/>
    <s v="personal"/>
    <m/>
    <m/>
    <n v="25000"/>
    <m/>
    <m/>
    <m/>
    <m/>
  </r>
  <r>
    <d v="2024-04-24T00:00:00"/>
    <x v="9"/>
    <x v="1"/>
    <s v="pago cliente"/>
    <x v="0"/>
    <x v="266"/>
    <m/>
    <s v="Transferencia"/>
    <m/>
    <n v="135600"/>
    <m/>
    <m/>
    <m/>
    <m/>
    <m/>
  </r>
  <r>
    <d v="2024-04-25T00:00:00"/>
    <x v="9"/>
    <x v="1"/>
    <s v="pago cliente"/>
    <x v="0"/>
    <x v="296"/>
    <m/>
    <s v="tarjeta"/>
    <m/>
    <n v="346400"/>
    <m/>
    <m/>
    <m/>
    <m/>
    <m/>
  </r>
  <r>
    <d v="2024-04-25T00:00:00"/>
    <x v="9"/>
    <x v="1"/>
    <s v="pago cliente"/>
    <x v="0"/>
    <x v="89"/>
    <m/>
    <s v="tarjeta"/>
    <m/>
    <n v="92000"/>
    <m/>
    <m/>
    <m/>
    <m/>
    <m/>
  </r>
  <r>
    <d v="2024-04-25T00:00:00"/>
    <x v="9"/>
    <x v="1"/>
    <s v="Personal"/>
    <x v="1"/>
    <x v="27"/>
    <m/>
    <s v="personal"/>
    <m/>
    <m/>
    <n v="9000"/>
    <m/>
    <m/>
    <m/>
    <m/>
  </r>
  <r>
    <d v="2024-04-26T00:00:00"/>
    <x v="9"/>
    <x v="1"/>
    <s v="pago cliente"/>
    <x v="0"/>
    <x v="95"/>
    <m/>
    <s v="Transferencia"/>
    <m/>
    <n v="61000"/>
    <m/>
    <m/>
    <m/>
    <m/>
    <m/>
  </r>
  <r>
    <d v="2024-04-26T00:00:00"/>
    <x v="9"/>
    <x v="1"/>
    <s v="Personal"/>
    <x v="1"/>
    <x v="260"/>
    <m/>
    <s v="personal"/>
    <m/>
    <m/>
    <n v="42000"/>
    <m/>
    <m/>
    <m/>
    <m/>
  </r>
  <r>
    <d v="2024-04-26T00:00:00"/>
    <x v="9"/>
    <x v="1"/>
    <s v="Pago proveedor"/>
    <x v="0"/>
    <x v="297"/>
    <m/>
    <s v="Transferencia"/>
    <m/>
    <m/>
    <n v="62500"/>
    <m/>
    <s v="X"/>
    <m/>
    <m/>
  </r>
  <r>
    <d v="2024-04-26T00:00:00"/>
    <x v="9"/>
    <x v="1"/>
    <s v="Personal"/>
    <x v="1"/>
    <x v="27"/>
    <m/>
    <s v="personal"/>
    <m/>
    <m/>
    <n v="58800"/>
    <m/>
    <m/>
    <m/>
    <m/>
  </r>
  <r>
    <d v="2024-04-27T00:00:00"/>
    <x v="9"/>
    <x v="1"/>
    <s v="Personal"/>
    <x v="1"/>
    <x v="27"/>
    <m/>
    <s v="personal"/>
    <m/>
    <m/>
    <n v="84000"/>
    <m/>
    <m/>
    <m/>
    <m/>
  </r>
  <r>
    <d v="2024-04-27T00:00:00"/>
    <x v="9"/>
    <x v="1"/>
    <s v="Sueldo mecánicos"/>
    <x v="0"/>
    <x v="187"/>
    <m/>
    <s v="Transferencia"/>
    <m/>
    <m/>
    <n v="130000"/>
    <m/>
    <m/>
    <m/>
    <m/>
  </r>
  <r>
    <d v="2024-04-27T00:00:00"/>
    <x v="9"/>
    <x v="1"/>
    <s v="Sueldo administrativo"/>
    <x v="0"/>
    <x v="27"/>
    <m/>
    <s v="Transferencia"/>
    <m/>
    <m/>
    <n v="97000"/>
    <m/>
    <m/>
    <m/>
    <m/>
  </r>
  <r>
    <d v="2024-04-28T00:00:00"/>
    <x v="9"/>
    <x v="1"/>
    <s v="Personal"/>
    <x v="1"/>
    <x v="27"/>
    <m/>
    <s v="personal"/>
    <m/>
    <m/>
    <n v="150000"/>
    <m/>
    <m/>
    <m/>
    <m/>
  </r>
  <r>
    <d v="2024-04-29T00:00:00"/>
    <x v="9"/>
    <x v="1"/>
    <s v="pago cliente"/>
    <x v="0"/>
    <x v="32"/>
    <m/>
    <s v="Cheque de terceros"/>
    <m/>
    <n v="76200"/>
    <m/>
    <m/>
    <m/>
    <m/>
    <m/>
  </r>
  <r>
    <d v="2024-04-29T00:00:00"/>
    <x v="9"/>
    <x v="1"/>
    <s v="pago cliente"/>
    <x v="0"/>
    <x v="276"/>
    <m/>
    <s v="Transferencia"/>
    <m/>
    <n v="137700"/>
    <m/>
    <m/>
    <m/>
    <m/>
    <m/>
  </r>
  <r>
    <d v="2024-04-30T00:00:00"/>
    <x v="9"/>
    <x v="1"/>
    <s v="pago cliente"/>
    <x v="0"/>
    <x v="241"/>
    <m/>
    <s v="Transferencia"/>
    <m/>
    <n v="210000"/>
    <m/>
    <m/>
    <m/>
    <m/>
    <m/>
  </r>
  <r>
    <d v="2024-04-30T00:00:00"/>
    <x v="9"/>
    <x v="1"/>
    <s v="Pago proveedor"/>
    <x v="0"/>
    <x v="27"/>
    <s v="RC Distribucion"/>
    <s v="Transferencia"/>
    <m/>
    <m/>
    <n v="239775"/>
    <m/>
    <s v="X"/>
    <m/>
    <m/>
  </r>
  <r>
    <d v="2024-04-30T00:00:00"/>
    <x v="9"/>
    <x v="1"/>
    <s v="Pago proveedor"/>
    <x v="0"/>
    <x v="27"/>
    <s v="RC Distribucion"/>
    <s v="Cheque de terceros"/>
    <m/>
    <m/>
    <n v="178000"/>
    <m/>
    <s v="X"/>
    <m/>
    <m/>
  </r>
  <r>
    <d v="2024-04-30T00:00:00"/>
    <x v="9"/>
    <x v="1"/>
    <s v="Pago proveedor"/>
    <x v="0"/>
    <x v="27"/>
    <s v="RC Distribucion"/>
    <s v="Cheque de terceros"/>
    <m/>
    <m/>
    <n v="178950"/>
    <m/>
    <s v="X"/>
    <m/>
    <m/>
  </r>
  <r>
    <d v="2024-04-30T00:00:00"/>
    <x v="9"/>
    <x v="1"/>
    <s v="Pago proveedor"/>
    <x v="0"/>
    <x v="27"/>
    <s v="RC Distribucion"/>
    <s v="Cheque de terceros"/>
    <m/>
    <m/>
    <n v="76200"/>
    <m/>
    <s v="X"/>
    <m/>
    <m/>
  </r>
  <r>
    <d v="2024-04-30T00:00:00"/>
    <x v="9"/>
    <x v="1"/>
    <s v="Pago proveedor"/>
    <x v="0"/>
    <x v="27"/>
    <s v="RC Distribucion"/>
    <s v="Cheque de terceros"/>
    <m/>
    <m/>
    <n v="275477"/>
    <m/>
    <s v="X"/>
    <m/>
    <m/>
  </r>
  <r>
    <d v="2024-04-30T00:00:00"/>
    <x v="9"/>
    <x v="1"/>
    <s v="pago cliente"/>
    <x v="0"/>
    <x v="105"/>
    <m/>
    <s v="Transferencia"/>
    <m/>
    <n v="40000"/>
    <m/>
    <m/>
    <m/>
    <m/>
    <m/>
  </r>
  <r>
    <d v="2024-05-03T00:00:00"/>
    <x v="10"/>
    <x v="1"/>
    <s v="pago cliente"/>
    <x v="0"/>
    <x v="298"/>
    <m/>
    <s v="Transferencia"/>
    <m/>
    <n v="97000"/>
    <m/>
    <m/>
    <m/>
    <m/>
    <m/>
  </r>
  <r>
    <d v="2024-05-03T00:00:00"/>
    <x v="10"/>
    <x v="1"/>
    <s v="pago cliente"/>
    <x v="0"/>
    <x v="263"/>
    <m/>
    <s v="Cheque de terceros"/>
    <m/>
    <n v="501787"/>
    <m/>
    <m/>
    <m/>
    <m/>
    <m/>
  </r>
  <r>
    <d v="2024-05-03T00:00:00"/>
    <x v="10"/>
    <x v="1"/>
    <s v="pago cliente"/>
    <x v="0"/>
    <x v="50"/>
    <m/>
    <s v="E-cheq"/>
    <m/>
    <n v="200000"/>
    <m/>
    <m/>
    <m/>
    <m/>
    <m/>
  </r>
  <r>
    <d v="2024-05-03T00:00:00"/>
    <x v="10"/>
    <x v="1"/>
    <s v="pago cliente"/>
    <x v="0"/>
    <x v="50"/>
    <m/>
    <s v="E-cheq"/>
    <m/>
    <n v="200000"/>
    <m/>
    <m/>
    <m/>
    <m/>
    <m/>
  </r>
  <r>
    <d v="2024-05-03T00:00:00"/>
    <x v="10"/>
    <x v="1"/>
    <s v="pago cliente"/>
    <x v="0"/>
    <x v="50"/>
    <m/>
    <s v="E-cheq"/>
    <m/>
    <n v="200000"/>
    <m/>
    <m/>
    <m/>
    <m/>
    <m/>
  </r>
  <r>
    <d v="2024-05-03T00:00:00"/>
    <x v="10"/>
    <x v="1"/>
    <s v="pago cliente"/>
    <x v="0"/>
    <x v="50"/>
    <m/>
    <s v="E-cheq"/>
    <m/>
    <n v="135407"/>
    <m/>
    <m/>
    <m/>
    <m/>
    <m/>
  </r>
  <r>
    <d v="2024-05-03T00:00:00"/>
    <x v="10"/>
    <x v="1"/>
    <s v="pago cliente"/>
    <x v="0"/>
    <x v="261"/>
    <m/>
    <s v="tarjeta"/>
    <m/>
    <n v="429474"/>
    <m/>
    <m/>
    <m/>
    <m/>
    <m/>
  </r>
  <r>
    <d v="2024-05-03T00:00:00"/>
    <x v="10"/>
    <x v="1"/>
    <s v="Sueldo administrativo"/>
    <x v="0"/>
    <x v="27"/>
    <m/>
    <s v="Transferencia"/>
    <m/>
    <m/>
    <n v="97000"/>
    <m/>
    <m/>
    <m/>
    <m/>
  </r>
  <r>
    <d v="2024-05-04T00:00:00"/>
    <x v="10"/>
    <x v="1"/>
    <s v="pago cliente"/>
    <x v="0"/>
    <x v="193"/>
    <m/>
    <s v="Transferencia"/>
    <m/>
    <n v="33750"/>
    <m/>
    <m/>
    <m/>
    <m/>
    <m/>
  </r>
  <r>
    <d v="2024-05-04T00:00:00"/>
    <x v="10"/>
    <x v="1"/>
    <s v="pago cliente"/>
    <x v="0"/>
    <x v="299"/>
    <m/>
    <s v="Transferencia"/>
    <m/>
    <n v="57900"/>
    <m/>
    <m/>
    <m/>
    <m/>
    <m/>
  </r>
  <r>
    <d v="2024-05-04T00:00:00"/>
    <x v="10"/>
    <x v="1"/>
    <s v="Sueldo mecánicos"/>
    <x v="0"/>
    <x v="187"/>
    <m/>
    <s v="Transferencia"/>
    <m/>
    <m/>
    <n v="130000"/>
    <m/>
    <m/>
    <m/>
    <m/>
  </r>
  <r>
    <d v="2024-05-06T00:00:00"/>
    <x v="10"/>
    <x v="1"/>
    <s v="pago cliente"/>
    <x v="0"/>
    <x v="300"/>
    <m/>
    <s v="Cheque de terceros"/>
    <m/>
    <n v="148000"/>
    <m/>
    <m/>
    <m/>
    <m/>
    <m/>
  </r>
  <r>
    <d v="2024-05-06T00:00:00"/>
    <x v="10"/>
    <x v="1"/>
    <s v="pago cliente"/>
    <x v="0"/>
    <x v="300"/>
    <m/>
    <s v="Cheque de terceros"/>
    <m/>
    <n v="149902"/>
    <m/>
    <m/>
    <m/>
    <m/>
    <m/>
  </r>
  <r>
    <d v="2024-05-06T00:00:00"/>
    <x v="10"/>
    <x v="1"/>
    <s v="Personal"/>
    <x v="1"/>
    <x v="107"/>
    <m/>
    <s v="tarjeta"/>
    <m/>
    <m/>
    <n v="16000"/>
    <m/>
    <m/>
    <m/>
    <m/>
  </r>
  <r>
    <d v="2024-05-06T00:00:00"/>
    <x v="10"/>
    <x v="1"/>
    <s v="Personal"/>
    <x v="1"/>
    <x v="108"/>
    <m/>
    <s v="tarjeta"/>
    <m/>
    <m/>
    <n v="2355.35"/>
    <m/>
    <m/>
    <m/>
    <m/>
  </r>
  <r>
    <d v="2024-05-06T00:00:00"/>
    <x v="10"/>
    <x v="1"/>
    <s v="Personal"/>
    <x v="1"/>
    <x v="109"/>
    <m/>
    <s v="tarjeta"/>
    <m/>
    <m/>
    <n v="141868"/>
    <m/>
    <m/>
    <m/>
    <m/>
  </r>
  <r>
    <d v="2024-05-06T00:00:00"/>
    <x v="10"/>
    <x v="1"/>
    <s v="pago cliente"/>
    <x v="0"/>
    <x v="279"/>
    <m/>
    <s v="Transferencia"/>
    <m/>
    <n v="141600"/>
    <m/>
    <m/>
    <m/>
    <m/>
    <m/>
  </r>
  <r>
    <d v="2024-05-07T00:00:00"/>
    <x v="10"/>
    <x v="1"/>
    <s v="pago cliente"/>
    <x v="0"/>
    <x v="206"/>
    <m/>
    <s v="Transferencia"/>
    <m/>
    <n v="85340"/>
    <m/>
    <m/>
    <m/>
    <m/>
    <m/>
  </r>
  <r>
    <d v="2024-05-07T00:00:00"/>
    <x v="10"/>
    <x v="1"/>
    <s v="pago cliente"/>
    <x v="0"/>
    <x v="301"/>
    <m/>
    <s v="tarjeta"/>
    <m/>
    <n v="230200"/>
    <m/>
    <m/>
    <m/>
    <m/>
    <m/>
  </r>
  <r>
    <d v="2024-05-07T00:00:00"/>
    <x v="10"/>
    <x v="1"/>
    <s v="Pago proveedor"/>
    <x v="0"/>
    <x v="302"/>
    <m/>
    <s v="Cheque de terceros"/>
    <m/>
    <m/>
    <n v="35264.33"/>
    <m/>
    <s v="X"/>
    <m/>
    <m/>
  </r>
  <r>
    <d v="2024-05-07T00:00:00"/>
    <x v="10"/>
    <x v="1"/>
    <s v="Pago proveedor"/>
    <x v="0"/>
    <x v="302"/>
    <m/>
    <s v="Cheque de terceros"/>
    <m/>
    <m/>
    <n v="148000"/>
    <m/>
    <s v="X"/>
    <m/>
    <m/>
  </r>
  <r>
    <d v="2024-05-07T00:00:00"/>
    <x v="10"/>
    <x v="1"/>
    <s v="Pago proveedor"/>
    <x v="0"/>
    <x v="27"/>
    <s v="Barotto Marcelo "/>
    <s v="Cheque de terceros"/>
    <m/>
    <m/>
    <n v="149902"/>
    <m/>
    <s v="X"/>
    <m/>
    <m/>
  </r>
  <r>
    <d v="2024-05-07T00:00:00"/>
    <x v="10"/>
    <x v="1"/>
    <s v="Pago proveedor"/>
    <x v="0"/>
    <x v="27"/>
    <s v="Barotto Marcelo "/>
    <s v="Cheque de terceros"/>
    <m/>
    <m/>
    <n v="501787"/>
    <m/>
    <s v="X"/>
    <m/>
    <m/>
  </r>
  <r>
    <d v="2024-05-08T00:00:00"/>
    <x v="10"/>
    <x v="1"/>
    <s v="pago cliente"/>
    <x v="0"/>
    <x v="303"/>
    <m/>
    <s v="Transferencia"/>
    <m/>
    <n v="272710"/>
    <m/>
    <m/>
    <m/>
    <m/>
    <m/>
  </r>
  <r>
    <d v="2024-05-08T00:00:00"/>
    <x v="10"/>
    <x v="1"/>
    <s v="pago cliente"/>
    <x v="0"/>
    <x v="147"/>
    <m/>
    <s v="tarjeta"/>
    <m/>
    <n v="449285"/>
    <m/>
    <m/>
    <m/>
    <m/>
    <m/>
  </r>
  <r>
    <d v="2024-05-08T00:00:00"/>
    <x v="10"/>
    <x v="1"/>
    <s v="pago cliente"/>
    <x v="0"/>
    <x v="304"/>
    <m/>
    <s v="Transferencia"/>
    <m/>
    <n v="155200"/>
    <m/>
    <m/>
    <m/>
    <m/>
    <m/>
  </r>
  <r>
    <d v="2024-05-09T00:00:00"/>
    <x v="10"/>
    <x v="1"/>
    <s v="Pago proveedor"/>
    <x v="0"/>
    <x v="27"/>
    <s v="Repuestos Serrano"/>
    <s v="Transferencia"/>
    <m/>
    <m/>
    <n v="695963.4"/>
    <m/>
    <s v="X"/>
    <m/>
    <m/>
  </r>
  <r>
    <d v="2024-05-09T00:00:00"/>
    <x v="10"/>
    <x v="1"/>
    <s v="Pago proveedor"/>
    <x v="0"/>
    <x v="27"/>
    <s v="Barotto Marcelo "/>
    <s v="E-cheq"/>
    <m/>
    <m/>
    <n v="945079.42"/>
    <m/>
    <s v="X"/>
    <m/>
    <m/>
  </r>
  <r>
    <d v="2024-05-09T00:00:00"/>
    <x v="10"/>
    <x v="1"/>
    <s v="pago cliente"/>
    <x v="0"/>
    <x v="305"/>
    <m/>
    <s v="Transferencia"/>
    <m/>
    <n v="242089"/>
    <m/>
    <m/>
    <m/>
    <m/>
    <m/>
  </r>
  <r>
    <d v="2024-05-10T00:00:00"/>
    <x v="10"/>
    <x v="1"/>
    <s v="pago cliente"/>
    <x v="0"/>
    <x v="71"/>
    <m/>
    <s v="Transferencia"/>
    <m/>
    <n v="200000"/>
    <m/>
    <m/>
    <m/>
    <m/>
    <m/>
  </r>
  <r>
    <d v="2024-05-10T00:00:00"/>
    <x v="10"/>
    <x v="1"/>
    <s v="Sueldo administrativo"/>
    <x v="0"/>
    <x v="27"/>
    <m/>
    <s v="Transferencia"/>
    <m/>
    <m/>
    <n v="97000"/>
    <m/>
    <m/>
    <m/>
    <m/>
  </r>
  <r>
    <d v="2024-05-10T00:00:00"/>
    <x v="10"/>
    <x v="1"/>
    <s v="Sueldo mecánicos"/>
    <x v="0"/>
    <x v="187"/>
    <m/>
    <s v="Transferencia"/>
    <m/>
    <m/>
    <n v="130000"/>
    <m/>
    <m/>
    <m/>
    <m/>
  </r>
  <r>
    <d v="2024-05-10T00:00:00"/>
    <x v="10"/>
    <x v="1"/>
    <s v="pago cliente"/>
    <x v="0"/>
    <x v="306"/>
    <m/>
    <s v="Cheque de terceros"/>
    <m/>
    <n v="143145"/>
    <m/>
    <m/>
    <m/>
    <m/>
    <m/>
  </r>
  <r>
    <d v="2024-05-10T00:00:00"/>
    <x v="10"/>
    <x v="1"/>
    <s v="pago cliente"/>
    <x v="0"/>
    <x v="306"/>
    <m/>
    <s v="Cheque de terceros"/>
    <m/>
    <n v="143145"/>
    <m/>
    <m/>
    <m/>
    <m/>
    <m/>
  </r>
  <r>
    <d v="2024-05-12T00:00:00"/>
    <x v="10"/>
    <x v="1"/>
    <s v="Personal"/>
    <x v="1"/>
    <x v="307"/>
    <m/>
    <s v="personal"/>
    <m/>
    <m/>
    <n v="250000"/>
    <m/>
    <m/>
    <m/>
    <m/>
  </r>
  <r>
    <d v="2024-05-13T00:00:00"/>
    <x v="10"/>
    <x v="1"/>
    <s v="Personal"/>
    <x v="1"/>
    <x v="132"/>
    <m/>
    <s v="personal"/>
    <m/>
    <m/>
    <n v="175000"/>
    <m/>
    <m/>
    <m/>
    <m/>
  </r>
  <r>
    <d v="2024-05-13T00:00:00"/>
    <x v="10"/>
    <x v="1"/>
    <s v="Personal"/>
    <x v="1"/>
    <x v="119"/>
    <m/>
    <s v="personal"/>
    <m/>
    <m/>
    <n v="166000"/>
    <m/>
    <m/>
    <m/>
    <m/>
  </r>
  <r>
    <d v="2024-05-13T00:00:00"/>
    <x v="10"/>
    <x v="1"/>
    <s v="Personal"/>
    <x v="1"/>
    <x v="13"/>
    <m/>
    <s v="personal"/>
    <m/>
    <m/>
    <n v="358288"/>
    <m/>
    <m/>
    <m/>
    <m/>
  </r>
  <r>
    <d v="2024-05-13T00:00:00"/>
    <x v="10"/>
    <x v="1"/>
    <s v="Personal"/>
    <x v="1"/>
    <x v="249"/>
    <m/>
    <s v="personal"/>
    <m/>
    <m/>
    <n v="270000"/>
    <m/>
    <m/>
    <m/>
    <m/>
  </r>
  <r>
    <d v="2024-05-13T00:00:00"/>
    <x v="10"/>
    <x v="1"/>
    <s v="pago cliente"/>
    <x v="0"/>
    <x v="42"/>
    <m/>
    <s v="E-cheq"/>
    <m/>
    <n v="1500000"/>
    <m/>
    <m/>
    <m/>
    <m/>
    <m/>
  </r>
  <r>
    <d v="2024-05-13T00:00:00"/>
    <x v="10"/>
    <x v="1"/>
    <s v="pago cliente"/>
    <x v="0"/>
    <x v="298"/>
    <m/>
    <s v="Transferencia"/>
    <m/>
    <n v="82000"/>
    <m/>
    <m/>
    <m/>
    <m/>
    <m/>
  </r>
  <r>
    <d v="2024-05-13T00:00:00"/>
    <x v="10"/>
    <x v="1"/>
    <s v="Pago proveedor"/>
    <x v="0"/>
    <x v="27"/>
    <s v="Barotto Marcelo "/>
    <s v="Cheque de terceros"/>
    <m/>
    <m/>
    <n v="143145"/>
    <m/>
    <s v="X"/>
    <m/>
    <m/>
  </r>
  <r>
    <d v="2024-05-13T00:00:00"/>
    <x v="10"/>
    <x v="1"/>
    <s v="Pago proveedor"/>
    <x v="0"/>
    <x v="27"/>
    <s v="Barotto Marcelo "/>
    <s v="Cheque de terceros"/>
    <m/>
    <m/>
    <n v="143145"/>
    <m/>
    <s v="X"/>
    <m/>
    <m/>
  </r>
  <r>
    <d v="2024-05-14T00:00:00"/>
    <x v="10"/>
    <x v="1"/>
    <s v="pago cliente"/>
    <x v="0"/>
    <x v="111"/>
    <m/>
    <s v="Cheque de terceros"/>
    <m/>
    <n v="332425"/>
    <m/>
    <m/>
    <m/>
    <m/>
    <m/>
  </r>
  <r>
    <d v="2024-05-14T00:00:00"/>
    <x v="10"/>
    <x v="1"/>
    <s v="Pago proveedor"/>
    <x v="0"/>
    <x v="27"/>
    <s v="Rio rep"/>
    <s v="Transferencia"/>
    <m/>
    <m/>
    <n v="301680"/>
    <m/>
    <s v="X"/>
    <m/>
    <m/>
  </r>
  <r>
    <d v="2024-05-14T00:00:00"/>
    <x v="10"/>
    <x v="1"/>
    <s v="Pago proveedor"/>
    <x v="0"/>
    <x v="308"/>
    <m/>
    <s v="Transferencia"/>
    <m/>
    <m/>
    <n v="130700"/>
    <m/>
    <s v="X"/>
    <m/>
    <m/>
  </r>
  <r>
    <d v="2024-05-14T00:00:00"/>
    <x v="10"/>
    <x v="1"/>
    <s v="Pago proveedor"/>
    <x v="0"/>
    <x v="27"/>
    <s v="Atilio Lucero"/>
    <s v="Transferencia"/>
    <m/>
    <m/>
    <n v="51962.43"/>
    <m/>
    <s v="X"/>
    <m/>
    <m/>
  </r>
  <r>
    <d v="2024-05-14T00:00:00"/>
    <x v="10"/>
    <x v="1"/>
    <s v="Pago proveedor"/>
    <x v="0"/>
    <x v="27"/>
    <s v="Vetaro"/>
    <s v="Transferencia"/>
    <m/>
    <m/>
    <n v="253600"/>
    <m/>
    <m/>
    <m/>
    <m/>
  </r>
  <r>
    <d v="2024-05-15T00:00:00"/>
    <x v="10"/>
    <x v="1"/>
    <s v="pago cliente"/>
    <x v="0"/>
    <x v="264"/>
    <m/>
    <s v="Transferencia"/>
    <m/>
    <n v="99100"/>
    <m/>
    <m/>
    <m/>
    <m/>
    <m/>
  </r>
  <r>
    <d v="2024-05-15T00:00:00"/>
    <x v="10"/>
    <x v="1"/>
    <s v="Pago proveedor"/>
    <x v="0"/>
    <x v="27"/>
    <s v="Atilio Lucero"/>
    <s v="Transferencia"/>
    <m/>
    <m/>
    <n v="43858.720000000001"/>
    <m/>
    <s v="X"/>
    <m/>
    <m/>
  </r>
  <r>
    <d v="2024-05-15T00:00:00"/>
    <x v="10"/>
    <x v="1"/>
    <s v="pago cliente"/>
    <x v="0"/>
    <x v="309"/>
    <m/>
    <s v="tarjeta"/>
    <m/>
    <n v="430177"/>
    <m/>
    <m/>
    <m/>
    <m/>
    <m/>
  </r>
  <r>
    <d v="2024-05-15T00:00:00"/>
    <x v="10"/>
    <x v="1"/>
    <s v="pago cliente"/>
    <x v="0"/>
    <x v="310"/>
    <m/>
    <s v="Transferencia"/>
    <m/>
    <n v="95000"/>
    <m/>
    <m/>
    <m/>
    <m/>
    <m/>
  </r>
  <r>
    <d v="2024-05-15T00:00:00"/>
    <x v="10"/>
    <x v="1"/>
    <s v="Impuestos AFIP"/>
    <x v="1"/>
    <x v="311"/>
    <m/>
    <s v="personal"/>
    <m/>
    <m/>
    <n v="110980"/>
    <m/>
    <m/>
    <m/>
    <m/>
  </r>
  <r>
    <d v="2024-05-15T00:00:00"/>
    <x v="10"/>
    <x v="1"/>
    <s v="pago cliente"/>
    <x v="0"/>
    <x v="136"/>
    <m/>
    <s v="tarjeta"/>
    <m/>
    <n v="403413"/>
    <m/>
    <m/>
    <m/>
    <m/>
    <m/>
  </r>
  <r>
    <d v="2024-05-15T00:00:00"/>
    <x v="10"/>
    <x v="1"/>
    <s v="pago cliente"/>
    <x v="0"/>
    <x v="312"/>
    <m/>
    <s v="tarjeta"/>
    <m/>
    <n v="202063"/>
    <m/>
    <m/>
    <m/>
    <m/>
    <m/>
  </r>
  <r>
    <d v="2024-05-16T00:00:00"/>
    <x v="10"/>
    <x v="1"/>
    <s v="Pago proveedor"/>
    <x v="0"/>
    <x v="273"/>
    <m/>
    <s v="Cheque de terceros"/>
    <m/>
    <m/>
    <n v="332425"/>
    <m/>
    <m/>
    <m/>
    <m/>
  </r>
  <r>
    <d v="2024-05-16T00:00:00"/>
    <x v="10"/>
    <x v="1"/>
    <s v="pago cliente"/>
    <x v="0"/>
    <x v="313"/>
    <m/>
    <s v="Transferencia"/>
    <m/>
    <n v="120000"/>
    <m/>
    <m/>
    <m/>
    <m/>
    <m/>
  </r>
  <r>
    <d v="2024-05-17T00:00:00"/>
    <x v="10"/>
    <x v="1"/>
    <s v="Pago proveedor"/>
    <x v="0"/>
    <x v="285"/>
    <m/>
    <s v="Transferencia"/>
    <m/>
    <m/>
    <n v="29627.13"/>
    <m/>
    <s v="X"/>
    <m/>
    <m/>
  </r>
  <r>
    <d v="2024-05-17T00:00:00"/>
    <x v="10"/>
    <x v="1"/>
    <s v="Pago proveedor"/>
    <x v="0"/>
    <x v="314"/>
    <m/>
    <s v="Transferencia"/>
    <m/>
    <m/>
    <n v="10000"/>
    <m/>
    <s v="X"/>
    <m/>
    <m/>
  </r>
  <r>
    <d v="2024-05-17T00:00:00"/>
    <x v="10"/>
    <x v="1"/>
    <s v="pago cliente"/>
    <x v="0"/>
    <x v="71"/>
    <m/>
    <s v="Transferencia"/>
    <m/>
    <n v="100000"/>
    <m/>
    <m/>
    <m/>
    <m/>
    <m/>
  </r>
  <r>
    <d v="2024-05-17T00:00:00"/>
    <x v="10"/>
    <x v="1"/>
    <s v="Pago proveedor"/>
    <x v="0"/>
    <x v="315"/>
    <m/>
    <s v="Transferencia"/>
    <m/>
    <m/>
    <n v="60000"/>
    <m/>
    <m/>
    <m/>
    <m/>
  </r>
  <r>
    <d v="2024-05-17T00:00:00"/>
    <x v="10"/>
    <x v="1"/>
    <s v="pago cliente"/>
    <x v="0"/>
    <x v="89"/>
    <m/>
    <s v="Cheque de terceros"/>
    <m/>
    <n v="143945"/>
    <m/>
    <m/>
    <m/>
    <m/>
    <m/>
  </r>
  <r>
    <d v="2024-05-17T00:00:00"/>
    <x v="10"/>
    <x v="1"/>
    <s v="pago cliente"/>
    <x v="0"/>
    <x v="89"/>
    <m/>
    <s v="Cheque de terceros"/>
    <m/>
    <n v="143945"/>
    <m/>
    <m/>
    <m/>
    <m/>
    <m/>
  </r>
  <r>
    <d v="2024-05-17T00:00:00"/>
    <x v="10"/>
    <x v="1"/>
    <s v="Personal"/>
    <x v="1"/>
    <x v="224"/>
    <m/>
    <s v="personal"/>
    <m/>
    <m/>
    <n v="44240"/>
    <m/>
    <m/>
    <m/>
    <m/>
  </r>
  <r>
    <d v="2024-05-18T00:00:00"/>
    <x v="10"/>
    <x v="1"/>
    <s v="Sueldo administrativo"/>
    <x v="0"/>
    <x v="27"/>
    <m/>
    <s v="Transferencia"/>
    <m/>
    <m/>
    <n v="97000"/>
    <m/>
    <m/>
    <m/>
    <m/>
  </r>
  <r>
    <d v="2024-05-20T00:00:00"/>
    <x v="10"/>
    <x v="1"/>
    <s v="monotributo"/>
    <x v="1"/>
    <x v="202"/>
    <m/>
    <s v="personal"/>
    <m/>
    <m/>
    <n v="35736.43"/>
    <m/>
    <m/>
    <m/>
    <m/>
  </r>
  <r>
    <d v="2024-05-21T00:00:00"/>
    <x v="10"/>
    <x v="1"/>
    <s v="pago cliente"/>
    <x v="0"/>
    <x v="316"/>
    <m/>
    <s v="Transferencia"/>
    <m/>
    <n v="100000"/>
    <m/>
    <m/>
    <m/>
    <m/>
    <m/>
  </r>
  <r>
    <d v="2024-05-21T00:00:00"/>
    <x v="10"/>
    <x v="1"/>
    <s v="honorarios"/>
    <x v="0"/>
    <x v="152"/>
    <m/>
    <s v="Transferencia"/>
    <m/>
    <m/>
    <n v="160000"/>
    <m/>
    <m/>
    <m/>
    <m/>
  </r>
  <r>
    <d v="2024-05-22T00:00:00"/>
    <x v="10"/>
    <x v="1"/>
    <s v="Pago proveedor"/>
    <x v="0"/>
    <x v="317"/>
    <m/>
    <s v="Cheque de terceros"/>
    <m/>
    <m/>
    <n v="143945"/>
    <m/>
    <m/>
    <m/>
    <m/>
  </r>
  <r>
    <d v="2024-05-22T00:00:00"/>
    <x v="10"/>
    <x v="1"/>
    <s v="Pago proveedor"/>
    <x v="0"/>
    <x v="317"/>
    <m/>
    <s v="Cheque de terceros"/>
    <m/>
    <m/>
    <n v="143945"/>
    <m/>
    <m/>
    <m/>
    <m/>
  </r>
  <r>
    <d v="2024-05-23T00:00:00"/>
    <x v="10"/>
    <x v="1"/>
    <s v="pago cliente"/>
    <x v="0"/>
    <x v="266"/>
    <m/>
    <s v="Transferencia"/>
    <m/>
    <n v="35000"/>
    <m/>
    <m/>
    <m/>
    <m/>
    <m/>
  </r>
  <r>
    <d v="2024-05-23T00:00:00"/>
    <x v="10"/>
    <x v="1"/>
    <s v="pago cliente"/>
    <x v="0"/>
    <x v="318"/>
    <m/>
    <s v="Cheque de terceros"/>
    <m/>
    <n v="300000"/>
    <m/>
    <m/>
    <m/>
    <m/>
    <m/>
  </r>
  <r>
    <d v="2024-05-24T00:00:00"/>
    <x v="10"/>
    <x v="1"/>
    <s v="pago cliente"/>
    <x v="0"/>
    <x v="316"/>
    <m/>
    <s v="Transferencia"/>
    <m/>
    <n v="52240"/>
    <m/>
    <m/>
    <m/>
    <m/>
    <m/>
  </r>
  <r>
    <d v="2024-05-24T00:00:00"/>
    <x v="10"/>
    <x v="1"/>
    <s v="Pago proveedor"/>
    <x v="0"/>
    <x v="317"/>
    <m/>
    <s v="Transferencia"/>
    <m/>
    <m/>
    <n v="169874.34"/>
    <m/>
    <m/>
    <m/>
    <m/>
  </r>
  <r>
    <d v="2024-05-24T00:00:00"/>
    <x v="10"/>
    <x v="1"/>
    <s v="pago cliente"/>
    <x v="0"/>
    <x v="319"/>
    <m/>
    <s v="Transferencia"/>
    <m/>
    <n v="95000"/>
    <m/>
    <m/>
    <m/>
    <m/>
    <m/>
  </r>
  <r>
    <d v="2024-05-24T00:00:00"/>
    <x v="10"/>
    <x v="1"/>
    <s v="pago cliente"/>
    <x v="0"/>
    <x v="320"/>
    <m/>
    <s v="tarjeta"/>
    <m/>
    <n v="250000"/>
    <m/>
    <m/>
    <m/>
    <m/>
    <m/>
  </r>
  <r>
    <d v="2024-05-24T00:00:00"/>
    <x v="10"/>
    <x v="1"/>
    <s v="Sueldo mecánicos"/>
    <x v="0"/>
    <x v="187"/>
    <m/>
    <s v="Transferencia"/>
    <m/>
    <m/>
    <n v="130000"/>
    <m/>
    <m/>
    <m/>
    <m/>
  </r>
  <r>
    <d v="2024-05-24T00:00:00"/>
    <x v="10"/>
    <x v="1"/>
    <s v="Sueldo administrativo"/>
    <x v="0"/>
    <x v="27"/>
    <m/>
    <s v="Transferencia"/>
    <m/>
    <m/>
    <n v="97000"/>
    <m/>
    <m/>
    <m/>
    <m/>
  </r>
  <r>
    <d v="2024-05-25T00:00:00"/>
    <x v="10"/>
    <x v="1"/>
    <s v="pago cliente"/>
    <x v="0"/>
    <x v="321"/>
    <m/>
    <s v="Transferencia"/>
    <m/>
    <n v="242480"/>
    <m/>
    <m/>
    <m/>
    <m/>
    <m/>
  </r>
  <r>
    <d v="2024-05-26T00:00:00"/>
    <x v="10"/>
    <x v="1"/>
    <s v="Personal"/>
    <x v="1"/>
    <x v="322"/>
    <m/>
    <s v="personal"/>
    <m/>
    <m/>
    <n v="53000"/>
    <m/>
    <m/>
    <m/>
    <m/>
  </r>
  <r>
    <d v="2024-05-27T00:00:00"/>
    <x v="10"/>
    <x v="1"/>
    <s v="pago cliente"/>
    <x v="0"/>
    <x v="323"/>
    <m/>
    <s v="Transferencia"/>
    <m/>
    <n v="440642"/>
    <m/>
    <m/>
    <m/>
    <m/>
    <m/>
  </r>
  <r>
    <d v="2024-05-27T00:00:00"/>
    <x v="10"/>
    <x v="1"/>
    <s v="pago cliente"/>
    <x v="0"/>
    <x v="324"/>
    <m/>
    <s v="Transferencia"/>
    <m/>
    <n v="326000"/>
    <m/>
    <m/>
    <m/>
    <m/>
    <m/>
  </r>
  <r>
    <d v="2024-05-27T00:00:00"/>
    <x v="10"/>
    <x v="1"/>
    <s v="pago cliente"/>
    <x v="0"/>
    <x v="115"/>
    <m/>
    <s v="Transferencia"/>
    <m/>
    <n v="80335"/>
    <m/>
    <m/>
    <m/>
    <m/>
    <m/>
  </r>
  <r>
    <d v="2024-05-27T00:00:00"/>
    <x v="10"/>
    <x v="1"/>
    <s v="pago cliente"/>
    <x v="0"/>
    <x v="51"/>
    <m/>
    <s v="Cheque de terceros"/>
    <m/>
    <n v="108218"/>
    <m/>
    <m/>
    <m/>
    <m/>
    <m/>
  </r>
  <r>
    <d v="2024-05-28T00:00:00"/>
    <x v="10"/>
    <x v="1"/>
    <s v="pago cliente"/>
    <x v="0"/>
    <x v="71"/>
    <m/>
    <s v="Transferencia"/>
    <m/>
    <n v="111558"/>
    <m/>
    <m/>
    <m/>
    <m/>
    <m/>
  </r>
  <r>
    <d v="2024-05-28T00:00:00"/>
    <x v="10"/>
    <x v="1"/>
    <s v="Pago proveedor"/>
    <x v="0"/>
    <x v="325"/>
    <m/>
    <s v="Transferencia"/>
    <m/>
    <m/>
    <n v="305000"/>
    <m/>
    <m/>
    <m/>
    <m/>
  </r>
  <r>
    <d v="2024-05-28T00:00:00"/>
    <x v="10"/>
    <x v="1"/>
    <s v="Pago proveedor"/>
    <x v="0"/>
    <x v="27"/>
    <s v="Rio rep"/>
    <s v="Transferencia"/>
    <m/>
    <m/>
    <n v="24500"/>
    <m/>
    <s v="X"/>
    <m/>
    <m/>
  </r>
  <r>
    <d v="2024-05-28T00:00:00"/>
    <x v="10"/>
    <x v="1"/>
    <s v="pago cliente"/>
    <x v="0"/>
    <x v="326"/>
    <m/>
    <s v="Transferencia"/>
    <m/>
    <n v="92000"/>
    <m/>
    <m/>
    <m/>
    <m/>
    <m/>
  </r>
  <r>
    <d v="2024-05-28T00:00:00"/>
    <x v="10"/>
    <x v="1"/>
    <s v="pago cliente"/>
    <x v="0"/>
    <x v="327"/>
    <m/>
    <s v="Transferencia"/>
    <m/>
    <n v="139000"/>
    <m/>
    <m/>
    <m/>
    <m/>
    <m/>
  </r>
  <r>
    <d v="2024-05-28T00:00:00"/>
    <x v="10"/>
    <x v="1"/>
    <s v="pago cliente"/>
    <x v="0"/>
    <x v="328"/>
    <m/>
    <s v="Transferencia"/>
    <m/>
    <n v="179800"/>
    <m/>
    <m/>
    <m/>
    <m/>
    <m/>
  </r>
  <r>
    <d v="2024-05-29T00:00:00"/>
    <x v="10"/>
    <x v="1"/>
    <s v="pago cliente"/>
    <x v="0"/>
    <x v="329"/>
    <m/>
    <s v="Transferencia"/>
    <m/>
    <n v="353250"/>
    <m/>
    <m/>
    <m/>
    <m/>
    <m/>
  </r>
  <r>
    <d v="2024-05-29T00:00:00"/>
    <x v="10"/>
    <x v="1"/>
    <s v="Pago proveedor"/>
    <x v="0"/>
    <x v="330"/>
    <m/>
    <s v="Transferencia"/>
    <m/>
    <m/>
    <n v="110400"/>
    <m/>
    <s v="X"/>
    <m/>
    <m/>
  </r>
  <r>
    <d v="2024-05-29T00:00:00"/>
    <x v="10"/>
    <x v="1"/>
    <s v="pago cliente"/>
    <x v="0"/>
    <x v="331"/>
    <m/>
    <s v="Transferencia"/>
    <m/>
    <n v="130510"/>
    <m/>
    <m/>
    <m/>
    <m/>
    <m/>
  </r>
  <r>
    <d v="2024-05-30T00:00:00"/>
    <x v="10"/>
    <x v="1"/>
    <s v="pago cliente"/>
    <x v="0"/>
    <x v="332"/>
    <m/>
    <s v="Transferencia"/>
    <m/>
    <n v="90000"/>
    <m/>
    <m/>
    <m/>
    <m/>
    <m/>
  </r>
  <r>
    <d v="2024-05-30T00:00:00"/>
    <x v="10"/>
    <x v="1"/>
    <s v="Pago proveedor"/>
    <x v="0"/>
    <x v="27"/>
    <s v="Rep Center"/>
    <s v="Transferencia"/>
    <m/>
    <m/>
    <n v="598223.30000000005"/>
    <m/>
    <s v="X"/>
    <m/>
    <m/>
  </r>
  <r>
    <d v="2024-05-30T00:00:00"/>
    <x v="10"/>
    <x v="1"/>
    <s v="Pago proveedor"/>
    <x v="0"/>
    <x v="27"/>
    <s v="RC Distribucion"/>
    <s v="Transferencia"/>
    <m/>
    <m/>
    <n v="354684.97"/>
    <m/>
    <s v="X"/>
    <m/>
    <m/>
  </r>
  <r>
    <d v="2024-05-30T00:00:00"/>
    <x v="10"/>
    <x v="1"/>
    <s v="pago cliente"/>
    <x v="0"/>
    <x v="333"/>
    <m/>
    <s v="tarjeta"/>
    <m/>
    <n v="230000"/>
    <m/>
    <m/>
    <m/>
    <m/>
    <m/>
  </r>
  <r>
    <d v="2024-05-30T00:00:00"/>
    <x v="10"/>
    <x v="1"/>
    <s v="pago cliente"/>
    <x v="0"/>
    <x v="333"/>
    <m/>
    <s v="Transferencia"/>
    <m/>
    <n v="12125"/>
    <m/>
    <m/>
    <m/>
    <m/>
    <m/>
  </r>
  <r>
    <d v="2024-05-30T00:00:00"/>
    <x v="10"/>
    <x v="1"/>
    <s v="pago cliente"/>
    <x v="0"/>
    <x v="241"/>
    <m/>
    <s v="Transferencia"/>
    <m/>
    <n v="170000"/>
    <m/>
    <m/>
    <m/>
    <m/>
    <m/>
  </r>
  <r>
    <d v="2024-05-30T00:00:00"/>
    <x v="10"/>
    <x v="1"/>
    <s v="pago cliente"/>
    <x v="0"/>
    <x v="334"/>
    <m/>
    <s v="tarjeta"/>
    <m/>
    <n v="279500"/>
    <m/>
    <m/>
    <m/>
    <m/>
    <m/>
  </r>
  <r>
    <d v="2024-05-30T00:00:00"/>
    <x v="10"/>
    <x v="1"/>
    <s v="pago cliente"/>
    <x v="0"/>
    <x v="69"/>
    <m/>
    <s v="Transferencia"/>
    <m/>
    <n v="83006"/>
    <m/>
    <m/>
    <m/>
    <m/>
    <m/>
  </r>
  <r>
    <d v="2024-05-30T00:00:00"/>
    <x v="10"/>
    <x v="1"/>
    <s v="pago cliente"/>
    <x v="0"/>
    <x v="335"/>
    <m/>
    <s v="Transferencia"/>
    <m/>
    <n v="96670"/>
    <m/>
    <m/>
    <m/>
    <m/>
    <m/>
  </r>
  <r>
    <d v="2024-05-31T00:00:00"/>
    <x v="10"/>
    <x v="1"/>
    <s v="pago cliente"/>
    <x v="0"/>
    <x v="143"/>
    <m/>
    <s v="Cheque de terceros"/>
    <m/>
    <n v="600000"/>
    <m/>
    <m/>
    <m/>
    <m/>
    <m/>
  </r>
  <r>
    <d v="2024-05-31T00:00:00"/>
    <x v="10"/>
    <x v="1"/>
    <s v="pago cliente"/>
    <x v="0"/>
    <x v="135"/>
    <m/>
    <s v="Transferencia"/>
    <m/>
    <n v="82000"/>
    <m/>
    <m/>
    <m/>
    <m/>
    <m/>
  </r>
  <r>
    <d v="2024-05-31T00:00:00"/>
    <x v="10"/>
    <x v="1"/>
    <s v="pago cliente"/>
    <x v="0"/>
    <x v="336"/>
    <m/>
    <s v="Transferencia"/>
    <m/>
    <n v="50000"/>
    <m/>
    <m/>
    <m/>
    <m/>
    <m/>
  </r>
  <r>
    <d v="2024-06-01T00:00:00"/>
    <x v="11"/>
    <x v="1"/>
    <s v="Sueldo mecánicos"/>
    <x v="0"/>
    <x v="187"/>
    <m/>
    <s v="Transferencia"/>
    <m/>
    <m/>
    <n v="130000"/>
    <m/>
    <m/>
    <m/>
    <m/>
  </r>
  <r>
    <d v="2024-06-01T00:00:00"/>
    <x v="11"/>
    <x v="1"/>
    <s v="Sueldo administrativo"/>
    <x v="0"/>
    <x v="27"/>
    <m/>
    <s v="Transferencia"/>
    <m/>
    <m/>
    <n v="97000"/>
    <m/>
    <m/>
    <m/>
    <m/>
  </r>
  <r>
    <d v="2024-06-02T00:00:00"/>
    <x v="11"/>
    <x v="1"/>
    <s v="pago cliente"/>
    <x v="0"/>
    <x v="337"/>
    <m/>
    <s v="Transferencia"/>
    <m/>
    <n v="100000"/>
    <m/>
    <m/>
    <m/>
    <m/>
    <m/>
  </r>
  <r>
    <d v="2024-06-04T00:00:00"/>
    <x v="11"/>
    <x v="1"/>
    <s v="pago cliente"/>
    <x v="0"/>
    <x v="300"/>
    <m/>
    <s v="Cheque de terceros"/>
    <m/>
    <n v="189000"/>
    <m/>
    <m/>
    <m/>
    <m/>
    <m/>
  </r>
  <r>
    <d v="2024-06-04T00:00:00"/>
    <x v="11"/>
    <x v="1"/>
    <s v="pago cliente"/>
    <x v="0"/>
    <x v="300"/>
    <m/>
    <s v="Cheque de terceros"/>
    <m/>
    <n v="190600"/>
    <m/>
    <m/>
    <m/>
    <m/>
    <m/>
  </r>
  <r>
    <d v="2024-06-04T00:00:00"/>
    <x v="11"/>
    <x v="1"/>
    <s v="Pago proveedor"/>
    <x v="0"/>
    <x v="273"/>
    <m/>
    <s v="Cheque de terceros"/>
    <m/>
    <m/>
    <n v="108218"/>
    <m/>
    <m/>
    <m/>
    <m/>
  </r>
  <r>
    <d v="2024-06-04T00:00:00"/>
    <x v="11"/>
    <x v="1"/>
    <s v="pago cliente"/>
    <x v="0"/>
    <x v="112"/>
    <m/>
    <s v="Cheque de terceros"/>
    <m/>
    <n v="135000"/>
    <m/>
    <m/>
    <m/>
    <m/>
    <m/>
  </r>
  <r>
    <d v="2024-06-04T00:00:00"/>
    <x v="11"/>
    <x v="1"/>
    <s v="pago cliente"/>
    <x v="0"/>
    <x v="112"/>
    <m/>
    <s v="Cheque de terceros"/>
    <m/>
    <n v="87812.63"/>
    <m/>
    <m/>
    <m/>
    <m/>
    <m/>
  </r>
  <r>
    <d v="2024-06-04T00:00:00"/>
    <x v="11"/>
    <x v="1"/>
    <s v="Pago proveedor"/>
    <x v="0"/>
    <x v="338"/>
    <m/>
    <s v="Transferencia"/>
    <m/>
    <m/>
    <n v="28350"/>
    <m/>
    <m/>
    <m/>
    <m/>
  </r>
  <r>
    <d v="2024-06-04T00:00:00"/>
    <x v="11"/>
    <x v="1"/>
    <s v="Personal"/>
    <x v="1"/>
    <x v="339"/>
    <m/>
    <s v="personal"/>
    <m/>
    <m/>
    <n v="58558.07"/>
    <m/>
    <m/>
    <m/>
    <m/>
  </r>
  <r>
    <d v="2024-06-04T00:00:00"/>
    <x v="11"/>
    <x v="1"/>
    <s v="Personal"/>
    <x v="1"/>
    <x v="339"/>
    <m/>
    <s v="personal"/>
    <m/>
    <m/>
    <n v="29181"/>
    <m/>
    <m/>
    <m/>
    <m/>
  </r>
  <r>
    <d v="2024-06-05T00:00:00"/>
    <x v="11"/>
    <x v="1"/>
    <s v="Pago proveedor"/>
    <x v="0"/>
    <x v="340"/>
    <m/>
    <s v="Transferencia"/>
    <m/>
    <n v="700000"/>
    <m/>
    <m/>
    <m/>
    <m/>
    <m/>
  </r>
  <r>
    <d v="2024-06-05T00:00:00"/>
    <x v="11"/>
    <x v="1"/>
    <s v="Pago proveedor"/>
    <x v="0"/>
    <x v="27"/>
    <s v="Barotto Marcelo "/>
    <s v="Cheque de terceros"/>
    <m/>
    <m/>
    <n v="600000"/>
    <m/>
    <s v="X"/>
    <m/>
    <m/>
  </r>
  <r>
    <d v="2024-06-05T00:00:00"/>
    <x v="11"/>
    <x v="1"/>
    <s v="Pago proveedor"/>
    <x v="0"/>
    <x v="27"/>
    <s v="Barotto Marcelo "/>
    <s v="Cheque de terceros"/>
    <m/>
    <m/>
    <n v="189000"/>
    <m/>
    <s v="X"/>
    <m/>
    <m/>
  </r>
  <r>
    <d v="2024-06-05T00:00:00"/>
    <x v="11"/>
    <x v="1"/>
    <s v="Pago proveedor"/>
    <x v="0"/>
    <x v="27"/>
    <s v="Barotto Marcelo "/>
    <s v="Cheque de terceros"/>
    <m/>
    <m/>
    <n v="190600"/>
    <m/>
    <s v="X"/>
    <m/>
    <m/>
  </r>
  <r>
    <d v="2024-06-05T00:00:00"/>
    <x v="11"/>
    <x v="1"/>
    <s v="Pago proveedor"/>
    <x v="0"/>
    <x v="27"/>
    <s v="Barotto Marcelo "/>
    <s v="Cheque de terceros"/>
    <m/>
    <m/>
    <n v="87812.63"/>
    <m/>
    <s v="X"/>
    <m/>
    <m/>
  </r>
  <r>
    <d v="2024-06-05T00:00:00"/>
    <x v="11"/>
    <x v="1"/>
    <s v="Pago proveedor"/>
    <x v="0"/>
    <x v="27"/>
    <s v="Barotto Marcelo "/>
    <s v="Cheque de terceros"/>
    <m/>
    <m/>
    <n v="135000"/>
    <m/>
    <s v="X"/>
    <m/>
    <m/>
  </r>
  <r>
    <d v="2024-06-05T00:00:00"/>
    <x v="11"/>
    <x v="1"/>
    <s v="Pago proveedor"/>
    <x v="0"/>
    <x v="341"/>
    <m/>
    <s v="Transferencia"/>
    <m/>
    <m/>
    <n v="320000"/>
    <m/>
    <s v="X"/>
    <m/>
    <m/>
  </r>
  <r>
    <d v="2024-06-05T00:00:00"/>
    <x v="11"/>
    <x v="1"/>
    <s v="Pago proveedor"/>
    <x v="0"/>
    <x v="27"/>
    <s v="Repuestos Serrano"/>
    <s v="Transferencia"/>
    <m/>
    <m/>
    <n v="146560"/>
    <m/>
    <s v="X"/>
    <m/>
    <m/>
  </r>
  <r>
    <d v="2024-06-05T00:00:00"/>
    <x v="11"/>
    <x v="1"/>
    <s v="Pago proveedor"/>
    <x v="0"/>
    <x v="330"/>
    <m/>
    <s v="Transferencia"/>
    <m/>
    <m/>
    <n v="70600"/>
    <m/>
    <s v="X"/>
    <m/>
    <m/>
  </r>
  <r>
    <d v="2024-06-05T00:00:00"/>
    <x v="11"/>
    <x v="1"/>
    <s v="pago cliente"/>
    <x v="0"/>
    <x v="143"/>
    <m/>
    <s v="Cheque de terceros"/>
    <m/>
    <n v="17700"/>
    <m/>
    <m/>
    <m/>
    <m/>
    <m/>
  </r>
  <r>
    <d v="2024-06-05T00:00:00"/>
    <x v="11"/>
    <x v="1"/>
    <s v="pago cliente"/>
    <x v="0"/>
    <x v="143"/>
    <m/>
    <s v="Cheque de terceros"/>
    <m/>
    <n v="250000"/>
    <m/>
    <m/>
    <m/>
    <m/>
    <m/>
  </r>
  <r>
    <d v="2024-06-05T00:00:00"/>
    <x v="11"/>
    <x v="1"/>
    <s v="pago cliente"/>
    <x v="0"/>
    <x v="143"/>
    <m/>
    <s v="Cheque de terceros"/>
    <m/>
    <n v="10960"/>
    <m/>
    <m/>
    <m/>
    <m/>
    <m/>
  </r>
  <r>
    <d v="2024-06-05T00:00:00"/>
    <x v="11"/>
    <x v="1"/>
    <s v="pago cliente"/>
    <x v="0"/>
    <x v="197"/>
    <m/>
    <s v="Transferencia"/>
    <m/>
    <n v="176538"/>
    <m/>
    <m/>
    <m/>
    <m/>
    <m/>
  </r>
  <r>
    <d v="2024-06-05T00:00:00"/>
    <x v="11"/>
    <x v="1"/>
    <s v="pago cliente"/>
    <x v="0"/>
    <x v="342"/>
    <m/>
    <s v="Transferencia"/>
    <m/>
    <n v="100000"/>
    <m/>
    <m/>
    <m/>
    <m/>
    <m/>
  </r>
  <r>
    <d v="2024-06-05T00:00:00"/>
    <x v="11"/>
    <x v="1"/>
    <s v="combustible"/>
    <x v="0"/>
    <x v="27"/>
    <m/>
    <s v="tarjeta"/>
    <m/>
    <m/>
    <n v="82500"/>
    <m/>
    <m/>
    <m/>
    <m/>
  </r>
  <r>
    <d v="2024-06-05T00:00:00"/>
    <x v="11"/>
    <x v="1"/>
    <s v="pago cliente"/>
    <x v="0"/>
    <x v="323"/>
    <m/>
    <s v="Transferencia"/>
    <m/>
    <n v="642800"/>
    <m/>
    <m/>
    <m/>
    <m/>
    <m/>
  </r>
  <r>
    <d v="2024-06-05T00:00:00"/>
    <x v="11"/>
    <x v="1"/>
    <s v="Personal"/>
    <x v="1"/>
    <x v="190"/>
    <m/>
    <s v="personal"/>
    <m/>
    <m/>
    <n v="54982"/>
    <m/>
    <m/>
    <m/>
    <m/>
  </r>
  <r>
    <d v="2024-06-05T00:00:00"/>
    <x v="11"/>
    <x v="1"/>
    <s v="Personal"/>
    <x v="1"/>
    <x v="190"/>
    <m/>
    <s v="personal"/>
    <m/>
    <m/>
    <n v="61980.01"/>
    <m/>
    <m/>
    <m/>
    <m/>
  </r>
  <r>
    <d v="2024-06-06T00:00:00"/>
    <x v="11"/>
    <x v="1"/>
    <s v="Personal"/>
    <x v="1"/>
    <x v="249"/>
    <m/>
    <s v="Transferencia"/>
    <m/>
    <m/>
    <n v="270000"/>
    <m/>
    <m/>
    <m/>
    <m/>
  </r>
  <r>
    <d v="2024-06-06T00:00:00"/>
    <x v="11"/>
    <x v="1"/>
    <s v="pago cliente"/>
    <x v="0"/>
    <x v="6"/>
    <m/>
    <s v="tarjeta"/>
    <m/>
    <n v="230000"/>
    <m/>
    <m/>
    <m/>
    <m/>
    <m/>
  </r>
  <r>
    <d v="2024-06-06T00:00:00"/>
    <x v="11"/>
    <x v="1"/>
    <s v="Pago proveedor"/>
    <x v="0"/>
    <x v="27"/>
    <s v="Barotto Marcelo "/>
    <s v="Cheque de terceros"/>
    <m/>
    <m/>
    <n v="17700"/>
    <m/>
    <s v="X"/>
    <m/>
    <m/>
  </r>
  <r>
    <d v="2024-06-06T00:00:00"/>
    <x v="11"/>
    <x v="1"/>
    <s v="Pago proveedor"/>
    <x v="0"/>
    <x v="27"/>
    <s v="Barotto Marcelo "/>
    <s v="Cheque de terceros"/>
    <m/>
    <m/>
    <n v="250000"/>
    <m/>
    <s v="X"/>
    <m/>
    <m/>
  </r>
  <r>
    <d v="2024-06-06T00:00:00"/>
    <x v="11"/>
    <x v="1"/>
    <s v="Pago proveedor"/>
    <x v="0"/>
    <x v="27"/>
    <s v="Barotto Marcelo "/>
    <s v="Cheque de terceros"/>
    <m/>
    <m/>
    <n v="10960"/>
    <m/>
    <s v="X"/>
    <m/>
    <m/>
  </r>
  <r>
    <d v="2024-06-06T00:00:00"/>
    <x v="11"/>
    <x v="1"/>
    <s v="Personal"/>
    <x v="1"/>
    <x v="109"/>
    <m/>
    <s v="tarjeta"/>
    <m/>
    <m/>
    <n v="119576.96000000001"/>
    <m/>
    <m/>
    <m/>
    <m/>
  </r>
  <r>
    <d v="2024-06-06T00:00:00"/>
    <x v="11"/>
    <x v="1"/>
    <s v="Personal"/>
    <x v="1"/>
    <x v="108"/>
    <m/>
    <s v="tarjeta"/>
    <m/>
    <m/>
    <n v="2355.35"/>
    <m/>
    <m/>
    <m/>
    <m/>
  </r>
  <r>
    <d v="2024-06-06T00:00:00"/>
    <x v="11"/>
    <x v="1"/>
    <s v="Personal"/>
    <x v="1"/>
    <x v="107"/>
    <m/>
    <s v="tarjeta"/>
    <m/>
    <m/>
    <n v="8000"/>
    <m/>
    <m/>
    <m/>
    <m/>
  </r>
  <r>
    <d v="2024-06-06T00:00:00"/>
    <x v="11"/>
    <x v="1"/>
    <s v="pago cliente"/>
    <x v="0"/>
    <x v="343"/>
    <m/>
    <s v="Transferencia"/>
    <m/>
    <n v="190000"/>
    <m/>
    <m/>
    <m/>
    <m/>
    <m/>
  </r>
  <r>
    <d v="2024-06-06T00:00:00"/>
    <x v="11"/>
    <x v="1"/>
    <s v="pago cliente"/>
    <x v="0"/>
    <x v="344"/>
    <m/>
    <s v="tarjeta"/>
    <m/>
    <n v="160000"/>
    <m/>
    <m/>
    <m/>
    <m/>
    <m/>
  </r>
  <r>
    <d v="2024-06-07T00:00:00"/>
    <x v="11"/>
    <x v="1"/>
    <s v="pago cliente"/>
    <x v="0"/>
    <x v="345"/>
    <m/>
    <s v="Transferencia"/>
    <m/>
    <n v="278470"/>
    <m/>
    <m/>
    <m/>
    <m/>
    <m/>
  </r>
  <r>
    <d v="2024-06-07T00:00:00"/>
    <x v="11"/>
    <x v="1"/>
    <s v="Personal"/>
    <x v="1"/>
    <x v="13"/>
    <m/>
    <s v="Transferencia"/>
    <m/>
    <m/>
    <n v="386620"/>
    <m/>
    <m/>
    <m/>
    <m/>
  </r>
  <r>
    <d v="2024-06-07T00:00:00"/>
    <x v="11"/>
    <x v="1"/>
    <s v="Pago proveedor"/>
    <x v="0"/>
    <x v="27"/>
    <s v="Repuestos Serrano"/>
    <s v="Transferencia"/>
    <m/>
    <m/>
    <n v="1152000"/>
    <m/>
    <s v="X"/>
    <m/>
    <m/>
  </r>
  <r>
    <d v="2024-06-07T00:00:00"/>
    <x v="11"/>
    <x v="1"/>
    <s v="Pago cliente casual"/>
    <x v="0"/>
    <x v="346"/>
    <m/>
    <s v="Transferencia"/>
    <m/>
    <n v="40000"/>
    <m/>
    <m/>
    <m/>
    <m/>
    <m/>
  </r>
  <r>
    <d v="2024-06-07T00:00:00"/>
    <x v="11"/>
    <x v="1"/>
    <s v="pago cliente"/>
    <x v="0"/>
    <x v="347"/>
    <m/>
    <s v="tarjeta"/>
    <m/>
    <n v="397200"/>
    <m/>
    <m/>
    <m/>
    <m/>
    <m/>
  </r>
  <r>
    <d v="2024-06-07T00:00:00"/>
    <x v="11"/>
    <x v="1"/>
    <s v="Sueldo mecánicos"/>
    <x v="0"/>
    <x v="274"/>
    <m/>
    <s v="Transferencia"/>
    <m/>
    <m/>
    <n v="150000"/>
    <m/>
    <m/>
    <m/>
    <m/>
  </r>
  <r>
    <d v="2024-06-07T00:00:00"/>
    <x v="11"/>
    <x v="1"/>
    <s v="Personal"/>
    <x v="1"/>
    <x v="348"/>
    <m/>
    <s v="personal"/>
    <m/>
    <m/>
    <n v="53659.68"/>
    <m/>
    <m/>
    <m/>
    <m/>
  </r>
  <r>
    <d v="2024-06-08T00:00:00"/>
    <x v="11"/>
    <x v="1"/>
    <s v="Sueldo administrativo"/>
    <x v="0"/>
    <x v="27"/>
    <m/>
    <s v="Transferencia"/>
    <m/>
    <m/>
    <n v="116000"/>
    <m/>
    <m/>
    <m/>
    <m/>
  </r>
  <r>
    <d v="2024-06-08T00:00:00"/>
    <x v="11"/>
    <x v="1"/>
    <s v="Sueldo mecánicos"/>
    <x v="0"/>
    <x v="187"/>
    <m/>
    <s v="Transferencia"/>
    <m/>
    <m/>
    <n v="130000"/>
    <m/>
    <m/>
    <m/>
    <m/>
  </r>
  <r>
    <d v="2024-06-09T00:00:00"/>
    <x v="11"/>
    <x v="1"/>
    <s v="Personal"/>
    <x v="1"/>
    <x v="27"/>
    <m/>
    <s v="personal"/>
    <m/>
    <m/>
    <n v="70000"/>
    <m/>
    <m/>
    <m/>
    <m/>
  </r>
  <r>
    <d v="2024-06-10T00:00:00"/>
    <x v="11"/>
    <x v="1"/>
    <s v="pago cliente"/>
    <x v="0"/>
    <x v="331"/>
    <m/>
    <s v="Transferencia"/>
    <m/>
    <n v="130000"/>
    <m/>
    <m/>
    <m/>
    <m/>
    <m/>
  </r>
  <r>
    <d v="2024-06-10T00:00:00"/>
    <x v="11"/>
    <x v="1"/>
    <s v="pago cliente"/>
    <x v="0"/>
    <x v="344"/>
    <m/>
    <s v="Transferencia"/>
    <m/>
    <n v="200000"/>
    <m/>
    <m/>
    <m/>
    <m/>
    <m/>
  </r>
  <r>
    <d v="2024-06-10T00:00:00"/>
    <x v="11"/>
    <x v="1"/>
    <s v="Personal"/>
    <x v="1"/>
    <x v="349"/>
    <m/>
    <s v="personal"/>
    <m/>
    <m/>
    <n v="310000"/>
    <m/>
    <m/>
    <m/>
    <m/>
  </r>
  <r>
    <d v="2024-06-10T00:00:00"/>
    <x v="11"/>
    <x v="1"/>
    <s v="Personal"/>
    <x v="1"/>
    <x v="224"/>
    <m/>
    <s v="personal"/>
    <m/>
    <m/>
    <n v="45210"/>
    <m/>
    <m/>
    <m/>
    <m/>
  </r>
  <r>
    <d v="2024-06-11T00:00:00"/>
    <x v="11"/>
    <x v="1"/>
    <s v="Pago proveedor"/>
    <x v="0"/>
    <x v="27"/>
    <s v="TDI"/>
    <s v="Transferencia"/>
    <m/>
    <m/>
    <n v="460000"/>
    <m/>
    <s v="X"/>
    <m/>
    <m/>
  </r>
  <r>
    <d v="2024-06-11T00:00:00"/>
    <x v="11"/>
    <x v="1"/>
    <s v="Pago proveedor"/>
    <x v="0"/>
    <x v="350"/>
    <m/>
    <s v="tarjeta"/>
    <m/>
    <m/>
    <n v="72520"/>
    <m/>
    <s v="X"/>
    <m/>
    <m/>
  </r>
  <r>
    <d v="2024-06-12T00:00:00"/>
    <x v="11"/>
    <x v="1"/>
    <s v="pago cliente"/>
    <x v="0"/>
    <x v="82"/>
    <m/>
    <s v="Transferencia"/>
    <m/>
    <n v="70000"/>
    <m/>
    <m/>
    <m/>
    <m/>
    <m/>
  </r>
  <r>
    <d v="2024-06-12T00:00:00"/>
    <x v="11"/>
    <x v="1"/>
    <s v="pago cliente"/>
    <x v="0"/>
    <x v="342"/>
    <m/>
    <s v="Transferencia"/>
    <m/>
    <n v="100000"/>
    <m/>
    <m/>
    <m/>
    <m/>
    <m/>
  </r>
  <r>
    <d v="2024-06-12T00:00:00"/>
    <x v="11"/>
    <x v="1"/>
    <s v="pago cliente"/>
    <x v="0"/>
    <x v="337"/>
    <m/>
    <s v="Transferencia"/>
    <m/>
    <n v="50000"/>
    <m/>
    <m/>
    <m/>
    <m/>
    <m/>
  </r>
  <r>
    <d v="2024-06-12T00:00:00"/>
    <x v="11"/>
    <x v="1"/>
    <s v="Personal"/>
    <x v="1"/>
    <x v="339"/>
    <m/>
    <s v="personal"/>
    <m/>
    <m/>
    <n v="8660"/>
    <m/>
    <m/>
    <m/>
    <m/>
  </r>
  <r>
    <d v="2024-06-12T00:00:00"/>
    <x v="11"/>
    <x v="1"/>
    <s v="Personal"/>
    <x v="1"/>
    <x v="190"/>
    <m/>
    <s v="personal"/>
    <m/>
    <m/>
    <n v="22745"/>
    <m/>
    <m/>
    <m/>
    <m/>
  </r>
  <r>
    <d v="2024-06-14T00:00:00"/>
    <x v="11"/>
    <x v="1"/>
    <s v="pago cliente"/>
    <x v="0"/>
    <x v="281"/>
    <m/>
    <s v="tarjeta"/>
    <m/>
    <n v="180000"/>
    <m/>
    <m/>
    <m/>
    <m/>
    <m/>
  </r>
  <r>
    <d v="2024-06-14T00:00:00"/>
    <x v="11"/>
    <x v="1"/>
    <s v="pago cliente"/>
    <x v="0"/>
    <x v="6"/>
    <m/>
    <s v="tarjeta"/>
    <m/>
    <n v="36000"/>
    <m/>
    <m/>
    <m/>
    <m/>
    <m/>
  </r>
  <r>
    <d v="2024-06-14T00:00:00"/>
    <x v="11"/>
    <x v="1"/>
    <s v="Sueldo administrativo"/>
    <x v="0"/>
    <x v="27"/>
    <m/>
    <s v="Transferencia"/>
    <m/>
    <m/>
    <n v="116000"/>
    <m/>
    <m/>
    <m/>
    <m/>
  </r>
  <r>
    <d v="2024-06-14T00:00:00"/>
    <x v="11"/>
    <x v="1"/>
    <s v="Sueldo mecánicos"/>
    <x v="0"/>
    <x v="187"/>
    <m/>
    <s v="Transferencia"/>
    <m/>
    <m/>
    <n v="130000"/>
    <m/>
    <m/>
    <m/>
    <m/>
  </r>
  <r>
    <d v="2024-06-15T00:00:00"/>
    <x v="11"/>
    <x v="1"/>
    <s v="pago cliente"/>
    <x v="0"/>
    <x v="89"/>
    <m/>
    <s v="tarjeta"/>
    <m/>
    <n v="131500"/>
    <m/>
    <m/>
    <m/>
    <m/>
    <m/>
  </r>
  <r>
    <d v="2024-06-18T00:00:00"/>
    <x v="11"/>
    <x v="1"/>
    <s v="pago cliente"/>
    <x v="0"/>
    <x v="292"/>
    <m/>
    <s v="Transferencia"/>
    <m/>
    <n v="105500"/>
    <m/>
    <m/>
    <m/>
    <m/>
    <m/>
  </r>
  <r>
    <d v="2024-06-18T00:00:00"/>
    <x v="11"/>
    <x v="1"/>
    <s v="Personal"/>
    <x v="1"/>
    <x v="339"/>
    <m/>
    <s v="personal"/>
    <m/>
    <m/>
    <n v="108878.36"/>
    <m/>
    <m/>
    <m/>
    <m/>
  </r>
  <r>
    <d v="2024-06-18T00:00:00"/>
    <x v="11"/>
    <x v="1"/>
    <s v="Personal"/>
    <x v="1"/>
    <x v="223"/>
    <m/>
    <s v="personal"/>
    <m/>
    <m/>
    <n v="14460"/>
    <m/>
    <m/>
    <m/>
    <m/>
  </r>
  <r>
    <d v="2024-06-18T00:00:00"/>
    <x v="11"/>
    <x v="1"/>
    <s v="Impuestos AFIP"/>
    <x v="1"/>
    <x v="311"/>
    <m/>
    <s v="personal"/>
    <m/>
    <m/>
    <n v="98561.68"/>
    <m/>
    <m/>
    <m/>
    <m/>
  </r>
  <r>
    <d v="2024-06-19T00:00:00"/>
    <x v="11"/>
    <x v="1"/>
    <s v="pago cliente"/>
    <x v="0"/>
    <x v="71"/>
    <m/>
    <s v="Cheque de terceros"/>
    <m/>
    <n v="145600"/>
    <m/>
    <m/>
    <m/>
    <m/>
    <m/>
  </r>
  <r>
    <d v="2024-06-19T00:00:00"/>
    <x v="11"/>
    <x v="1"/>
    <s v="Pago proveedor"/>
    <x v="0"/>
    <x v="27"/>
    <s v="Rio rep"/>
    <s v="Transferencia"/>
    <m/>
    <m/>
    <n v="1151450"/>
    <m/>
    <m/>
    <m/>
    <m/>
  </r>
  <r>
    <d v="2024-06-19T00:00:00"/>
    <x v="11"/>
    <x v="1"/>
    <s v="Pago proveedor"/>
    <x v="0"/>
    <x v="27"/>
    <s v="Atilio Lucero"/>
    <s v="Transferencia"/>
    <m/>
    <m/>
    <n v="210552.8"/>
    <m/>
    <m/>
    <m/>
    <m/>
  </r>
  <r>
    <d v="2024-06-19T00:00:00"/>
    <x v="11"/>
    <x v="1"/>
    <s v="honorarios"/>
    <x v="0"/>
    <x v="152"/>
    <m/>
    <s v="Transferencia"/>
    <m/>
    <m/>
    <n v="168000"/>
    <m/>
    <m/>
    <m/>
    <m/>
  </r>
  <r>
    <d v="2024-06-20T00:00:00"/>
    <x v="11"/>
    <x v="1"/>
    <s v="Sueldo administrativo"/>
    <x v="0"/>
    <x v="27"/>
    <m/>
    <s v="Transferencia"/>
    <m/>
    <m/>
    <n v="116000"/>
    <m/>
    <m/>
    <m/>
    <m/>
  </r>
  <r>
    <d v="2024-06-21T00:00:00"/>
    <x v="11"/>
    <x v="1"/>
    <s v="Sueldo mecánicos"/>
    <x v="0"/>
    <x v="187"/>
    <m/>
    <s v="Transferencia"/>
    <m/>
    <m/>
    <n v="130000"/>
    <m/>
    <m/>
    <m/>
    <m/>
  </r>
  <r>
    <d v="2024-06-21T00:00:00"/>
    <x v="11"/>
    <x v="1"/>
    <s v="Personal"/>
    <x v="1"/>
    <x v="27"/>
    <m/>
    <s v="personal"/>
    <m/>
    <m/>
    <n v="150000"/>
    <m/>
    <m/>
    <m/>
    <m/>
  </r>
  <r>
    <d v="2024-06-22T00:00:00"/>
    <x v="11"/>
    <x v="1"/>
    <s v="pago cliente"/>
    <x v="0"/>
    <x v="143"/>
    <m/>
    <s v="Cheque de terceros"/>
    <m/>
    <n v="123400"/>
    <m/>
    <m/>
    <m/>
    <m/>
    <m/>
  </r>
  <r>
    <d v="2024-06-22T00:00:00"/>
    <x v="11"/>
    <x v="1"/>
    <s v="pago cliente"/>
    <x v="0"/>
    <x v="143"/>
    <m/>
    <s v="Cheque de terceros"/>
    <m/>
    <n v="32271.5"/>
    <m/>
    <m/>
    <m/>
    <m/>
    <m/>
  </r>
  <r>
    <d v="2024-06-22T00:00:00"/>
    <x v="11"/>
    <x v="1"/>
    <s v="combustible"/>
    <x v="1"/>
    <x v="27"/>
    <m/>
    <s v="personal"/>
    <m/>
    <m/>
    <n v="78000"/>
    <m/>
    <m/>
    <m/>
    <m/>
  </r>
  <r>
    <d v="2024-06-24T00:00:00"/>
    <x v="11"/>
    <x v="1"/>
    <s v="Pago proveedor"/>
    <x v="0"/>
    <x v="27"/>
    <s v="Barotto Marcelo "/>
    <s v="Cheque de terceros"/>
    <m/>
    <m/>
    <n v="145600"/>
    <m/>
    <m/>
    <m/>
    <m/>
  </r>
  <r>
    <d v="2024-06-24T00:00:00"/>
    <x v="11"/>
    <x v="1"/>
    <s v="Pago proveedor"/>
    <x v="0"/>
    <x v="27"/>
    <s v="Barotto Marcelo "/>
    <s v="Cheque de terceros"/>
    <m/>
    <m/>
    <n v="123400"/>
    <m/>
    <m/>
    <m/>
    <m/>
  </r>
  <r>
    <d v="2024-06-24T00:00:00"/>
    <x v="11"/>
    <x v="1"/>
    <s v="Pago proveedor"/>
    <x v="0"/>
    <x v="27"/>
    <s v="Barotto Marcelo "/>
    <s v="Cheque de terceros"/>
    <m/>
    <m/>
    <n v="32271.5"/>
    <m/>
    <m/>
    <m/>
    <m/>
  </r>
  <r>
    <d v="2024-06-24T00:00:00"/>
    <x v="11"/>
    <x v="1"/>
    <s v="Pago proveedor"/>
    <x v="0"/>
    <x v="27"/>
    <s v="Barotto Marcelo "/>
    <s v="Cheque de terceros"/>
    <m/>
    <m/>
    <n v="475536.4"/>
    <m/>
    <m/>
    <m/>
    <m/>
  </r>
  <r>
    <d v="2024-06-24T00:00:00"/>
    <x v="11"/>
    <x v="1"/>
    <s v="pago cliente"/>
    <x v="0"/>
    <x v="32"/>
    <m/>
    <s v="Transferencia"/>
    <m/>
    <n v="300000"/>
    <m/>
    <m/>
    <m/>
    <m/>
    <m/>
  </r>
  <r>
    <d v="2024-06-24T00:00:00"/>
    <x v="11"/>
    <x v="1"/>
    <s v="combustible"/>
    <x v="0"/>
    <x v="27"/>
    <m/>
    <s v="tarjeta"/>
    <m/>
    <m/>
    <n v="7000"/>
    <m/>
    <m/>
    <m/>
    <m/>
  </r>
  <r>
    <d v="2024-06-24T00:00:00"/>
    <x v="11"/>
    <x v="1"/>
    <s v="Personal"/>
    <x v="1"/>
    <x v="314"/>
    <m/>
    <s v="personal"/>
    <m/>
    <m/>
    <n v="40000"/>
    <m/>
    <m/>
    <m/>
    <m/>
  </r>
  <r>
    <d v="2024-06-24T00:00:00"/>
    <x v="11"/>
    <x v="1"/>
    <s v="Personal"/>
    <x v="1"/>
    <x v="27"/>
    <m/>
    <s v="personal"/>
    <m/>
    <m/>
    <n v="22231.5"/>
    <m/>
    <m/>
    <m/>
    <m/>
  </r>
  <r>
    <d v="2024-06-24T00:00:00"/>
    <x v="11"/>
    <x v="1"/>
    <s v="Personal"/>
    <x v="1"/>
    <x v="202"/>
    <m/>
    <s v="personal"/>
    <m/>
    <m/>
    <n v="35736.400000000001"/>
    <m/>
    <m/>
    <m/>
    <m/>
  </r>
  <r>
    <d v="2024-06-25T00:00:00"/>
    <x v="11"/>
    <x v="1"/>
    <s v="pago cliente"/>
    <x v="0"/>
    <x v="340"/>
    <m/>
    <s v="Transferencia"/>
    <m/>
    <n v="655000"/>
    <m/>
    <m/>
    <m/>
    <m/>
    <m/>
  </r>
  <r>
    <d v="2024-06-25T00:00:00"/>
    <x v="11"/>
    <x v="1"/>
    <s v="pago cliente"/>
    <x v="0"/>
    <x v="51"/>
    <m/>
    <s v="Cheque de terceros"/>
    <m/>
    <n v="365420"/>
    <m/>
    <m/>
    <m/>
    <m/>
    <m/>
  </r>
  <r>
    <d v="2024-06-25T00:00:00"/>
    <x v="11"/>
    <x v="1"/>
    <s v="pago cliente"/>
    <x v="0"/>
    <x v="51"/>
    <m/>
    <s v="Cheque de terceros"/>
    <m/>
    <n v="365420"/>
    <m/>
    <m/>
    <m/>
    <m/>
    <m/>
  </r>
  <r>
    <d v="2024-06-25T00:00:00"/>
    <x v="11"/>
    <x v="1"/>
    <s v="pago cliente"/>
    <x v="0"/>
    <x v="51"/>
    <m/>
    <s v="Cheque de terceros"/>
    <m/>
    <n v="365420"/>
    <m/>
    <m/>
    <m/>
    <m/>
    <m/>
  </r>
  <r>
    <d v="2024-06-25T00:00:00"/>
    <x v="11"/>
    <x v="1"/>
    <s v="Personal"/>
    <x v="1"/>
    <x v="27"/>
    <m/>
    <s v="personal"/>
    <m/>
    <m/>
    <n v="65000"/>
    <m/>
    <m/>
    <m/>
    <m/>
  </r>
  <r>
    <d v="2024-06-25T00:00:00"/>
    <x v="11"/>
    <x v="1"/>
    <s v="Personal"/>
    <x v="1"/>
    <x v="339"/>
    <m/>
    <s v="personal"/>
    <m/>
    <m/>
    <n v="54389.77"/>
    <m/>
    <m/>
    <m/>
    <m/>
  </r>
  <r>
    <d v="2024-06-25T00:00:00"/>
    <x v="11"/>
    <x v="1"/>
    <s v="Personal"/>
    <x v="1"/>
    <x v="339"/>
    <m/>
    <s v="personal"/>
    <m/>
    <m/>
    <n v="36914.660000000003"/>
    <m/>
    <m/>
    <m/>
    <m/>
  </r>
  <r>
    <d v="2024-06-25T00:00:00"/>
    <x v="11"/>
    <x v="1"/>
    <s v="Personal"/>
    <x v="1"/>
    <x v="213"/>
    <m/>
    <s v="personal"/>
    <m/>
    <m/>
    <n v="123529.16"/>
    <m/>
    <m/>
    <m/>
    <m/>
  </r>
  <r>
    <d v="2024-06-26T00:00:00"/>
    <x v="11"/>
    <x v="1"/>
    <s v="pago cliente"/>
    <x v="0"/>
    <x v="351"/>
    <m/>
    <s v="Transferencia"/>
    <m/>
    <n v="215500"/>
    <m/>
    <m/>
    <m/>
    <m/>
    <m/>
  </r>
  <r>
    <d v="2024-06-26T00:00:00"/>
    <x v="11"/>
    <x v="1"/>
    <s v="pago cliente"/>
    <x v="0"/>
    <x v="312"/>
    <m/>
    <s v="Transferencia"/>
    <m/>
    <n v="37000"/>
    <m/>
    <m/>
    <m/>
    <m/>
    <m/>
  </r>
  <r>
    <d v="2024-06-26T00:00:00"/>
    <x v="11"/>
    <x v="1"/>
    <s v="pago cliente"/>
    <x v="0"/>
    <x v="99"/>
    <m/>
    <s v="Cheque de terceros"/>
    <m/>
    <n v="167000"/>
    <m/>
    <m/>
    <m/>
    <m/>
    <m/>
  </r>
  <r>
    <d v="2024-06-27T00:00:00"/>
    <x v="11"/>
    <x v="1"/>
    <s v="Pago proveedor"/>
    <x v="0"/>
    <x v="27"/>
    <s v="RC Distribucion"/>
    <s v="Transferencia"/>
    <m/>
    <m/>
    <n v="457269.06"/>
    <m/>
    <m/>
    <m/>
    <m/>
  </r>
  <r>
    <d v="2024-06-27T00:00:00"/>
    <x v="11"/>
    <x v="1"/>
    <s v="Pago proveedor"/>
    <x v="0"/>
    <x v="27"/>
    <s v="Rep Center"/>
    <s v="Cheque de terceros"/>
    <m/>
    <m/>
    <n v="167000"/>
    <m/>
    <m/>
    <m/>
    <m/>
  </r>
  <r>
    <d v="2024-06-27T00:00:00"/>
    <x v="11"/>
    <x v="1"/>
    <s v="Pago proveedor"/>
    <x v="0"/>
    <x v="27"/>
    <s v="Rep Center"/>
    <s v="Cheque de terceros"/>
    <m/>
    <m/>
    <n v="365420"/>
    <m/>
    <m/>
    <m/>
    <m/>
  </r>
  <r>
    <d v="2024-06-27T00:00:00"/>
    <x v="11"/>
    <x v="1"/>
    <s v="Pago proveedor"/>
    <x v="0"/>
    <x v="285"/>
    <m/>
    <s v="Transferencia"/>
    <m/>
    <m/>
    <n v="47400"/>
    <m/>
    <m/>
    <m/>
    <m/>
  </r>
  <r>
    <d v="2024-06-27T00:00:00"/>
    <x v="11"/>
    <x v="1"/>
    <s v="Pago proveedor"/>
    <x v="0"/>
    <x v="285"/>
    <m/>
    <s v="tarjeta"/>
    <m/>
    <m/>
    <n v="1414860.75"/>
    <m/>
    <m/>
    <m/>
    <m/>
  </r>
  <r>
    <d v="2024-06-27T00:00:00"/>
    <x v="11"/>
    <x v="1"/>
    <s v="pago cliente"/>
    <x v="0"/>
    <x v="352"/>
    <m/>
    <s v="E-cheq"/>
    <m/>
    <m/>
    <n v="192900"/>
    <m/>
    <m/>
    <m/>
    <m/>
  </r>
  <r>
    <d v="2024-06-27T00:00:00"/>
    <x v="11"/>
    <x v="1"/>
    <s v="pago cliente"/>
    <x v="0"/>
    <x v="163"/>
    <m/>
    <s v="Transferencia"/>
    <m/>
    <n v="185200"/>
    <m/>
    <m/>
    <m/>
    <m/>
    <m/>
  </r>
  <r>
    <d v="2024-06-28T00:00:00"/>
    <x v="11"/>
    <x v="1"/>
    <s v="pago cliente"/>
    <x v="0"/>
    <x v="353"/>
    <m/>
    <s v="Transferencia"/>
    <m/>
    <n v="100000"/>
    <m/>
    <m/>
    <m/>
    <m/>
    <m/>
  </r>
  <r>
    <d v="2024-06-28T00:00:00"/>
    <x v="11"/>
    <x v="1"/>
    <s v="pago cliente"/>
    <x v="0"/>
    <x v="337"/>
    <m/>
    <s v="Transferencia"/>
    <m/>
    <n v="100000"/>
    <m/>
    <m/>
    <m/>
    <m/>
    <m/>
  </r>
  <r>
    <d v="2024-06-28T00:00:00"/>
    <x v="11"/>
    <x v="1"/>
    <s v="pago cliente"/>
    <x v="0"/>
    <x v="354"/>
    <m/>
    <s v="Transferencia"/>
    <m/>
    <n v="750000"/>
    <m/>
    <m/>
    <m/>
    <m/>
    <m/>
  </r>
  <r>
    <d v="2024-06-28T00:00:00"/>
    <x v="11"/>
    <x v="1"/>
    <s v="pago cliente"/>
    <x v="0"/>
    <x v="327"/>
    <m/>
    <s v="Transferencia"/>
    <m/>
    <n v="234000"/>
    <m/>
    <m/>
    <m/>
    <m/>
    <m/>
  </r>
  <r>
    <d v="2024-06-28T00:00:00"/>
    <x v="11"/>
    <x v="1"/>
    <s v="Sueldo mecánicos"/>
    <x v="0"/>
    <x v="187"/>
    <m/>
    <s v="Transferencia"/>
    <m/>
    <m/>
    <n v="130000"/>
    <m/>
    <m/>
    <m/>
    <m/>
  </r>
  <r>
    <d v="2024-06-28T00:00:00"/>
    <x v="11"/>
    <x v="1"/>
    <s v="Sueldo administrativo"/>
    <x v="0"/>
    <x v="27"/>
    <m/>
    <s v="Transferencia"/>
    <m/>
    <m/>
    <n v="116000"/>
    <m/>
    <m/>
    <m/>
    <m/>
  </r>
  <r>
    <d v="2024-06-28T00:00:00"/>
    <x v="11"/>
    <x v="1"/>
    <s v="pago cliente"/>
    <x v="0"/>
    <x v="355"/>
    <m/>
    <s v="Transferencia"/>
    <m/>
    <n v="276000"/>
    <m/>
    <m/>
    <m/>
    <m/>
    <m/>
  </r>
  <r>
    <d v="2024-06-29T00:00:00"/>
    <x v="11"/>
    <x v="1"/>
    <s v="pago cliente"/>
    <x v="0"/>
    <x v="42"/>
    <m/>
    <s v="Transferencia"/>
    <m/>
    <n v="650000"/>
    <m/>
    <m/>
    <m/>
    <m/>
    <m/>
  </r>
  <r>
    <d v="2024-07-01T00:00:00"/>
    <x v="1"/>
    <x v="1"/>
    <s v="Personal"/>
    <x v="1"/>
    <x v="356"/>
    <m/>
    <s v="personal"/>
    <m/>
    <m/>
    <n v="260000"/>
    <m/>
    <m/>
    <m/>
    <m/>
  </r>
  <r>
    <d v="2024-07-01T00:00:00"/>
    <x v="1"/>
    <x v="1"/>
    <s v="Personal"/>
    <x v="1"/>
    <x v="27"/>
    <m/>
    <s v="personal"/>
    <m/>
    <m/>
    <n v="38000"/>
    <m/>
    <m/>
    <m/>
    <m/>
  </r>
  <r>
    <d v="2024-07-01T00:00:00"/>
    <x v="1"/>
    <x v="1"/>
    <s v="Pago proveedor"/>
    <x v="0"/>
    <x v="27"/>
    <s v="Barotto Marcelo "/>
    <s v="Cheque de terceros"/>
    <m/>
    <m/>
    <n v="365420"/>
    <m/>
    <m/>
    <m/>
    <m/>
  </r>
  <r>
    <d v="2024-07-01T00:00:00"/>
    <x v="1"/>
    <x v="1"/>
    <s v="Pago proveedor"/>
    <x v="0"/>
    <x v="27"/>
    <s v="Barotto Marcelo "/>
    <s v="Cheque de terceros"/>
    <m/>
    <m/>
    <n v="365420"/>
    <m/>
    <m/>
    <m/>
    <m/>
  </r>
  <r>
    <d v="2024-07-01T00:00:00"/>
    <x v="1"/>
    <x v="1"/>
    <s v="pago cliente"/>
    <x v="0"/>
    <x v="354"/>
    <m/>
    <s v="Transferencia"/>
    <m/>
    <n v="850000"/>
    <m/>
    <m/>
    <m/>
    <m/>
    <m/>
  </r>
  <r>
    <d v="2024-07-01T00:00:00"/>
    <x v="1"/>
    <x v="1"/>
    <s v="Personal"/>
    <x v="1"/>
    <x v="27"/>
    <m/>
    <s v="personal"/>
    <m/>
    <m/>
    <n v="162000"/>
    <m/>
    <m/>
    <m/>
    <m/>
  </r>
  <r>
    <d v="2024-07-02T00:00:00"/>
    <x v="1"/>
    <x v="1"/>
    <s v="pago cliente"/>
    <x v="0"/>
    <x v="357"/>
    <m/>
    <s v="Cheque de terceros"/>
    <m/>
    <n v="153000"/>
    <m/>
    <m/>
    <m/>
    <m/>
    <m/>
  </r>
  <r>
    <d v="2024-07-02T00:00:00"/>
    <x v="1"/>
    <x v="1"/>
    <s v="pago cliente"/>
    <x v="0"/>
    <x v="53"/>
    <m/>
    <s v="Transferencia"/>
    <m/>
    <n v="399200"/>
    <m/>
    <m/>
    <m/>
    <m/>
    <m/>
  </r>
  <r>
    <d v="2024-07-02T00:00:00"/>
    <x v="1"/>
    <x v="1"/>
    <s v="pago cliente"/>
    <x v="0"/>
    <x v="358"/>
    <m/>
    <s v="Cheque de terceros"/>
    <m/>
    <n v="380000"/>
    <m/>
    <m/>
    <m/>
    <m/>
    <m/>
  </r>
  <r>
    <d v="2024-07-02T00:00:00"/>
    <x v="1"/>
    <x v="1"/>
    <s v="pago cliente"/>
    <x v="0"/>
    <x v="358"/>
    <m/>
    <s v="Cheque de terceros"/>
    <m/>
    <n v="380000"/>
    <m/>
    <m/>
    <m/>
    <m/>
    <m/>
  </r>
  <r>
    <d v="2024-07-02T00:00:00"/>
    <x v="1"/>
    <x v="1"/>
    <s v="pago cliente"/>
    <x v="0"/>
    <x v="358"/>
    <m/>
    <s v="Cheque de terceros"/>
    <m/>
    <n v="380000"/>
    <m/>
    <m/>
    <m/>
    <m/>
    <m/>
  </r>
  <r>
    <d v="2024-07-02T00:00:00"/>
    <x v="1"/>
    <x v="1"/>
    <s v="pago cliente"/>
    <x v="0"/>
    <x v="358"/>
    <m/>
    <s v="Cheque de terceros"/>
    <m/>
    <n v="379270"/>
    <m/>
    <m/>
    <m/>
    <m/>
    <m/>
  </r>
  <r>
    <d v="2024-07-02T00:00:00"/>
    <x v="1"/>
    <x v="1"/>
    <s v="pago cliente"/>
    <x v="0"/>
    <x v="135"/>
    <m/>
    <s v="Transferencia"/>
    <m/>
    <n v="82300"/>
    <m/>
    <m/>
    <m/>
    <m/>
    <m/>
  </r>
  <r>
    <d v="2024-07-02T00:00:00"/>
    <x v="1"/>
    <x v="1"/>
    <s v="pago cliente"/>
    <x v="0"/>
    <x v="359"/>
    <m/>
    <s v="Transferencia"/>
    <m/>
    <n v="384500"/>
    <m/>
    <m/>
    <m/>
    <m/>
    <m/>
  </r>
  <r>
    <d v="2024-07-02T00:00:00"/>
    <x v="1"/>
    <x v="1"/>
    <s v="Pago proveedor"/>
    <x v="0"/>
    <x v="360"/>
    <m/>
    <s v="Transferencia"/>
    <m/>
    <m/>
    <n v="2749362"/>
    <m/>
    <m/>
    <m/>
    <m/>
  </r>
  <r>
    <d v="2024-07-02T00:00:00"/>
    <x v="1"/>
    <x v="1"/>
    <s v="pago cliente"/>
    <x v="0"/>
    <x v="180"/>
    <m/>
    <s v="Cheque de terceros"/>
    <m/>
    <n v="284350"/>
    <m/>
    <m/>
    <m/>
    <m/>
    <m/>
  </r>
  <r>
    <d v="2024-07-02T00:00:00"/>
    <x v="1"/>
    <x v="1"/>
    <s v="pago cliente"/>
    <x v="0"/>
    <x v="361"/>
    <m/>
    <s v="Transferencia"/>
    <m/>
    <n v="120000"/>
    <m/>
    <m/>
    <m/>
    <m/>
    <m/>
  </r>
  <r>
    <d v="2024-07-02T00:00:00"/>
    <x v="1"/>
    <x v="1"/>
    <s v="Personal"/>
    <x v="1"/>
    <x v="348"/>
    <m/>
    <s v="personal"/>
    <m/>
    <m/>
    <n v="305916.94"/>
    <m/>
    <m/>
    <m/>
    <m/>
  </r>
  <r>
    <d v="2024-07-03T00:00:00"/>
    <x v="1"/>
    <x v="1"/>
    <s v="pago cliente"/>
    <x v="0"/>
    <x v="362"/>
    <m/>
    <s v="Transferencia"/>
    <m/>
    <n v="115000"/>
    <m/>
    <m/>
    <m/>
    <m/>
    <m/>
  </r>
  <r>
    <d v="2024-07-03T00:00:00"/>
    <x v="1"/>
    <x v="1"/>
    <s v="pago cliente"/>
    <x v="0"/>
    <x v="201"/>
    <m/>
    <s v="tarjeta"/>
    <m/>
    <n v="484500"/>
    <m/>
    <m/>
    <m/>
    <m/>
    <m/>
  </r>
  <r>
    <d v="2024-07-03T00:00:00"/>
    <x v="1"/>
    <x v="1"/>
    <s v="Personal"/>
    <x v="1"/>
    <x v="363"/>
    <m/>
    <s v="personal"/>
    <m/>
    <m/>
    <n v="277186"/>
    <m/>
    <m/>
    <m/>
    <m/>
  </r>
  <r>
    <d v="2024-07-04T00:00:00"/>
    <x v="1"/>
    <x v="1"/>
    <s v="Pago proveedor"/>
    <x v="0"/>
    <x v="27"/>
    <s v="Rio rep"/>
    <s v="Cheque de terceros"/>
    <m/>
    <m/>
    <n v="153000"/>
    <m/>
    <m/>
    <m/>
    <m/>
  </r>
  <r>
    <d v="2024-07-04T00:00:00"/>
    <x v="1"/>
    <x v="1"/>
    <s v="Pago proveedor"/>
    <x v="0"/>
    <x v="27"/>
    <s v="Rio rep"/>
    <s v="Cheque de terceros"/>
    <m/>
    <m/>
    <n v="380000"/>
    <m/>
    <m/>
    <m/>
    <m/>
  </r>
  <r>
    <d v="2024-07-04T00:00:00"/>
    <x v="1"/>
    <x v="1"/>
    <s v="Pago proveedor"/>
    <x v="0"/>
    <x v="27"/>
    <s v="Rio rep"/>
    <s v="Cheque de terceros"/>
    <m/>
    <m/>
    <n v="284350"/>
    <m/>
    <m/>
    <m/>
    <m/>
  </r>
  <r>
    <d v="2024-07-04T00:00:00"/>
    <x v="1"/>
    <x v="1"/>
    <s v="pago cliente"/>
    <x v="0"/>
    <x v="327"/>
    <m/>
    <s v="Transferencia"/>
    <m/>
    <n v="138000"/>
    <m/>
    <m/>
    <m/>
    <m/>
    <m/>
  </r>
  <r>
    <d v="2024-07-04T00:00:00"/>
    <x v="1"/>
    <x v="1"/>
    <s v="pago cliente"/>
    <x v="0"/>
    <x v="69"/>
    <m/>
    <s v="Transferencia"/>
    <m/>
    <n v="427500"/>
    <m/>
    <m/>
    <m/>
    <m/>
    <m/>
  </r>
  <r>
    <d v="2024-07-04T00:00:00"/>
    <x v="1"/>
    <x v="1"/>
    <s v="pago cliente"/>
    <x v="0"/>
    <x v="364"/>
    <m/>
    <s v="tarjeta"/>
    <m/>
    <n v="63200"/>
    <m/>
    <m/>
    <m/>
    <m/>
    <m/>
  </r>
  <r>
    <d v="2024-07-05T00:00:00"/>
    <x v="1"/>
    <x v="1"/>
    <s v="pago cliente"/>
    <x v="0"/>
    <x v="45"/>
    <m/>
    <s v="Transferencia"/>
    <m/>
    <n v="29900"/>
    <m/>
    <m/>
    <m/>
    <m/>
    <m/>
  </r>
  <r>
    <d v="2024-07-05T00:00:00"/>
    <x v="1"/>
    <x v="1"/>
    <s v="Personal"/>
    <x v="1"/>
    <x v="109"/>
    <m/>
    <s v="personal"/>
    <m/>
    <m/>
    <n v="112489.9"/>
    <m/>
    <m/>
    <m/>
    <m/>
  </r>
  <r>
    <d v="2024-07-05T00:00:00"/>
    <x v="1"/>
    <x v="1"/>
    <s v="Personal"/>
    <x v="1"/>
    <x v="108"/>
    <m/>
    <s v="personal"/>
    <m/>
    <m/>
    <n v="45203.33"/>
    <m/>
    <m/>
    <m/>
    <m/>
  </r>
  <r>
    <d v="2024-07-05T00:00:00"/>
    <x v="1"/>
    <x v="1"/>
    <s v="Personal"/>
    <x v="1"/>
    <x v="107"/>
    <m/>
    <s v="personal"/>
    <m/>
    <m/>
    <n v="19100"/>
    <m/>
    <m/>
    <m/>
    <m/>
  </r>
  <r>
    <d v="2024-07-06T00:00:00"/>
    <x v="1"/>
    <x v="1"/>
    <s v="pago cliente"/>
    <x v="0"/>
    <x v="337"/>
    <m/>
    <s v="Transferencia"/>
    <m/>
    <n v="100000"/>
    <m/>
    <m/>
    <m/>
    <m/>
    <m/>
  </r>
  <r>
    <d v="2024-07-06T00:00:00"/>
    <x v="1"/>
    <x v="1"/>
    <s v="Personal"/>
    <x v="1"/>
    <x v="27"/>
    <m/>
    <s v="personal"/>
    <m/>
    <m/>
    <n v="25000"/>
    <m/>
    <m/>
    <m/>
    <m/>
  </r>
  <r>
    <d v="2024-07-06T00:00:00"/>
    <x v="1"/>
    <x v="1"/>
    <s v="Sueldo mecánicos"/>
    <x v="0"/>
    <x v="365"/>
    <m/>
    <s v="Transferencia"/>
    <m/>
    <m/>
    <n v="260000"/>
    <m/>
    <m/>
    <m/>
    <m/>
  </r>
  <r>
    <d v="2024-07-06T00:00:00"/>
    <x v="1"/>
    <x v="1"/>
    <s v="Sueldo administrativo"/>
    <x v="0"/>
    <x v="366"/>
    <m/>
    <s v="Transferencia"/>
    <m/>
    <m/>
    <n v="124000"/>
    <m/>
    <m/>
    <m/>
    <m/>
  </r>
  <r>
    <d v="2024-07-06T00:00:00"/>
    <x v="1"/>
    <x v="1"/>
    <s v="Personal"/>
    <x v="1"/>
    <x v="190"/>
    <m/>
    <s v="personal"/>
    <m/>
    <m/>
    <n v="148255"/>
    <m/>
    <m/>
    <m/>
    <m/>
  </r>
  <r>
    <d v="2024-07-08T00:00:00"/>
    <x v="1"/>
    <x v="1"/>
    <s v="pago cliente"/>
    <x v="0"/>
    <x v="123"/>
    <m/>
    <s v="Transferencia"/>
    <m/>
    <n v="127000"/>
    <m/>
    <m/>
    <m/>
    <m/>
    <m/>
  </r>
  <r>
    <d v="2024-07-08T00:00:00"/>
    <x v="1"/>
    <x v="1"/>
    <s v="pago cliente"/>
    <x v="0"/>
    <x v="51"/>
    <m/>
    <s v="Cheque de terceros"/>
    <m/>
    <n v="358640"/>
    <m/>
    <m/>
    <m/>
    <m/>
    <m/>
  </r>
  <r>
    <d v="2024-07-08T00:00:00"/>
    <x v="1"/>
    <x v="1"/>
    <s v="pago cliente"/>
    <x v="0"/>
    <x v="51"/>
    <m/>
    <s v="Cheque de terceros"/>
    <m/>
    <n v="358640"/>
    <m/>
    <m/>
    <m/>
    <m/>
    <m/>
  </r>
  <r>
    <d v="2024-07-08T00:00:00"/>
    <x v="1"/>
    <x v="1"/>
    <s v="pago cliente"/>
    <x v="0"/>
    <x v="51"/>
    <m/>
    <s v="Cheque de terceros"/>
    <m/>
    <n v="358640"/>
    <m/>
    <m/>
    <m/>
    <m/>
    <m/>
  </r>
  <r>
    <d v="2024-07-08T00:00:00"/>
    <x v="1"/>
    <x v="1"/>
    <s v="Personal"/>
    <x v="1"/>
    <x v="367"/>
    <m/>
    <s v="personal"/>
    <m/>
    <m/>
    <n v="235474"/>
    <m/>
    <m/>
    <m/>
    <m/>
  </r>
  <r>
    <d v="2024-07-10T00:00:00"/>
    <x v="1"/>
    <x v="1"/>
    <s v="pago cliente"/>
    <x v="0"/>
    <x v="166"/>
    <m/>
    <s v="tarjeta"/>
    <m/>
    <n v="187475"/>
    <m/>
    <m/>
    <m/>
    <m/>
    <m/>
  </r>
  <r>
    <d v="2024-07-10T00:00:00"/>
    <x v="1"/>
    <x v="1"/>
    <s v="pago cliente"/>
    <x v="0"/>
    <x v="368"/>
    <m/>
    <s v="Transferencia"/>
    <m/>
    <n v="45000"/>
    <m/>
    <m/>
    <m/>
    <m/>
    <m/>
  </r>
  <r>
    <d v="2024-07-10T00:00:00"/>
    <x v="1"/>
    <x v="1"/>
    <s v="Personal"/>
    <x v="1"/>
    <x v="369"/>
    <m/>
    <s v="personal"/>
    <m/>
    <m/>
    <n v="44550"/>
    <m/>
    <m/>
    <m/>
    <m/>
  </r>
  <r>
    <d v="2024-07-11T00:00:00"/>
    <x v="1"/>
    <x v="1"/>
    <s v="Personal"/>
    <x v="1"/>
    <x v="249"/>
    <m/>
    <s v="Transferencia"/>
    <m/>
    <m/>
    <n v="285950"/>
    <m/>
    <m/>
    <m/>
    <m/>
  </r>
  <r>
    <d v="2024-07-11T00:00:00"/>
    <x v="1"/>
    <x v="1"/>
    <s v="Personal"/>
    <x v="1"/>
    <x v="13"/>
    <m/>
    <s v="Transferencia"/>
    <m/>
    <m/>
    <n v="410167"/>
    <m/>
    <m/>
    <m/>
    <m/>
  </r>
  <r>
    <d v="2024-07-11T00:00:00"/>
    <x v="1"/>
    <x v="1"/>
    <s v="pago cliente"/>
    <x v="0"/>
    <x v="105"/>
    <m/>
    <s v="Transferencia"/>
    <m/>
    <n v="62600"/>
    <m/>
    <m/>
    <m/>
    <m/>
    <m/>
  </r>
  <r>
    <d v="2024-07-11T00:00:00"/>
    <x v="1"/>
    <x v="1"/>
    <s v="Personal"/>
    <x v="1"/>
    <x v="27"/>
    <m/>
    <s v="personal"/>
    <m/>
    <m/>
    <n v="70000"/>
    <m/>
    <m/>
    <m/>
    <m/>
  </r>
  <r>
    <d v="2024-07-11T00:00:00"/>
    <x v="1"/>
    <x v="1"/>
    <s v="pago cliente"/>
    <x v="0"/>
    <x v="354"/>
    <m/>
    <s v="Cheque de terceros"/>
    <m/>
    <n v="363761.02"/>
    <m/>
    <m/>
    <m/>
    <m/>
    <m/>
  </r>
  <r>
    <d v="2024-07-11T00:00:00"/>
    <x v="1"/>
    <x v="1"/>
    <s v="pago cliente"/>
    <x v="0"/>
    <x v="354"/>
    <m/>
    <s v="Cheque de terceros"/>
    <m/>
    <n v="363761.02"/>
    <m/>
    <m/>
    <m/>
    <m/>
    <m/>
  </r>
  <r>
    <d v="2024-07-12T00:00:00"/>
    <x v="1"/>
    <x v="1"/>
    <s v="pago cliente"/>
    <x v="0"/>
    <x v="50"/>
    <m/>
    <s v="E-cheq"/>
    <m/>
    <n v="1376357"/>
    <m/>
    <m/>
    <m/>
    <m/>
    <m/>
  </r>
  <r>
    <d v="2024-07-12T00:00:00"/>
    <x v="1"/>
    <x v="1"/>
    <s v="pago cliente"/>
    <x v="0"/>
    <x v="263"/>
    <m/>
    <s v="Cheque de terceros"/>
    <m/>
    <n v="415930"/>
    <m/>
    <m/>
    <m/>
    <m/>
    <m/>
  </r>
  <r>
    <d v="2024-07-12T00:00:00"/>
    <x v="1"/>
    <x v="1"/>
    <s v="honorarios"/>
    <x v="0"/>
    <x v="152"/>
    <m/>
    <s v="Transferencia"/>
    <m/>
    <m/>
    <n v="191000"/>
    <m/>
    <m/>
    <m/>
    <m/>
  </r>
  <r>
    <d v="2024-07-12T00:00:00"/>
    <x v="1"/>
    <x v="1"/>
    <s v="pago cliente"/>
    <x v="0"/>
    <x v="364"/>
    <m/>
    <s v="Transferencia"/>
    <m/>
    <n v="63200"/>
    <m/>
    <m/>
    <m/>
    <m/>
    <m/>
  </r>
  <r>
    <d v="2024-07-12T00:00:00"/>
    <x v="1"/>
    <x v="1"/>
    <s v="Personal"/>
    <x v="1"/>
    <x v="137"/>
    <m/>
    <s v="personal"/>
    <m/>
    <m/>
    <n v="96000"/>
    <m/>
    <m/>
    <m/>
    <m/>
  </r>
  <r>
    <d v="2024-07-12T00:00:00"/>
    <x v="1"/>
    <x v="1"/>
    <s v="Sueldo administrativo"/>
    <x v="0"/>
    <x v="27"/>
    <m/>
    <s v="Transferencia"/>
    <m/>
    <m/>
    <n v="116000"/>
    <m/>
    <m/>
    <m/>
    <m/>
  </r>
  <r>
    <d v="2024-07-12T00:00:00"/>
    <x v="1"/>
    <x v="1"/>
    <s v="pago cliente"/>
    <x v="0"/>
    <x v="370"/>
    <m/>
    <s v="Transferencia"/>
    <m/>
    <n v="277000"/>
    <m/>
    <m/>
    <m/>
    <m/>
    <m/>
  </r>
  <r>
    <d v="2024-07-15T00:00:00"/>
    <x v="1"/>
    <x v="1"/>
    <s v="pago cliente"/>
    <x v="0"/>
    <x v="362"/>
    <m/>
    <s v="Transferencia"/>
    <m/>
    <n v="118700"/>
    <m/>
    <m/>
    <m/>
    <m/>
    <m/>
  </r>
  <r>
    <d v="2024-07-15T00:00:00"/>
    <x v="1"/>
    <x v="1"/>
    <s v="honorarios"/>
    <x v="0"/>
    <x v="283"/>
    <m/>
    <s v="Transferencia"/>
    <m/>
    <m/>
    <n v="96000"/>
    <m/>
    <m/>
    <m/>
    <m/>
  </r>
  <r>
    <d v="2024-07-15T00:00:00"/>
    <x v="1"/>
    <x v="1"/>
    <s v="pago cliente"/>
    <x v="0"/>
    <x v="204"/>
    <m/>
    <s v="Transferencia"/>
    <m/>
    <n v="150000"/>
    <m/>
    <m/>
    <m/>
    <m/>
    <m/>
  </r>
  <r>
    <d v="2024-07-15T00:00:00"/>
    <x v="1"/>
    <x v="1"/>
    <s v="pago cliente"/>
    <x v="0"/>
    <x v="371"/>
    <m/>
    <s v="Cheque de terceros"/>
    <m/>
    <n v="530000"/>
    <m/>
    <m/>
    <m/>
    <m/>
    <m/>
  </r>
  <r>
    <d v="2024-07-16T00:00:00"/>
    <x v="1"/>
    <x v="1"/>
    <s v="Pago proveedor"/>
    <x v="0"/>
    <x v="27"/>
    <s v="Repuestos Serrano"/>
    <s v="Transferencia"/>
    <m/>
    <m/>
    <n v="461391.2"/>
    <m/>
    <m/>
    <m/>
    <m/>
  </r>
  <r>
    <d v="2024-07-16T00:00:00"/>
    <x v="1"/>
    <x v="1"/>
    <s v="Pago proveedor"/>
    <x v="0"/>
    <x v="27"/>
    <s v="Barotto Marcelo "/>
    <s v="Cheque de terceros"/>
    <m/>
    <m/>
    <n v="530000"/>
    <m/>
    <m/>
    <m/>
    <m/>
  </r>
  <r>
    <d v="2024-07-16T00:00:00"/>
    <x v="1"/>
    <x v="1"/>
    <s v="Impuestos AFIP"/>
    <x v="1"/>
    <x v="311"/>
    <m/>
    <s v="personal"/>
    <m/>
    <m/>
    <n v="159561.62"/>
    <m/>
    <m/>
    <m/>
    <m/>
  </r>
  <r>
    <d v="2024-07-16T00:00:00"/>
    <x v="1"/>
    <x v="1"/>
    <s v="pago cliente"/>
    <x v="0"/>
    <x v="340"/>
    <m/>
    <s v="Transferencia"/>
    <m/>
    <n v="400000"/>
    <m/>
    <m/>
    <m/>
    <m/>
    <m/>
  </r>
  <r>
    <d v="2024-07-17T00:00:00"/>
    <x v="1"/>
    <x v="1"/>
    <s v="pago cliente"/>
    <x v="0"/>
    <x v="8"/>
    <m/>
    <s v="Cheque de terceros"/>
    <m/>
    <n v="540000"/>
    <m/>
    <m/>
    <m/>
    <m/>
    <m/>
  </r>
  <r>
    <d v="2024-07-17T00:00:00"/>
    <x v="1"/>
    <x v="1"/>
    <s v="Herramientas / bienes de uso"/>
    <x v="0"/>
    <x v="372"/>
    <m/>
    <s v="tarjeta"/>
    <m/>
    <m/>
    <n v="1500000"/>
    <m/>
    <m/>
    <m/>
    <m/>
  </r>
  <r>
    <d v="2024-07-18T00:00:00"/>
    <x v="1"/>
    <x v="1"/>
    <s v="Pago proveedor"/>
    <x v="0"/>
    <x v="27"/>
    <s v="Aldo repuestos"/>
    <s v="Transferencia"/>
    <m/>
    <m/>
    <n v="173200"/>
    <m/>
    <m/>
    <m/>
    <m/>
  </r>
  <r>
    <d v="2024-07-18T00:00:00"/>
    <x v="1"/>
    <x v="1"/>
    <s v="pago cliente"/>
    <x v="0"/>
    <x v="170"/>
    <m/>
    <s v="Transferencia"/>
    <m/>
    <n v="234680"/>
    <m/>
    <m/>
    <m/>
    <m/>
    <m/>
  </r>
  <r>
    <d v="2024-07-18T00:00:00"/>
    <x v="1"/>
    <x v="1"/>
    <s v="pago cliente"/>
    <x v="0"/>
    <x v="373"/>
    <m/>
    <s v="tarjeta"/>
    <m/>
    <n v="340000"/>
    <m/>
    <m/>
    <m/>
    <m/>
    <m/>
  </r>
  <r>
    <d v="2024-07-20T00:00:00"/>
    <x v="1"/>
    <x v="1"/>
    <s v="Sueldo administrativo"/>
    <x v="0"/>
    <x v="27"/>
    <m/>
    <s v="Transferencia"/>
    <m/>
    <m/>
    <n v="116000"/>
    <m/>
    <m/>
    <m/>
    <m/>
  </r>
  <r>
    <d v="2024-07-21T00:00:00"/>
    <x v="1"/>
    <x v="1"/>
    <s v="Personal"/>
    <x v="1"/>
    <x v="132"/>
    <m/>
    <s v="personal"/>
    <m/>
    <m/>
    <n v="93000"/>
    <m/>
    <m/>
    <m/>
    <m/>
  </r>
  <r>
    <d v="2024-07-22T00:00:00"/>
    <x v="1"/>
    <x v="1"/>
    <s v="pago cliente"/>
    <x v="0"/>
    <x v="204"/>
    <m/>
    <s v="Transferencia"/>
    <m/>
    <n v="50000"/>
    <m/>
    <m/>
    <m/>
    <m/>
    <m/>
  </r>
  <r>
    <d v="2024-07-22T00:00:00"/>
    <x v="1"/>
    <x v="1"/>
    <s v="monotributo"/>
    <x v="1"/>
    <x v="202"/>
    <m/>
    <s v="personal"/>
    <m/>
    <m/>
    <n v="33736"/>
    <m/>
    <m/>
    <m/>
    <m/>
  </r>
  <r>
    <d v="2024-07-23T00:00:00"/>
    <x v="1"/>
    <x v="1"/>
    <s v="pago cliente"/>
    <x v="0"/>
    <x v="374"/>
    <m/>
    <s v="tarjeta"/>
    <m/>
    <n v="570600"/>
    <m/>
    <m/>
    <m/>
    <m/>
    <m/>
  </r>
  <r>
    <d v="2024-07-23T00:00:00"/>
    <x v="1"/>
    <x v="1"/>
    <s v="Personal"/>
    <x v="1"/>
    <x v="27"/>
    <m/>
    <s v="personal"/>
    <m/>
    <m/>
    <n v="16000"/>
    <m/>
    <m/>
    <m/>
    <m/>
  </r>
  <r>
    <d v="2024-07-23T00:00:00"/>
    <x v="1"/>
    <x v="1"/>
    <s v="Pago proveedor"/>
    <x v="0"/>
    <x v="27"/>
    <s v="Rio rep"/>
    <s v="E-cheq"/>
    <m/>
    <m/>
    <n v="680000"/>
    <m/>
    <m/>
    <m/>
    <m/>
  </r>
  <r>
    <d v="2024-07-23T00:00:00"/>
    <x v="1"/>
    <x v="1"/>
    <s v="pago cliente"/>
    <x v="0"/>
    <x v="375"/>
    <m/>
    <s v="Transferencia"/>
    <m/>
    <n v="121000"/>
    <m/>
    <m/>
    <m/>
    <m/>
    <m/>
  </r>
  <r>
    <d v="2024-07-24T00:00:00"/>
    <x v="1"/>
    <x v="1"/>
    <s v="pago cliente"/>
    <x v="0"/>
    <x v="376"/>
    <m/>
    <s v="E-cheq"/>
    <m/>
    <n v="596300"/>
    <m/>
    <m/>
    <m/>
    <m/>
    <m/>
  </r>
  <r>
    <d v="2024-07-25T00:00:00"/>
    <x v="1"/>
    <x v="1"/>
    <s v="pago cliente"/>
    <x v="0"/>
    <x v="155"/>
    <m/>
    <s v="tarjeta"/>
    <m/>
    <n v="110000"/>
    <m/>
    <m/>
    <m/>
    <m/>
    <m/>
  </r>
  <r>
    <d v="2024-07-25T00:00:00"/>
    <x v="1"/>
    <x v="1"/>
    <s v="pago cliente"/>
    <x v="0"/>
    <x v="69"/>
    <m/>
    <s v="Transferencia"/>
    <m/>
    <n v="245900"/>
    <m/>
    <m/>
    <m/>
    <m/>
    <m/>
  </r>
  <r>
    <d v="2024-07-25T00:00:00"/>
    <x v="1"/>
    <x v="1"/>
    <s v="Pago cliente casual"/>
    <x v="0"/>
    <x v="27"/>
    <m/>
    <s v="Transferencia"/>
    <m/>
    <n v="73100"/>
    <m/>
    <m/>
    <m/>
    <m/>
    <m/>
  </r>
  <r>
    <d v="2024-07-26T00:00:00"/>
    <x v="1"/>
    <x v="1"/>
    <s v="pago cliente"/>
    <x v="0"/>
    <x v="377"/>
    <m/>
    <s v="Transferencia"/>
    <m/>
    <n v="188680"/>
    <m/>
    <m/>
    <m/>
    <m/>
    <m/>
  </r>
  <r>
    <d v="2024-07-26T00:00:00"/>
    <x v="1"/>
    <x v="1"/>
    <s v="pago cliente"/>
    <x v="0"/>
    <x v="378"/>
    <m/>
    <s v="Transferencia"/>
    <m/>
    <n v="41900"/>
    <m/>
    <m/>
    <m/>
    <m/>
    <m/>
  </r>
  <r>
    <d v="2024-07-26T00:00:00"/>
    <x v="1"/>
    <x v="1"/>
    <s v="Personal"/>
    <x v="1"/>
    <x v="27"/>
    <m/>
    <s v="personal"/>
    <m/>
    <m/>
    <n v="200000"/>
    <m/>
    <m/>
    <m/>
    <m/>
  </r>
  <r>
    <d v="2024-07-27T00:00:00"/>
    <x v="1"/>
    <x v="1"/>
    <s v="Pago proveedor"/>
    <x v="0"/>
    <x v="27"/>
    <s v="Barotto Marcelo "/>
    <s v="Cheque de terceros"/>
    <m/>
    <m/>
    <n v="379270"/>
    <m/>
    <m/>
    <m/>
    <m/>
  </r>
  <r>
    <d v="2024-07-27T00:00:00"/>
    <x v="1"/>
    <x v="1"/>
    <s v="Pago proveedor"/>
    <x v="0"/>
    <x v="27"/>
    <s v="Barotto Marcelo "/>
    <s v="Cheque de terceros"/>
    <m/>
    <m/>
    <n v="358640"/>
    <m/>
    <m/>
    <m/>
    <m/>
  </r>
  <r>
    <d v="2024-07-27T00:00:00"/>
    <x v="1"/>
    <x v="1"/>
    <s v="Pago proveedor"/>
    <x v="0"/>
    <x v="27"/>
    <s v="Barotto Marcelo "/>
    <s v="Cheque de terceros"/>
    <m/>
    <m/>
    <n v="358640"/>
    <m/>
    <m/>
    <m/>
    <m/>
  </r>
  <r>
    <d v="2024-07-27T00:00:00"/>
    <x v="1"/>
    <x v="1"/>
    <s v="Pago proveedor"/>
    <x v="0"/>
    <x v="27"/>
    <s v="Barotto Marcelo "/>
    <s v="Cheque de terceros"/>
    <m/>
    <m/>
    <n v="358640"/>
    <m/>
    <m/>
    <m/>
    <m/>
  </r>
  <r>
    <d v="2024-07-27T00:00:00"/>
    <x v="1"/>
    <x v="1"/>
    <s v="Pago proveedor"/>
    <x v="0"/>
    <x v="27"/>
    <s v="Barotto Marcelo "/>
    <s v="Cheque de terceros"/>
    <m/>
    <m/>
    <n v="363761.02"/>
    <m/>
    <m/>
    <m/>
    <m/>
  </r>
  <r>
    <d v="2024-07-27T00:00:00"/>
    <x v="1"/>
    <x v="1"/>
    <s v="Pago proveedor"/>
    <x v="0"/>
    <x v="27"/>
    <s v="Barotto Marcelo "/>
    <s v="Cheque de terceros"/>
    <m/>
    <m/>
    <n v="363761.02"/>
    <m/>
    <m/>
    <m/>
    <m/>
  </r>
  <r>
    <d v="2024-07-27T00:00:00"/>
    <x v="1"/>
    <x v="1"/>
    <s v="Pago proveedor"/>
    <x v="0"/>
    <x v="27"/>
    <s v="Barotto Marcelo "/>
    <s v="Cheque de terceros"/>
    <m/>
    <m/>
    <n v="415930"/>
    <m/>
    <m/>
    <m/>
    <m/>
  </r>
  <r>
    <d v="2024-07-27T00:00:00"/>
    <x v="1"/>
    <x v="1"/>
    <s v="Pago proveedor"/>
    <x v="0"/>
    <x v="27"/>
    <s v="Barotto Marcelo "/>
    <s v="Cheque de terceros"/>
    <m/>
    <m/>
    <n v="540000"/>
    <m/>
    <m/>
    <m/>
    <m/>
  </r>
  <r>
    <d v="2024-07-29T00:00:00"/>
    <x v="1"/>
    <x v="1"/>
    <s v="pago cliente"/>
    <x v="0"/>
    <x v="310"/>
    <m/>
    <s v="Transferencia"/>
    <m/>
    <n v="100000"/>
    <m/>
    <m/>
    <m/>
    <m/>
    <m/>
  </r>
  <r>
    <d v="2024-07-29T00:00:00"/>
    <x v="1"/>
    <x v="1"/>
    <s v="Pago proveedor"/>
    <x v="0"/>
    <x v="314"/>
    <m/>
    <s v="Transferencia"/>
    <m/>
    <m/>
    <n v="20000"/>
    <m/>
    <m/>
    <m/>
    <m/>
  </r>
  <r>
    <d v="2024-07-29T00:00:00"/>
    <x v="1"/>
    <x v="1"/>
    <s v="Personal"/>
    <x v="1"/>
    <x v="27"/>
    <m/>
    <s v="personal"/>
    <m/>
    <m/>
    <n v="180000"/>
    <m/>
    <m/>
    <m/>
    <m/>
  </r>
  <r>
    <d v="2024-07-29T00:00:00"/>
    <x v="1"/>
    <x v="1"/>
    <s v="Personal"/>
    <x v="1"/>
    <x v="367"/>
    <m/>
    <s v="personal"/>
    <m/>
    <m/>
    <n v="120361"/>
    <m/>
    <m/>
    <m/>
    <m/>
  </r>
  <r>
    <d v="2024-07-30T00:00:00"/>
    <x v="1"/>
    <x v="1"/>
    <s v="Pago proveedor"/>
    <x v="0"/>
    <x v="27"/>
    <s v="Rio rep"/>
    <s v="Transferencia"/>
    <m/>
    <m/>
    <n v="190907"/>
    <m/>
    <m/>
    <m/>
    <m/>
  </r>
  <r>
    <d v="2024-07-30T00:00:00"/>
    <x v="1"/>
    <x v="1"/>
    <s v="pago cliente"/>
    <x v="0"/>
    <x v="379"/>
    <m/>
    <s v="Transferencia"/>
    <m/>
    <n v="83600"/>
    <m/>
    <m/>
    <m/>
    <m/>
    <m/>
  </r>
  <r>
    <d v="2024-07-30T00:00:00"/>
    <x v="1"/>
    <x v="1"/>
    <s v="pago cliente"/>
    <x v="0"/>
    <x v="27"/>
    <m/>
    <s v="Transferencia"/>
    <m/>
    <n v="210300"/>
    <m/>
    <m/>
    <m/>
    <m/>
    <m/>
  </r>
  <r>
    <d v="2024-07-30T00:00:00"/>
    <x v="1"/>
    <x v="1"/>
    <s v="pago cliente"/>
    <x v="0"/>
    <x v="316"/>
    <m/>
    <s v="Transferencia"/>
    <m/>
    <n v="86000"/>
    <m/>
    <m/>
    <m/>
    <m/>
    <m/>
  </r>
  <r>
    <d v="2024-07-31T00:00:00"/>
    <x v="1"/>
    <x v="1"/>
    <s v="pago cliente"/>
    <x v="0"/>
    <x v="288"/>
    <m/>
    <s v="tarjeta"/>
    <m/>
    <n v="365155"/>
    <m/>
    <m/>
    <m/>
    <m/>
    <m/>
  </r>
  <r>
    <d v="2024-07-31T00:00:00"/>
    <x v="1"/>
    <x v="1"/>
    <s v="pago cliente"/>
    <x v="0"/>
    <x v="6"/>
    <m/>
    <s v="tarjeta"/>
    <m/>
    <n v="89000"/>
    <m/>
    <m/>
    <m/>
    <m/>
    <m/>
  </r>
  <r>
    <d v="2024-07-31T00:00:00"/>
    <x v="1"/>
    <x v="1"/>
    <s v="pago cliente"/>
    <x v="0"/>
    <x v="327"/>
    <m/>
    <s v="Transferencia"/>
    <m/>
    <n v="200000"/>
    <m/>
    <m/>
    <m/>
    <m/>
    <m/>
  </r>
  <r>
    <d v="2024-07-31T00:00:00"/>
    <x v="1"/>
    <x v="1"/>
    <s v="Pago proveedor"/>
    <x v="0"/>
    <x v="308"/>
    <m/>
    <s v="Transferencia"/>
    <m/>
    <m/>
    <n v="211000"/>
    <m/>
    <m/>
    <m/>
    <m/>
  </r>
  <r>
    <d v="2024-07-31T00:00:00"/>
    <x v="1"/>
    <x v="1"/>
    <s v="pago cliente"/>
    <x v="0"/>
    <x v="146"/>
    <m/>
    <s v="Cheque de terceros"/>
    <m/>
    <n v="250000"/>
    <m/>
    <m/>
    <m/>
    <m/>
    <m/>
  </r>
  <r>
    <d v="2024-07-31T00:00:00"/>
    <x v="1"/>
    <x v="1"/>
    <s v="pago cliente"/>
    <x v="0"/>
    <x v="380"/>
    <m/>
    <s v="Transferencia"/>
    <m/>
    <n v="75500"/>
    <m/>
    <m/>
    <m/>
    <m/>
    <m/>
  </r>
  <r>
    <d v="2024-07-31T00:00:00"/>
    <x v="1"/>
    <x v="1"/>
    <s v="pago cliente"/>
    <x v="0"/>
    <x v="337"/>
    <m/>
    <s v="Transferencia"/>
    <m/>
    <n v="87000"/>
    <m/>
    <m/>
    <m/>
    <m/>
    <m/>
  </r>
  <r>
    <d v="2024-07-31T00:00:00"/>
    <x v="1"/>
    <x v="1"/>
    <s v="pago cliente"/>
    <x v="0"/>
    <x v="381"/>
    <m/>
    <s v="Transferencia"/>
    <m/>
    <n v="105000"/>
    <m/>
    <m/>
    <m/>
    <m/>
    <m/>
  </r>
  <r>
    <d v="2024-08-01T00:00:00"/>
    <x v="2"/>
    <x v="1"/>
    <s v="Pago proveedor"/>
    <x v="0"/>
    <x v="27"/>
    <s v="Rio rep"/>
    <s v="Cheque de terceros"/>
    <m/>
    <m/>
    <n v="250000"/>
    <m/>
    <m/>
    <m/>
    <m/>
  </r>
  <r>
    <d v="2024-08-01T00:00:00"/>
    <x v="2"/>
    <x v="1"/>
    <s v="pago cliente"/>
    <x v="0"/>
    <x v="382"/>
    <m/>
    <s v="Transferencia"/>
    <m/>
    <n v="300000"/>
    <m/>
    <m/>
    <m/>
    <m/>
    <m/>
  </r>
  <r>
    <d v="2024-08-02T00:00:00"/>
    <x v="2"/>
    <x v="1"/>
    <s v="Sueldo administrativo"/>
    <x v="0"/>
    <x v="27"/>
    <m/>
    <s v="Transferencia"/>
    <m/>
    <m/>
    <n v="125000"/>
    <m/>
    <m/>
    <m/>
    <m/>
  </r>
  <r>
    <d v="2024-08-02T00:00:00"/>
    <x v="2"/>
    <x v="1"/>
    <s v="Herramientas / bienes de uso"/>
    <x v="0"/>
    <x v="383"/>
    <m/>
    <s v="Transferencia"/>
    <m/>
    <m/>
    <n v="70000"/>
    <m/>
    <m/>
    <m/>
    <m/>
  </r>
  <r>
    <d v="2024-08-02T00:00:00"/>
    <x v="2"/>
    <x v="1"/>
    <s v="Personal"/>
    <x v="1"/>
    <x v="283"/>
    <m/>
    <s v="personal"/>
    <m/>
    <m/>
    <n v="55000"/>
    <m/>
    <m/>
    <m/>
    <m/>
  </r>
  <r>
    <d v="2024-08-02T00:00:00"/>
    <x v="2"/>
    <x v="1"/>
    <s v="pago cliente"/>
    <x v="0"/>
    <x v="182"/>
    <m/>
    <s v="Transferencia"/>
    <m/>
    <n v="184480"/>
    <m/>
    <m/>
    <m/>
    <m/>
    <m/>
  </r>
  <r>
    <d v="2024-08-02T00:00:00"/>
    <x v="2"/>
    <x v="1"/>
    <s v="Personal"/>
    <x v="1"/>
    <x v="384"/>
    <m/>
    <s v="personal"/>
    <m/>
    <m/>
    <n v="833776"/>
    <m/>
    <m/>
    <m/>
    <m/>
  </r>
  <r>
    <d v="2024-08-03T00:00:00"/>
    <x v="2"/>
    <x v="1"/>
    <s v="honorarios"/>
    <x v="0"/>
    <x v="152"/>
    <m/>
    <s v="Transferencia"/>
    <m/>
    <m/>
    <n v="200000"/>
    <m/>
    <m/>
    <m/>
    <m/>
  </r>
  <r>
    <d v="2024-08-05T00:00:00"/>
    <x v="2"/>
    <x v="1"/>
    <s v="pago cliente"/>
    <x v="0"/>
    <x v="112"/>
    <m/>
    <s v="Cheque de terceros"/>
    <m/>
    <n v="481025.49"/>
    <m/>
    <m/>
    <m/>
    <m/>
    <m/>
  </r>
  <r>
    <d v="2024-08-05T00:00:00"/>
    <x v="2"/>
    <x v="1"/>
    <s v="pago cliente"/>
    <x v="0"/>
    <x v="112"/>
    <m/>
    <s v="Cheque de terceros"/>
    <m/>
    <n v="40000.01"/>
    <m/>
    <m/>
    <m/>
    <m/>
    <m/>
  </r>
  <r>
    <d v="2024-08-05T00:00:00"/>
    <x v="2"/>
    <x v="1"/>
    <s v="pago cliente"/>
    <x v="0"/>
    <x v="385"/>
    <m/>
    <s v="Transferencia"/>
    <m/>
    <n v="374200"/>
    <m/>
    <m/>
    <m/>
    <m/>
    <m/>
  </r>
  <r>
    <d v="2024-08-05T00:00:00"/>
    <x v="2"/>
    <x v="1"/>
    <s v="Personal"/>
    <x v="1"/>
    <x v="107"/>
    <m/>
    <s v="personal"/>
    <m/>
    <m/>
    <n v="20535.810000000001"/>
    <m/>
    <m/>
    <m/>
    <m/>
  </r>
  <r>
    <d v="2024-08-05T00:00:00"/>
    <x v="2"/>
    <x v="1"/>
    <s v="Personal"/>
    <x v="1"/>
    <x v="108"/>
    <m/>
    <s v="personal"/>
    <m/>
    <m/>
    <n v="46005.33"/>
    <m/>
    <m/>
    <m/>
    <m/>
  </r>
  <r>
    <d v="2024-08-05T00:00:00"/>
    <x v="2"/>
    <x v="1"/>
    <s v="Personal"/>
    <x v="1"/>
    <x v="109"/>
    <m/>
    <s v="personal"/>
    <m/>
    <m/>
    <n v="140005.26"/>
    <m/>
    <m/>
    <m/>
    <m/>
  </r>
  <r>
    <d v="2024-08-05T00:00:00"/>
    <x v="2"/>
    <x v="1"/>
    <s v="Personal"/>
    <x v="1"/>
    <x v="190"/>
    <m/>
    <s v="personal"/>
    <m/>
    <m/>
    <n v="61912"/>
    <m/>
    <m/>
    <m/>
    <m/>
  </r>
  <r>
    <d v="2024-08-05T00:00:00"/>
    <x v="2"/>
    <x v="1"/>
    <s v="Personal"/>
    <x v="1"/>
    <x v="190"/>
    <m/>
    <s v="personal"/>
    <m/>
    <m/>
    <n v="69680"/>
    <m/>
    <m/>
    <m/>
    <m/>
  </r>
  <r>
    <d v="2024-08-06T00:00:00"/>
    <x v="2"/>
    <x v="1"/>
    <s v="pago cliente"/>
    <x v="0"/>
    <x v="386"/>
    <m/>
    <s v="Transferencia"/>
    <m/>
    <n v="367300"/>
    <m/>
    <m/>
    <m/>
    <m/>
    <m/>
  </r>
  <r>
    <d v="2024-08-06T00:00:00"/>
    <x v="2"/>
    <x v="1"/>
    <s v="Pago proveedor"/>
    <x v="0"/>
    <x v="27"/>
    <s v="Atilio Lucero"/>
    <s v="Transferencia"/>
    <m/>
    <m/>
    <n v="872460.05"/>
    <m/>
    <m/>
    <m/>
    <m/>
  </r>
  <r>
    <d v="2024-08-06T00:00:00"/>
    <x v="2"/>
    <x v="1"/>
    <s v="Pago proveedor"/>
    <x v="0"/>
    <x v="387"/>
    <m/>
    <s v="Transferencia"/>
    <m/>
    <n v="196000"/>
    <m/>
    <m/>
    <m/>
    <m/>
    <m/>
  </r>
  <r>
    <d v="2024-08-06T00:00:00"/>
    <x v="2"/>
    <x v="1"/>
    <s v="pago cliente"/>
    <x v="0"/>
    <x v="340"/>
    <m/>
    <s v="Transferencia"/>
    <m/>
    <n v="400000"/>
    <m/>
    <m/>
    <m/>
    <m/>
    <m/>
  </r>
  <r>
    <d v="2024-08-06T00:00:00"/>
    <x v="2"/>
    <x v="1"/>
    <s v="pago cliente"/>
    <x v="0"/>
    <x v="334"/>
    <m/>
    <s v="tarjeta"/>
    <m/>
    <n v="251000"/>
    <m/>
    <m/>
    <m/>
    <m/>
    <m/>
  </r>
  <r>
    <d v="2024-08-06T00:00:00"/>
    <x v="2"/>
    <x v="1"/>
    <s v="Personal"/>
    <x v="1"/>
    <x v="249"/>
    <m/>
    <s v="personal"/>
    <m/>
    <m/>
    <n v="348100"/>
    <m/>
    <m/>
    <m/>
    <m/>
  </r>
  <r>
    <d v="2024-08-07T00:00:00"/>
    <x v="2"/>
    <x v="1"/>
    <s v="Gastos generales"/>
    <x v="0"/>
    <x v="388"/>
    <m/>
    <s v="Transferencia"/>
    <m/>
    <m/>
    <n v="23400"/>
    <m/>
    <m/>
    <m/>
    <m/>
  </r>
  <r>
    <d v="2024-08-07T00:00:00"/>
    <x v="2"/>
    <x v="1"/>
    <s v="Personal"/>
    <x v="1"/>
    <x v="27"/>
    <m/>
    <s v="personal"/>
    <m/>
    <m/>
    <n v="55000"/>
    <m/>
    <m/>
    <m/>
    <m/>
  </r>
  <r>
    <d v="2024-08-07T00:00:00"/>
    <x v="2"/>
    <x v="1"/>
    <s v="Pago proveedor"/>
    <x v="0"/>
    <x v="314"/>
    <m/>
    <s v="Transferencia"/>
    <m/>
    <m/>
    <n v="4000"/>
    <m/>
    <m/>
    <m/>
    <m/>
  </r>
  <r>
    <d v="2024-08-07T00:00:00"/>
    <x v="2"/>
    <x v="1"/>
    <s v="Personal"/>
    <x v="1"/>
    <x v="27"/>
    <m/>
    <s v="personal"/>
    <m/>
    <m/>
    <n v="65000"/>
    <m/>
    <m/>
    <m/>
    <m/>
  </r>
  <r>
    <d v="2024-08-07T00:00:00"/>
    <x v="2"/>
    <x v="1"/>
    <s v="Personal"/>
    <x v="1"/>
    <x v="339"/>
    <m/>
    <s v="personal"/>
    <m/>
    <m/>
    <n v="69532"/>
    <m/>
    <m/>
    <m/>
    <m/>
  </r>
  <r>
    <d v="2024-08-08T00:00:00"/>
    <x v="2"/>
    <x v="1"/>
    <s v="Pago proveedor"/>
    <x v="0"/>
    <x v="27"/>
    <s v="Rep Center"/>
    <s v="Cheque de terceros"/>
    <m/>
    <m/>
    <n v="481024.49"/>
    <m/>
    <m/>
    <m/>
    <m/>
  </r>
  <r>
    <d v="2024-08-08T00:00:00"/>
    <x v="2"/>
    <x v="1"/>
    <s v="Personal"/>
    <x v="1"/>
    <x v="27"/>
    <m/>
    <s v="personal"/>
    <m/>
    <m/>
    <n v="28000"/>
    <m/>
    <m/>
    <m/>
    <m/>
  </r>
  <r>
    <d v="2024-08-09T00:00:00"/>
    <x v="2"/>
    <x v="1"/>
    <s v="pago cliente"/>
    <x v="0"/>
    <x v="389"/>
    <m/>
    <s v="tarjeta"/>
    <m/>
    <n v="122800"/>
    <m/>
    <m/>
    <m/>
    <m/>
    <m/>
  </r>
  <r>
    <d v="2024-08-09T00:00:00"/>
    <x v="2"/>
    <x v="1"/>
    <s v="pago cliente"/>
    <x v="0"/>
    <x v="390"/>
    <m/>
    <s v="Transferencia"/>
    <m/>
    <n v="197000"/>
    <m/>
    <m/>
    <m/>
    <m/>
    <m/>
  </r>
  <r>
    <d v="2024-08-09T00:00:00"/>
    <x v="2"/>
    <x v="1"/>
    <s v="Sueldo administrativo"/>
    <x v="0"/>
    <x v="27"/>
    <m/>
    <s v="Transferencia"/>
    <m/>
    <m/>
    <n v="125000"/>
    <m/>
    <m/>
    <m/>
    <m/>
  </r>
  <r>
    <d v="2024-08-09T00:00:00"/>
    <x v="2"/>
    <x v="1"/>
    <s v="Pago proveedor"/>
    <x v="0"/>
    <x v="27"/>
    <s v="TDI"/>
    <s v="Cheque de terceros"/>
    <m/>
    <m/>
    <n v="40000"/>
    <m/>
    <m/>
    <m/>
    <m/>
  </r>
  <r>
    <d v="2024-08-09T00:00:00"/>
    <x v="2"/>
    <x v="1"/>
    <s v="Personal"/>
    <x v="1"/>
    <x v="384"/>
    <m/>
    <s v="personal"/>
    <m/>
    <m/>
    <n v="475819"/>
    <m/>
    <m/>
    <m/>
    <m/>
  </r>
  <r>
    <d v="2024-08-12T00:00:00"/>
    <x v="2"/>
    <x v="1"/>
    <s v="pago cliente"/>
    <x v="0"/>
    <x v="391"/>
    <m/>
    <s v="Transferencia"/>
    <m/>
    <n v="368500"/>
    <m/>
    <m/>
    <m/>
    <m/>
    <m/>
  </r>
  <r>
    <d v="2024-08-12T00:00:00"/>
    <x v="2"/>
    <x v="1"/>
    <s v="Personal"/>
    <x v="1"/>
    <x v="384"/>
    <m/>
    <s v="personal"/>
    <m/>
    <m/>
    <n v="476000"/>
    <m/>
    <m/>
    <m/>
    <m/>
  </r>
  <r>
    <d v="2024-08-12T00:00:00"/>
    <x v="2"/>
    <x v="1"/>
    <s v="pago cliente"/>
    <x v="0"/>
    <x v="392"/>
    <m/>
    <s v="Cheque de terceros"/>
    <m/>
    <n v="700000"/>
    <m/>
    <m/>
    <m/>
    <m/>
    <m/>
  </r>
  <r>
    <d v="2024-08-12T00:00:00"/>
    <x v="2"/>
    <x v="1"/>
    <s v="Personal"/>
    <x v="1"/>
    <x v="190"/>
    <m/>
    <s v="personal"/>
    <m/>
    <m/>
    <n v="25600"/>
    <m/>
    <m/>
    <m/>
    <m/>
  </r>
  <r>
    <d v="2024-08-12T00:00:00"/>
    <x v="2"/>
    <x v="1"/>
    <s v="Personal"/>
    <x v="1"/>
    <x v="339"/>
    <m/>
    <s v="personal"/>
    <m/>
    <m/>
    <n v="8660"/>
    <m/>
    <m/>
    <m/>
    <m/>
  </r>
  <r>
    <d v="2024-08-13T00:00:00"/>
    <x v="2"/>
    <x v="1"/>
    <s v="pago cliente"/>
    <x v="0"/>
    <x v="32"/>
    <m/>
    <s v="Transferencia"/>
    <m/>
    <n v="316940"/>
    <m/>
    <m/>
    <m/>
    <m/>
    <m/>
  </r>
  <r>
    <d v="2024-08-13T00:00:00"/>
    <x v="2"/>
    <x v="1"/>
    <s v="Pago proveedor"/>
    <x v="0"/>
    <x v="393"/>
    <m/>
    <s v="Transferencia"/>
    <m/>
    <m/>
    <n v="805300"/>
    <m/>
    <m/>
    <m/>
    <m/>
  </r>
  <r>
    <d v="2024-08-13T00:00:00"/>
    <x v="2"/>
    <x v="1"/>
    <s v="Pago proveedor"/>
    <x v="0"/>
    <x v="394"/>
    <m/>
    <s v="Cheque de terceros"/>
    <m/>
    <m/>
    <n v="700000"/>
    <m/>
    <m/>
    <m/>
    <m/>
  </r>
  <r>
    <d v="2024-08-13T00:00:00"/>
    <x v="2"/>
    <x v="1"/>
    <s v="Personal"/>
    <x v="1"/>
    <x v="369"/>
    <m/>
    <s v="personal"/>
    <m/>
    <m/>
    <n v="61050"/>
    <m/>
    <m/>
    <m/>
    <m/>
  </r>
  <r>
    <d v="2024-08-14T00:00:00"/>
    <x v="2"/>
    <x v="1"/>
    <s v="pago cliente"/>
    <x v="0"/>
    <x v="138"/>
    <m/>
    <s v="Transferencia"/>
    <m/>
    <n v="100000"/>
    <m/>
    <m/>
    <m/>
    <m/>
    <m/>
  </r>
  <r>
    <d v="2024-08-14T00:00:00"/>
    <x v="2"/>
    <x v="1"/>
    <s v="Personal"/>
    <x v="1"/>
    <x v="384"/>
    <m/>
    <s v="personal"/>
    <m/>
    <m/>
    <n v="32500"/>
    <m/>
    <m/>
    <m/>
    <m/>
  </r>
  <r>
    <d v="2024-08-15T00:00:00"/>
    <x v="2"/>
    <x v="1"/>
    <s v="Personal"/>
    <x v="1"/>
    <x v="13"/>
    <m/>
    <s v="personal"/>
    <m/>
    <m/>
    <n v="416000"/>
    <m/>
    <m/>
    <m/>
    <m/>
  </r>
  <r>
    <d v="2024-08-15T00:00:00"/>
    <x v="2"/>
    <x v="1"/>
    <s v="Personal"/>
    <x v="0"/>
    <x v="249"/>
    <m/>
    <s v="personal"/>
    <m/>
    <m/>
    <n v="320000"/>
    <m/>
    <m/>
    <m/>
    <m/>
  </r>
  <r>
    <d v="2024-08-15T00:00:00"/>
    <x v="2"/>
    <x v="1"/>
    <s v="Gastos generales"/>
    <x v="0"/>
    <x v="284"/>
    <m/>
    <s v="Transferencia"/>
    <m/>
    <m/>
    <n v="123700"/>
    <m/>
    <m/>
    <m/>
    <m/>
  </r>
  <r>
    <d v="2024-08-15T00:00:00"/>
    <x v="2"/>
    <x v="1"/>
    <s v="pago cliente"/>
    <x v="0"/>
    <x v="219"/>
    <m/>
    <s v="tarjeta"/>
    <m/>
    <n v="301000"/>
    <m/>
    <m/>
    <m/>
    <m/>
    <m/>
  </r>
  <r>
    <d v="2024-08-15T00:00:00"/>
    <x v="2"/>
    <x v="1"/>
    <s v="Personal"/>
    <x v="1"/>
    <x v="395"/>
    <m/>
    <s v="personal"/>
    <m/>
    <m/>
    <n v="320000"/>
    <m/>
    <m/>
    <m/>
    <m/>
  </r>
  <r>
    <d v="2024-08-16T00:00:00"/>
    <x v="2"/>
    <x v="1"/>
    <s v="pago cliente"/>
    <x v="0"/>
    <x v="396"/>
    <m/>
    <s v="tarjeta"/>
    <m/>
    <n v="1180000"/>
    <m/>
    <m/>
    <m/>
    <m/>
    <m/>
  </r>
  <r>
    <d v="2024-08-16T00:00:00"/>
    <x v="2"/>
    <x v="1"/>
    <s v="Pago proveedor"/>
    <x v="0"/>
    <x v="314"/>
    <m/>
    <s v="Transferencia"/>
    <m/>
    <m/>
    <n v="40000"/>
    <m/>
    <m/>
    <m/>
    <m/>
  </r>
  <r>
    <d v="2024-08-16T00:00:00"/>
    <x v="2"/>
    <x v="1"/>
    <s v="pago cliente"/>
    <x v="0"/>
    <x v="397"/>
    <m/>
    <s v="Transferencia"/>
    <m/>
    <n v="190000"/>
    <m/>
    <m/>
    <m/>
    <m/>
    <m/>
  </r>
  <r>
    <d v="2024-08-16T00:00:00"/>
    <x v="2"/>
    <x v="1"/>
    <s v="Sueldo administrativo"/>
    <x v="0"/>
    <x v="27"/>
    <m/>
    <s v="Transferencia"/>
    <m/>
    <m/>
    <n v="125000"/>
    <m/>
    <m/>
    <m/>
    <m/>
  </r>
  <r>
    <d v="2024-08-16T00:00:00"/>
    <x v="2"/>
    <x v="1"/>
    <s v="pago cliente"/>
    <x v="0"/>
    <x v="162"/>
    <m/>
    <s v="Transferencia"/>
    <m/>
    <n v="196000"/>
    <m/>
    <m/>
    <m/>
    <m/>
    <m/>
  </r>
  <r>
    <d v="2024-08-16T00:00:00"/>
    <x v="2"/>
    <x v="1"/>
    <s v="pago cliente"/>
    <x v="0"/>
    <x v="398"/>
    <m/>
    <s v="tarjeta"/>
    <m/>
    <n v="320000"/>
    <m/>
    <m/>
    <m/>
    <m/>
    <m/>
  </r>
  <r>
    <d v="2024-08-16T00:00:00"/>
    <x v="2"/>
    <x v="1"/>
    <s v="Impuestos AFIP"/>
    <x v="1"/>
    <x v="311"/>
    <m/>
    <s v="personal"/>
    <m/>
    <m/>
    <n v="269962"/>
    <m/>
    <m/>
    <m/>
    <m/>
  </r>
  <r>
    <d v="2024-08-17T00:00:00"/>
    <x v="2"/>
    <x v="1"/>
    <s v="pago cliente"/>
    <x v="0"/>
    <x v="281"/>
    <m/>
    <s v="tarjeta"/>
    <m/>
    <n v="580000"/>
    <m/>
    <m/>
    <m/>
    <m/>
    <m/>
  </r>
  <r>
    <d v="2024-08-17T00:00:00"/>
    <x v="2"/>
    <x v="1"/>
    <s v="Personal"/>
    <x v="1"/>
    <x v="27"/>
    <m/>
    <s v="personal"/>
    <m/>
    <m/>
    <n v="30000"/>
    <m/>
    <m/>
    <m/>
    <m/>
  </r>
  <r>
    <d v="2024-08-18T00:00:00"/>
    <x v="2"/>
    <x v="1"/>
    <s v="pago cliente"/>
    <x v="0"/>
    <x v="204"/>
    <m/>
    <s v="Transferencia"/>
    <m/>
    <n v="112000"/>
    <m/>
    <m/>
    <m/>
    <m/>
    <m/>
  </r>
  <r>
    <d v="2024-08-19T00:00:00"/>
    <x v="2"/>
    <x v="1"/>
    <s v="pago cliente"/>
    <x v="0"/>
    <x v="399"/>
    <m/>
    <s v="Cheque de terceros"/>
    <m/>
    <n v="350000"/>
    <m/>
    <m/>
    <m/>
    <m/>
    <m/>
  </r>
  <r>
    <d v="2024-08-19T00:00:00"/>
    <x v="2"/>
    <x v="1"/>
    <s v="pago cliente"/>
    <x v="0"/>
    <x v="400"/>
    <m/>
    <s v="Transferencia"/>
    <m/>
    <n v="25000"/>
    <m/>
    <m/>
    <m/>
    <m/>
    <m/>
  </r>
  <r>
    <d v="2024-08-19T00:00:00"/>
    <x v="2"/>
    <x v="1"/>
    <s v="pago cliente"/>
    <x v="0"/>
    <x v="74"/>
    <m/>
    <s v="Transferencia"/>
    <m/>
    <n v="100000"/>
    <m/>
    <m/>
    <m/>
    <m/>
    <m/>
  </r>
  <r>
    <d v="2024-08-20T00:00:00"/>
    <x v="2"/>
    <x v="1"/>
    <s v="Personal"/>
    <x v="1"/>
    <x v="27"/>
    <m/>
    <s v="personal"/>
    <m/>
    <m/>
    <n v="105500"/>
    <m/>
    <m/>
    <m/>
    <m/>
  </r>
  <r>
    <d v="2024-08-20T00:00:00"/>
    <x v="2"/>
    <x v="1"/>
    <s v="pago cliente"/>
    <x v="0"/>
    <x v="401"/>
    <m/>
    <s v="Transferencia"/>
    <m/>
    <n v="100000"/>
    <m/>
    <m/>
    <m/>
    <m/>
    <m/>
  </r>
  <r>
    <d v="2024-08-20T00:00:00"/>
    <x v="2"/>
    <x v="1"/>
    <s v="Pago proveedor"/>
    <x v="0"/>
    <x v="402"/>
    <m/>
    <s v="Transferencia"/>
    <m/>
    <m/>
    <n v="80000"/>
    <m/>
    <m/>
    <m/>
    <m/>
  </r>
  <r>
    <d v="2024-08-20T00:00:00"/>
    <x v="2"/>
    <x v="1"/>
    <s v="Personal"/>
    <x v="1"/>
    <x v="27"/>
    <m/>
    <s v="personal"/>
    <m/>
    <m/>
    <n v="22000"/>
    <m/>
    <m/>
    <m/>
    <m/>
  </r>
  <r>
    <d v="2024-08-20T00:00:00"/>
    <x v="2"/>
    <x v="1"/>
    <s v="Personal"/>
    <x v="1"/>
    <x v="339"/>
    <m/>
    <s v="personal"/>
    <m/>
    <m/>
    <n v="220558"/>
    <m/>
    <m/>
    <m/>
    <m/>
  </r>
  <r>
    <d v="2024-08-21T00:00:00"/>
    <x v="2"/>
    <x v="1"/>
    <s v="pago cliente"/>
    <x v="0"/>
    <x v="403"/>
    <m/>
    <s v="Transferencia"/>
    <m/>
    <n v="193000"/>
    <m/>
    <m/>
    <m/>
    <m/>
    <m/>
  </r>
  <r>
    <d v="2024-08-22T00:00:00"/>
    <x v="2"/>
    <x v="1"/>
    <s v="pago cliente"/>
    <x v="0"/>
    <x v="180"/>
    <m/>
    <s v="Cheque de terceros"/>
    <m/>
    <n v="134000"/>
    <m/>
    <m/>
    <m/>
    <m/>
    <m/>
  </r>
  <r>
    <d v="2024-08-22T00:00:00"/>
    <x v="2"/>
    <x v="1"/>
    <s v="pago cliente"/>
    <x v="0"/>
    <x v="51"/>
    <m/>
    <s v="Cheque de terceros"/>
    <m/>
    <n v="389076.67"/>
    <m/>
    <m/>
    <m/>
    <m/>
    <m/>
  </r>
  <r>
    <d v="2024-08-22T00:00:00"/>
    <x v="2"/>
    <x v="1"/>
    <s v="pago cliente"/>
    <x v="0"/>
    <x v="51"/>
    <m/>
    <s v="Cheque de terceros"/>
    <m/>
    <n v="389076.67"/>
    <m/>
    <m/>
    <m/>
    <m/>
    <m/>
  </r>
  <r>
    <d v="2024-08-22T00:00:00"/>
    <x v="2"/>
    <x v="1"/>
    <s v="pago cliente"/>
    <x v="0"/>
    <x v="51"/>
    <m/>
    <s v="Cheque de terceros"/>
    <m/>
    <n v="389076.67"/>
    <m/>
    <m/>
    <m/>
    <m/>
    <m/>
  </r>
  <r>
    <d v="2024-08-22T00:00:00"/>
    <x v="2"/>
    <x v="1"/>
    <s v="pago cliente"/>
    <x v="0"/>
    <x v="358"/>
    <m/>
    <s v="Cheque de terceros"/>
    <m/>
    <n v="244000"/>
    <m/>
    <m/>
    <m/>
    <m/>
    <m/>
  </r>
  <r>
    <d v="2024-08-22T00:00:00"/>
    <x v="2"/>
    <x v="1"/>
    <s v="pago cliente"/>
    <x v="0"/>
    <x v="358"/>
    <m/>
    <s v="Cheque de terceros"/>
    <m/>
    <n v="244150"/>
    <m/>
    <m/>
    <m/>
    <m/>
    <m/>
  </r>
  <r>
    <d v="2024-08-22T00:00:00"/>
    <x v="2"/>
    <x v="1"/>
    <s v="Pago proveedor"/>
    <x v="0"/>
    <x v="27"/>
    <s v="Barotto Marcelo "/>
    <s v="Cheque de terceros"/>
    <m/>
    <m/>
    <n v="134000"/>
    <m/>
    <m/>
    <m/>
    <m/>
  </r>
  <r>
    <d v="2024-08-22T00:00:00"/>
    <x v="2"/>
    <x v="1"/>
    <s v="Pago proveedor"/>
    <x v="0"/>
    <x v="27"/>
    <s v="Barotto Marcelo "/>
    <s v="Cheque de terceros"/>
    <m/>
    <m/>
    <n v="389076.67"/>
    <m/>
    <m/>
    <m/>
    <m/>
  </r>
  <r>
    <d v="2024-08-22T00:00:00"/>
    <x v="2"/>
    <x v="1"/>
    <s v="Pago proveedor"/>
    <x v="0"/>
    <x v="27"/>
    <s v="Barotto Marcelo "/>
    <s v="Cheque de terceros"/>
    <m/>
    <m/>
    <n v="389076.67"/>
    <m/>
    <m/>
    <m/>
    <m/>
  </r>
  <r>
    <d v="2024-08-22T00:00:00"/>
    <x v="2"/>
    <x v="1"/>
    <s v="Pago proveedor"/>
    <x v="0"/>
    <x v="27"/>
    <s v="Barotto Marcelo "/>
    <s v="Cheque de terceros"/>
    <m/>
    <m/>
    <n v="389076.67"/>
    <m/>
    <m/>
    <m/>
    <m/>
  </r>
  <r>
    <d v="2024-08-22T00:00:00"/>
    <x v="2"/>
    <x v="1"/>
    <s v="Pago proveedor"/>
    <x v="0"/>
    <x v="27"/>
    <s v="Barotto Marcelo "/>
    <s v="Cheque de terceros"/>
    <m/>
    <m/>
    <n v="244000"/>
    <m/>
    <m/>
    <m/>
    <m/>
  </r>
  <r>
    <d v="2024-08-22T00:00:00"/>
    <x v="2"/>
    <x v="1"/>
    <s v="Pago proveedor"/>
    <x v="0"/>
    <x v="27"/>
    <s v="Barotto Marcelo "/>
    <s v="Cheque de terceros"/>
    <m/>
    <m/>
    <n v="244150"/>
    <m/>
    <m/>
    <m/>
    <m/>
  </r>
  <r>
    <d v="2024-08-22T00:00:00"/>
    <x v="2"/>
    <x v="1"/>
    <s v="Pago proveedor"/>
    <x v="0"/>
    <x v="27"/>
    <s v="Barotto Marcelo "/>
    <s v="Cheque de terceros"/>
    <m/>
    <m/>
    <n v="350000"/>
    <m/>
    <m/>
    <m/>
    <m/>
  </r>
  <r>
    <d v="2024-08-22T00:00:00"/>
    <x v="2"/>
    <x v="1"/>
    <s v="Pago proveedor"/>
    <x v="0"/>
    <x v="360"/>
    <m/>
    <s v="Transferencia"/>
    <m/>
    <m/>
    <n v="1621300"/>
    <m/>
    <m/>
    <m/>
    <m/>
  </r>
  <r>
    <d v="2024-08-22T00:00:00"/>
    <x v="2"/>
    <x v="1"/>
    <s v="pago cliente"/>
    <x v="0"/>
    <x v="404"/>
    <m/>
    <s v="tarjeta"/>
    <m/>
    <n v="244850"/>
    <m/>
    <m/>
    <m/>
    <m/>
    <m/>
  </r>
  <r>
    <d v="2024-08-23T00:00:00"/>
    <x v="2"/>
    <x v="1"/>
    <s v="pago cliente"/>
    <x v="0"/>
    <x v="318"/>
    <m/>
    <s v="Transferencia"/>
    <m/>
    <n v="53700"/>
    <m/>
    <m/>
    <m/>
    <m/>
    <m/>
  </r>
  <r>
    <d v="2024-08-23T00:00:00"/>
    <x v="2"/>
    <x v="1"/>
    <s v="pago cliente"/>
    <x v="0"/>
    <x v="404"/>
    <m/>
    <s v="tarjeta"/>
    <m/>
    <n v="244850"/>
    <m/>
    <m/>
    <m/>
    <m/>
    <m/>
  </r>
  <r>
    <d v="2024-08-23T00:00:00"/>
    <x v="2"/>
    <x v="1"/>
    <s v="Sueldo administrativo"/>
    <x v="0"/>
    <x v="27"/>
    <m/>
    <s v="Transferencia"/>
    <m/>
    <m/>
    <n v="125000"/>
    <m/>
    <m/>
    <m/>
    <m/>
  </r>
  <r>
    <d v="2024-08-24T00:00:00"/>
    <x v="2"/>
    <x v="1"/>
    <s v="pago cliente"/>
    <x v="0"/>
    <x v="310"/>
    <m/>
    <s v="Cheque de terceros"/>
    <m/>
    <n v="104186.51"/>
    <m/>
    <m/>
    <m/>
    <m/>
    <m/>
  </r>
  <r>
    <d v="2024-08-24T00:00:00"/>
    <x v="2"/>
    <x v="1"/>
    <s v="pago cliente"/>
    <x v="0"/>
    <x v="310"/>
    <m/>
    <s v="Cheque de terceros"/>
    <m/>
    <n v="558269.75"/>
    <m/>
    <m/>
    <m/>
    <m/>
    <m/>
  </r>
  <r>
    <d v="2024-08-24T00:00:00"/>
    <x v="2"/>
    <x v="1"/>
    <s v="Personal"/>
    <x v="1"/>
    <x v="27"/>
    <m/>
    <s v="personal"/>
    <m/>
    <m/>
    <n v="115000"/>
    <m/>
    <m/>
    <m/>
    <m/>
  </r>
  <r>
    <d v="2024-08-26T00:00:00"/>
    <x v="2"/>
    <x v="1"/>
    <s v="pago cliente"/>
    <x v="0"/>
    <x v="329"/>
    <m/>
    <s v="Transferencia"/>
    <m/>
    <n v="189000"/>
    <m/>
    <m/>
    <m/>
    <m/>
    <m/>
  </r>
  <r>
    <d v="2024-08-26T00:00:00"/>
    <x v="2"/>
    <x v="1"/>
    <s v="Pago proveedor"/>
    <x v="0"/>
    <x v="27"/>
    <s v="Repuestos Serrano"/>
    <s v="Transferencia"/>
    <m/>
    <m/>
    <n v="651656.12"/>
    <m/>
    <m/>
    <m/>
    <m/>
  </r>
  <r>
    <d v="2024-08-26T00:00:00"/>
    <x v="2"/>
    <x v="1"/>
    <s v="Pago proveedor"/>
    <x v="0"/>
    <x v="308"/>
    <m/>
    <s v="Transferencia"/>
    <m/>
    <m/>
    <n v="125000"/>
    <m/>
    <m/>
    <m/>
    <m/>
  </r>
  <r>
    <d v="2024-08-26T00:00:00"/>
    <x v="2"/>
    <x v="1"/>
    <s v="pago cliente"/>
    <x v="0"/>
    <x v="201"/>
    <m/>
    <s v="Transferencia"/>
    <m/>
    <n v="158000"/>
    <m/>
    <m/>
    <m/>
    <m/>
    <m/>
  </r>
  <r>
    <d v="2024-08-26T00:00:00"/>
    <x v="2"/>
    <x v="1"/>
    <s v="pago cliente"/>
    <x v="0"/>
    <x v="142"/>
    <m/>
    <s v="Transferencia"/>
    <m/>
    <n v="269500"/>
    <m/>
    <m/>
    <m/>
    <m/>
    <m/>
  </r>
  <r>
    <d v="2024-08-26T00:00:00"/>
    <x v="2"/>
    <x v="1"/>
    <s v="pago cliente"/>
    <x v="0"/>
    <x v="405"/>
    <m/>
    <s v="Transferencia"/>
    <m/>
    <n v="289500"/>
    <m/>
    <m/>
    <m/>
    <m/>
    <m/>
  </r>
  <r>
    <d v="2024-08-27T00:00:00"/>
    <x v="2"/>
    <x v="1"/>
    <s v="Pago proveedor"/>
    <x v="0"/>
    <x v="360"/>
    <m/>
    <s v="Transferencia"/>
    <m/>
    <m/>
    <n v="1787100"/>
    <m/>
    <m/>
    <m/>
    <m/>
  </r>
  <r>
    <d v="2024-08-27T00:00:00"/>
    <x v="2"/>
    <x v="1"/>
    <s v="Personal"/>
    <x v="1"/>
    <x v="27"/>
    <m/>
    <s v="personal"/>
    <m/>
    <m/>
    <n v="43000"/>
    <m/>
    <m/>
    <m/>
    <m/>
  </r>
  <r>
    <d v="2024-08-28T00:00:00"/>
    <x v="2"/>
    <x v="1"/>
    <s v="pago cliente"/>
    <x v="0"/>
    <x v="257"/>
    <m/>
    <s v="Transferencia"/>
    <m/>
    <n v="229000"/>
    <m/>
    <m/>
    <m/>
    <m/>
    <m/>
  </r>
  <r>
    <d v="2024-08-28T00:00:00"/>
    <x v="2"/>
    <x v="1"/>
    <s v="Personal"/>
    <x v="1"/>
    <x v="27"/>
    <m/>
    <s v="personal"/>
    <m/>
    <m/>
    <n v="68000"/>
    <m/>
    <m/>
    <m/>
    <m/>
  </r>
  <r>
    <d v="2024-08-28T00:00:00"/>
    <x v="2"/>
    <x v="1"/>
    <s v="pago cliente"/>
    <x v="0"/>
    <x v="406"/>
    <m/>
    <s v="Transferencia"/>
    <m/>
    <n v="50000"/>
    <m/>
    <m/>
    <m/>
    <m/>
    <m/>
  </r>
  <r>
    <d v="2024-08-28T00:00:00"/>
    <x v="2"/>
    <x v="1"/>
    <s v="Personal"/>
    <x v="1"/>
    <x v="27"/>
    <m/>
    <s v="personal"/>
    <m/>
    <m/>
    <n v="180000"/>
    <m/>
    <m/>
    <m/>
    <m/>
  </r>
  <r>
    <d v="2024-08-29T00:00:00"/>
    <x v="2"/>
    <x v="1"/>
    <s v="Personal"/>
    <x v="1"/>
    <x v="395"/>
    <m/>
    <s v="personal"/>
    <m/>
    <m/>
    <n v="186540"/>
    <m/>
    <m/>
    <m/>
    <m/>
  </r>
  <r>
    <d v="2024-08-29T00:00:00"/>
    <x v="2"/>
    <x v="1"/>
    <s v="Pago proveedor"/>
    <x v="0"/>
    <x v="27"/>
    <s v="Atilio Lucero"/>
    <s v="Transferencia"/>
    <m/>
    <m/>
    <n v="44448.94"/>
    <m/>
    <m/>
    <m/>
    <m/>
  </r>
  <r>
    <d v="2024-08-30T00:00:00"/>
    <x v="2"/>
    <x v="1"/>
    <s v="pago cliente"/>
    <x v="0"/>
    <x v="50"/>
    <m/>
    <s v="E-cheq"/>
    <m/>
    <n v="311500"/>
    <m/>
    <m/>
    <m/>
    <m/>
    <m/>
  </r>
  <r>
    <d v="2024-08-30T00:00:00"/>
    <x v="2"/>
    <x v="1"/>
    <s v="Personal"/>
    <x v="1"/>
    <x v="395"/>
    <m/>
    <s v="personal"/>
    <m/>
    <m/>
    <n v="300000"/>
    <m/>
    <m/>
    <m/>
    <m/>
  </r>
  <r>
    <d v="2024-08-30T00:00:00"/>
    <x v="2"/>
    <x v="1"/>
    <s v="Pago proveedor"/>
    <x v="0"/>
    <x v="407"/>
    <m/>
    <s v="Transferencia"/>
    <m/>
    <m/>
    <n v="651470.18000000005"/>
    <m/>
    <m/>
    <m/>
    <m/>
  </r>
  <r>
    <d v="2024-08-30T00:00:00"/>
    <x v="2"/>
    <x v="1"/>
    <s v="pago cliente"/>
    <x v="0"/>
    <x v="89"/>
    <m/>
    <s v="tarjeta"/>
    <m/>
    <n v="387800"/>
    <m/>
    <m/>
    <m/>
    <m/>
    <m/>
  </r>
  <r>
    <d v="2024-08-30T00:00:00"/>
    <x v="2"/>
    <x v="1"/>
    <s v="pago cliente"/>
    <x v="0"/>
    <x v="408"/>
    <m/>
    <s v="tarjeta"/>
    <m/>
    <n v="193000"/>
    <m/>
    <m/>
    <m/>
    <m/>
    <m/>
  </r>
  <r>
    <d v="2024-08-30T00:00:00"/>
    <x v="2"/>
    <x v="1"/>
    <s v="Sueldo administrativo"/>
    <x v="0"/>
    <x v="27"/>
    <m/>
    <s v="Transferencia"/>
    <m/>
    <m/>
    <n v="125000"/>
    <m/>
    <m/>
    <m/>
    <m/>
  </r>
  <r>
    <d v="2024-08-31T00:00:00"/>
    <x v="2"/>
    <x v="1"/>
    <s v="Gastoas bancarios"/>
    <x v="1"/>
    <x v="409"/>
    <m/>
    <s v="Transferencia"/>
    <m/>
    <m/>
    <n v="1368"/>
    <m/>
    <m/>
    <m/>
    <m/>
  </r>
  <r>
    <d v="2024-08-31T00:00:00"/>
    <x v="2"/>
    <x v="1"/>
    <s v="Gastoas bancarios"/>
    <x v="1"/>
    <x v="410"/>
    <m/>
    <s v="Transferencia"/>
    <m/>
    <m/>
    <n v="132000"/>
    <m/>
    <m/>
    <m/>
    <m/>
  </r>
  <r>
    <d v="2024-08-31T00:00:00"/>
    <x v="2"/>
    <x v="1"/>
    <s v="Gastoas bancarios"/>
    <x v="1"/>
    <x v="411"/>
    <m/>
    <s v="Transferencia"/>
    <m/>
    <m/>
    <n v="48000"/>
    <m/>
    <m/>
    <m/>
    <m/>
  </r>
  <r>
    <d v="2024-09-01T00:00:00"/>
    <x v="3"/>
    <x v="1"/>
    <s v="Personal"/>
    <x v="1"/>
    <x v="176"/>
    <m/>
    <s v="personal"/>
    <m/>
    <m/>
    <n v="316434.86"/>
    <m/>
    <m/>
    <m/>
    <m/>
  </r>
  <r>
    <d v="2024-09-01T00:00:00"/>
    <x v="3"/>
    <x v="1"/>
    <s v="Personal"/>
    <x v="1"/>
    <x v="27"/>
    <m/>
    <s v="personal"/>
    <m/>
    <m/>
    <n v="91250"/>
    <m/>
    <m/>
    <m/>
    <m/>
  </r>
  <r>
    <d v="2024-09-02T00:00:00"/>
    <x v="3"/>
    <x v="1"/>
    <s v="pago cliente"/>
    <x v="0"/>
    <x v="193"/>
    <m/>
    <s v="Transferencia"/>
    <m/>
    <n v="25000"/>
    <m/>
    <m/>
    <m/>
    <m/>
    <m/>
  </r>
  <r>
    <d v="2024-09-02T00:00:00"/>
    <x v="3"/>
    <x v="1"/>
    <s v="pago cliente"/>
    <x v="0"/>
    <x v="42"/>
    <m/>
    <s v="Transferencia"/>
    <m/>
    <n v="850000"/>
    <m/>
    <m/>
    <m/>
    <m/>
    <m/>
  </r>
  <r>
    <d v="2024-09-02T00:00:00"/>
    <x v="3"/>
    <x v="1"/>
    <s v="pago cliente"/>
    <x v="0"/>
    <x v="27"/>
    <m/>
    <s v="Transferencia"/>
    <m/>
    <n v="150000"/>
    <m/>
    <m/>
    <m/>
    <m/>
    <m/>
  </r>
  <r>
    <d v="2024-09-02T00:00:00"/>
    <x v="3"/>
    <x v="1"/>
    <s v="Personal"/>
    <x v="1"/>
    <x v="395"/>
    <m/>
    <s v="personal"/>
    <m/>
    <m/>
    <n v="266975"/>
    <m/>
    <m/>
    <m/>
    <m/>
  </r>
  <r>
    <d v="2024-09-03T00:00:00"/>
    <x v="3"/>
    <x v="1"/>
    <s v="pago cliente"/>
    <x v="0"/>
    <x v="123"/>
    <m/>
    <s v="Transferencia"/>
    <m/>
    <n v="100800"/>
    <m/>
    <m/>
    <m/>
    <m/>
    <m/>
  </r>
  <r>
    <d v="2024-09-03T00:00:00"/>
    <x v="3"/>
    <x v="1"/>
    <s v="pago cliente"/>
    <x v="0"/>
    <x v="412"/>
    <m/>
    <s v="Transferencia"/>
    <m/>
    <n v="100000"/>
    <m/>
    <m/>
    <m/>
    <m/>
    <m/>
  </r>
  <r>
    <d v="2024-09-03T00:00:00"/>
    <x v="3"/>
    <x v="1"/>
    <s v="Pago proveedor"/>
    <x v="0"/>
    <x v="413"/>
    <m/>
    <s v="Transferencia"/>
    <m/>
    <m/>
    <n v="65878"/>
    <m/>
    <m/>
    <m/>
    <m/>
  </r>
  <r>
    <d v="2024-09-03T00:00:00"/>
    <x v="3"/>
    <x v="1"/>
    <s v="Personal"/>
    <x v="1"/>
    <x v="283"/>
    <m/>
    <s v="personal"/>
    <m/>
    <m/>
    <n v="55000"/>
    <m/>
    <m/>
    <m/>
    <m/>
  </r>
  <r>
    <d v="2024-09-03T00:00:00"/>
    <x v="3"/>
    <x v="1"/>
    <s v="pago cliente"/>
    <x v="0"/>
    <x v="116"/>
    <m/>
    <s v="Transferencia"/>
    <m/>
    <n v="100000"/>
    <m/>
    <m/>
    <m/>
    <m/>
    <m/>
  </r>
  <r>
    <d v="2024-09-03T00:00:00"/>
    <x v="3"/>
    <x v="1"/>
    <s v="Personal"/>
    <x v="1"/>
    <x v="414"/>
    <m/>
    <s v="personal"/>
    <m/>
    <m/>
    <n v="532360.01"/>
    <m/>
    <m/>
    <m/>
    <m/>
  </r>
  <r>
    <d v="2024-09-04T00:00:00"/>
    <x v="3"/>
    <x v="1"/>
    <s v="Personal"/>
    <x v="1"/>
    <x v="249"/>
    <m/>
    <s v="personal"/>
    <m/>
    <m/>
    <n v="335888.1"/>
    <m/>
    <m/>
    <m/>
    <m/>
  </r>
  <r>
    <d v="2024-09-04T00:00:00"/>
    <x v="3"/>
    <x v="1"/>
    <s v="pago cliente"/>
    <x v="0"/>
    <x v="340"/>
    <m/>
    <s v="Transferencia"/>
    <m/>
    <n v="606000"/>
    <m/>
    <m/>
    <m/>
    <m/>
    <m/>
  </r>
  <r>
    <d v="2024-09-04T00:00:00"/>
    <x v="3"/>
    <x v="1"/>
    <s v="Personal"/>
    <x v="1"/>
    <x v="395"/>
    <m/>
    <s v="personal"/>
    <m/>
    <m/>
    <n v="306466"/>
    <m/>
    <m/>
    <m/>
    <m/>
  </r>
  <r>
    <d v="2024-09-04T00:00:00"/>
    <x v="3"/>
    <x v="1"/>
    <s v="Pago proveedor"/>
    <x v="0"/>
    <x v="314"/>
    <m/>
    <s v="Transferencia"/>
    <m/>
    <m/>
    <n v="20000"/>
    <m/>
    <m/>
    <m/>
    <m/>
  </r>
  <r>
    <d v="2024-09-04T00:00:00"/>
    <x v="3"/>
    <x v="1"/>
    <s v="Pago proveedor"/>
    <x v="0"/>
    <x v="27"/>
    <s v="Barotto Marcelo "/>
    <s v="Cheque de terceros"/>
    <m/>
    <m/>
    <n v="558269.75"/>
    <m/>
    <m/>
    <m/>
    <m/>
  </r>
  <r>
    <d v="2024-09-04T00:00:00"/>
    <x v="3"/>
    <x v="1"/>
    <s v="Pago proveedor"/>
    <x v="0"/>
    <x v="27"/>
    <s v="Barotto Marcelo "/>
    <s v="Cheque de terceros"/>
    <m/>
    <m/>
    <n v="104186.51"/>
    <m/>
    <m/>
    <m/>
    <m/>
  </r>
  <r>
    <d v="2024-09-05T00:00:00"/>
    <x v="3"/>
    <x v="1"/>
    <s v="pago cliente"/>
    <x v="0"/>
    <x v="415"/>
    <m/>
    <s v="Transferencia"/>
    <m/>
    <n v="125000"/>
    <m/>
    <m/>
    <m/>
    <m/>
    <m/>
  </r>
  <r>
    <d v="2024-09-05T00:00:00"/>
    <x v="3"/>
    <x v="1"/>
    <s v="pago cliente"/>
    <x v="0"/>
    <x v="416"/>
    <m/>
    <s v="tarjeta"/>
    <m/>
    <n v="192800"/>
    <m/>
    <m/>
    <m/>
    <m/>
    <m/>
  </r>
  <r>
    <d v="2024-09-05T00:00:00"/>
    <x v="3"/>
    <x v="1"/>
    <s v="pago cliente"/>
    <x v="0"/>
    <x v="94"/>
    <m/>
    <s v="Transferencia"/>
    <m/>
    <n v="733100"/>
    <m/>
    <m/>
    <m/>
    <m/>
    <m/>
  </r>
  <r>
    <d v="2024-09-05T00:00:00"/>
    <x v="3"/>
    <x v="1"/>
    <s v="Personal"/>
    <x v="1"/>
    <x v="190"/>
    <m/>
    <s v="personal"/>
    <m/>
    <m/>
    <n v="64414"/>
    <m/>
    <m/>
    <m/>
    <m/>
  </r>
  <r>
    <d v="2024-09-05T00:00:00"/>
    <x v="3"/>
    <x v="1"/>
    <s v="Personal"/>
    <x v="1"/>
    <x v="190"/>
    <m/>
    <s v="personal"/>
    <m/>
    <m/>
    <n v="65214"/>
    <m/>
    <m/>
    <m/>
    <m/>
  </r>
  <r>
    <d v="2024-09-06T00:00:00"/>
    <x v="3"/>
    <x v="1"/>
    <s v="pago cliente"/>
    <x v="0"/>
    <x v="143"/>
    <m/>
    <s v="Transferencia"/>
    <m/>
    <n v="152500"/>
    <m/>
    <m/>
    <m/>
    <m/>
    <m/>
  </r>
  <r>
    <d v="2024-09-06T00:00:00"/>
    <x v="3"/>
    <x v="1"/>
    <s v="Personal"/>
    <x v="1"/>
    <x v="108"/>
    <m/>
    <s v="personal"/>
    <m/>
    <m/>
    <n v="92313"/>
    <m/>
    <m/>
    <m/>
    <m/>
  </r>
  <r>
    <d v="2024-09-06T00:00:00"/>
    <x v="3"/>
    <x v="1"/>
    <s v="Personal"/>
    <x v="1"/>
    <x v="109"/>
    <m/>
    <s v="personal"/>
    <m/>
    <m/>
    <n v="139400.6"/>
    <m/>
    <m/>
    <m/>
    <m/>
  </r>
  <r>
    <d v="2024-09-06T00:00:00"/>
    <x v="3"/>
    <x v="1"/>
    <s v="Personal"/>
    <x v="1"/>
    <x v="107"/>
    <m/>
    <s v="personal"/>
    <m/>
    <m/>
    <n v="24730"/>
    <m/>
    <m/>
    <m/>
    <m/>
  </r>
  <r>
    <d v="2024-09-06T00:00:00"/>
    <x v="3"/>
    <x v="1"/>
    <s v="Personal"/>
    <x v="1"/>
    <x v="190"/>
    <m/>
    <s v="personal"/>
    <m/>
    <m/>
    <n v="27380"/>
    <m/>
    <m/>
    <m/>
    <m/>
  </r>
  <r>
    <d v="2024-09-07T00:00:00"/>
    <x v="3"/>
    <x v="1"/>
    <s v="Sueldo administrativo"/>
    <x v="0"/>
    <x v="27"/>
    <m/>
    <s v="Transferencia"/>
    <m/>
    <m/>
    <n v="150000"/>
    <m/>
    <m/>
    <m/>
    <m/>
  </r>
  <r>
    <d v="2024-09-09T00:00:00"/>
    <x v="3"/>
    <x v="1"/>
    <s v="pago cliente"/>
    <x v="0"/>
    <x v="417"/>
    <m/>
    <s v="Transferencia"/>
    <m/>
    <n v="258000"/>
    <m/>
    <m/>
    <m/>
    <m/>
    <m/>
  </r>
  <r>
    <d v="2024-09-09T00:00:00"/>
    <x v="3"/>
    <x v="1"/>
    <s v="Personal"/>
    <x v="1"/>
    <x v="418"/>
    <m/>
    <s v="personal"/>
    <m/>
    <m/>
    <n v="170000"/>
    <m/>
    <m/>
    <m/>
    <m/>
  </r>
  <r>
    <d v="2024-09-10T00:00:00"/>
    <x v="3"/>
    <x v="1"/>
    <s v="pago cliente"/>
    <x v="0"/>
    <x v="281"/>
    <m/>
    <s v="tarjeta"/>
    <m/>
    <n v="86000"/>
    <m/>
    <m/>
    <m/>
    <m/>
    <m/>
  </r>
  <r>
    <d v="2024-09-10T00:00:00"/>
    <x v="3"/>
    <x v="1"/>
    <s v="Personal"/>
    <x v="1"/>
    <x v="369"/>
    <m/>
    <s v="personal"/>
    <m/>
    <m/>
    <n v="61620"/>
    <m/>
    <m/>
    <m/>
    <m/>
  </r>
  <r>
    <d v="2024-09-11T00:00:00"/>
    <x v="3"/>
    <x v="1"/>
    <s v="pago cliente"/>
    <x v="0"/>
    <x v="204"/>
    <m/>
    <s v="Transferencia"/>
    <m/>
    <n v="200000"/>
    <m/>
    <m/>
    <m/>
    <m/>
    <m/>
  </r>
  <r>
    <d v="2024-09-11T00:00:00"/>
    <x v="3"/>
    <x v="1"/>
    <s v="pago cliente"/>
    <x v="0"/>
    <x v="419"/>
    <m/>
    <s v="Transferencia"/>
    <m/>
    <n v="186000"/>
    <m/>
    <m/>
    <m/>
    <m/>
    <m/>
  </r>
  <r>
    <d v="2024-09-11T00:00:00"/>
    <x v="3"/>
    <x v="1"/>
    <s v="Personal"/>
    <x v="1"/>
    <x v="414"/>
    <m/>
    <s v="personal"/>
    <m/>
    <m/>
    <n v="157303"/>
    <m/>
    <m/>
    <m/>
    <m/>
  </r>
  <r>
    <d v="2024-09-12T00:00:00"/>
    <x v="3"/>
    <x v="1"/>
    <s v="pago cliente"/>
    <x v="0"/>
    <x v="420"/>
    <m/>
    <s v="Transferencia"/>
    <m/>
    <n v="339500"/>
    <m/>
    <m/>
    <m/>
    <m/>
    <m/>
  </r>
  <r>
    <d v="2024-09-12T00:00:00"/>
    <x v="3"/>
    <x v="1"/>
    <s v="pago cliente"/>
    <x v="0"/>
    <x v="421"/>
    <m/>
    <s v="Transferencia"/>
    <m/>
    <n v="144000"/>
    <m/>
    <m/>
    <m/>
    <m/>
    <m/>
  </r>
  <r>
    <d v="2024-09-12T00:00:00"/>
    <x v="3"/>
    <x v="1"/>
    <s v="pago cliente"/>
    <x v="0"/>
    <x v="422"/>
    <m/>
    <s v="Transferencia"/>
    <m/>
    <n v="300000"/>
    <m/>
    <m/>
    <m/>
    <m/>
    <m/>
  </r>
  <r>
    <d v="2024-09-12T00:00:00"/>
    <x v="3"/>
    <x v="1"/>
    <s v="Personal"/>
    <x v="1"/>
    <x v="13"/>
    <m/>
    <s v="personal"/>
    <m/>
    <m/>
    <n v="453557"/>
    <m/>
    <m/>
    <m/>
    <m/>
  </r>
  <r>
    <d v="2024-09-12T00:00:00"/>
    <x v="3"/>
    <x v="1"/>
    <s v="pago cliente"/>
    <x v="0"/>
    <x v="264"/>
    <m/>
    <s v="Transferencia"/>
    <m/>
    <n v="70000"/>
    <m/>
    <m/>
    <m/>
    <m/>
    <m/>
  </r>
  <r>
    <d v="2024-09-12T00:00:00"/>
    <x v="3"/>
    <x v="1"/>
    <s v="pago cliente"/>
    <x v="0"/>
    <x v="379"/>
    <m/>
    <s v="Transferencia"/>
    <m/>
    <n v="155500"/>
    <m/>
    <m/>
    <m/>
    <m/>
    <m/>
  </r>
  <r>
    <d v="2024-09-12T00:00:00"/>
    <x v="3"/>
    <x v="1"/>
    <s v="pago cliente"/>
    <x v="0"/>
    <x v="423"/>
    <m/>
    <s v="Transferencia"/>
    <m/>
    <n v="5480871"/>
    <m/>
    <m/>
    <m/>
    <m/>
    <m/>
  </r>
  <r>
    <d v="2024-09-12T00:00:00"/>
    <x v="3"/>
    <x v="1"/>
    <s v="Personal"/>
    <x v="1"/>
    <x v="190"/>
    <m/>
    <s v="personal"/>
    <m/>
    <m/>
    <n v="26595"/>
    <m/>
    <m/>
    <m/>
    <m/>
  </r>
  <r>
    <d v="2024-09-13T00:00:00"/>
    <x v="3"/>
    <x v="1"/>
    <s v="Gastos generales"/>
    <x v="0"/>
    <x v="388"/>
    <m/>
    <s v="Transferencia"/>
    <m/>
    <m/>
    <n v="9400"/>
    <m/>
    <m/>
    <m/>
    <m/>
  </r>
  <r>
    <d v="2024-09-13T00:00:00"/>
    <x v="3"/>
    <x v="1"/>
    <s v="Pago proveedor"/>
    <x v="0"/>
    <x v="27"/>
    <s v="Repuestos Serrano"/>
    <s v="Transferencia"/>
    <m/>
    <m/>
    <n v="796432.08"/>
    <m/>
    <m/>
    <m/>
    <m/>
  </r>
  <r>
    <d v="2024-09-13T00:00:00"/>
    <x v="3"/>
    <x v="1"/>
    <s v="Pago proveedor"/>
    <x v="0"/>
    <x v="315"/>
    <m/>
    <s v="Transferencia"/>
    <m/>
    <m/>
    <n v="721950"/>
    <m/>
    <m/>
    <m/>
    <m/>
  </r>
  <r>
    <d v="2024-09-13T00:00:00"/>
    <x v="3"/>
    <x v="1"/>
    <s v="Pago proveedor"/>
    <x v="0"/>
    <x v="27"/>
    <s v="Rep Center"/>
    <s v="Transferencia"/>
    <m/>
    <m/>
    <n v="807107"/>
    <m/>
    <m/>
    <m/>
    <m/>
  </r>
  <r>
    <d v="2024-09-13T00:00:00"/>
    <x v="3"/>
    <x v="1"/>
    <s v="pago cliente"/>
    <x v="0"/>
    <x v="110"/>
    <m/>
    <s v="Cheque de terceros"/>
    <m/>
    <n v="143410"/>
    <m/>
    <m/>
    <m/>
    <m/>
    <m/>
  </r>
  <r>
    <d v="2024-09-14T00:00:00"/>
    <x v="3"/>
    <x v="1"/>
    <s v="Sueldo administrativo"/>
    <x v="0"/>
    <x v="27"/>
    <m/>
    <s v="Transferencia"/>
    <m/>
    <m/>
    <n v="150000"/>
    <m/>
    <m/>
    <m/>
    <m/>
  </r>
  <r>
    <d v="2024-09-16T00:00:00"/>
    <x v="3"/>
    <x v="1"/>
    <s v="Pago proveedor"/>
    <x v="0"/>
    <x v="27"/>
    <s v="Barotto Marcelo "/>
    <s v="Transferencia"/>
    <m/>
    <m/>
    <n v="1700000"/>
    <m/>
    <m/>
    <m/>
    <m/>
  </r>
  <r>
    <d v="2024-09-16T00:00:00"/>
    <x v="3"/>
    <x v="1"/>
    <s v="pago cliente"/>
    <x v="0"/>
    <x v="219"/>
    <m/>
    <s v="Transferencia"/>
    <m/>
    <n v="126000"/>
    <m/>
    <m/>
    <m/>
    <m/>
    <m/>
  </r>
  <r>
    <d v="2024-09-16T00:00:00"/>
    <x v="3"/>
    <x v="1"/>
    <s v="Personal"/>
    <x v="1"/>
    <x v="311"/>
    <m/>
    <s v="personal"/>
    <m/>
    <m/>
    <n v="160382.70000000001"/>
    <m/>
    <m/>
    <m/>
    <m/>
  </r>
  <r>
    <d v="2024-09-16T00:00:00"/>
    <x v="3"/>
    <x v="1"/>
    <s v="Pago proveedor"/>
    <x v="0"/>
    <x v="424"/>
    <m/>
    <s v="Transferencia"/>
    <m/>
    <m/>
    <n v="321300"/>
    <m/>
    <m/>
    <m/>
    <m/>
  </r>
  <r>
    <d v="2024-09-18T00:00:00"/>
    <x v="3"/>
    <x v="1"/>
    <s v="pago cliente"/>
    <x v="0"/>
    <x v="425"/>
    <m/>
    <s v="Transferencia"/>
    <m/>
    <n v="146000"/>
    <m/>
    <m/>
    <m/>
    <m/>
    <m/>
  </r>
  <r>
    <d v="2024-09-18T00:00:00"/>
    <x v="3"/>
    <x v="1"/>
    <s v="pago cliente"/>
    <x v="0"/>
    <x v="426"/>
    <m/>
    <s v="Transferencia"/>
    <m/>
    <n v="109800"/>
    <m/>
    <m/>
    <m/>
    <m/>
    <m/>
  </r>
  <r>
    <d v="2024-09-18T00:00:00"/>
    <x v="3"/>
    <x v="1"/>
    <s v="pago cliente"/>
    <x v="0"/>
    <x v="333"/>
    <m/>
    <s v="tarjeta"/>
    <m/>
    <n v="293000"/>
    <m/>
    <m/>
    <m/>
    <m/>
    <m/>
  </r>
  <r>
    <d v="2024-09-19T00:00:00"/>
    <x v="3"/>
    <x v="1"/>
    <s v="pago cliente"/>
    <x v="0"/>
    <x v="340"/>
    <m/>
    <s v="Transferencia"/>
    <m/>
    <n v="210000"/>
    <m/>
    <m/>
    <m/>
    <m/>
    <m/>
  </r>
  <r>
    <d v="2024-09-19T00:00:00"/>
    <x v="3"/>
    <x v="1"/>
    <s v="pago cliente"/>
    <x v="0"/>
    <x v="69"/>
    <m/>
    <s v="Transferencia"/>
    <m/>
    <n v="388000"/>
    <m/>
    <m/>
    <m/>
    <m/>
    <m/>
  </r>
  <r>
    <d v="2024-09-19T00:00:00"/>
    <x v="3"/>
    <x v="1"/>
    <s v="pago cliente"/>
    <x v="0"/>
    <x v="69"/>
    <m/>
    <s v="Transferencia"/>
    <m/>
    <n v="168000"/>
    <m/>
    <m/>
    <m/>
    <m/>
    <m/>
  </r>
  <r>
    <d v="2024-09-19T00:00:00"/>
    <x v="3"/>
    <x v="1"/>
    <s v="pago cliente"/>
    <x v="0"/>
    <x v="158"/>
    <m/>
    <s v="tarjeta"/>
    <m/>
    <n v="396500"/>
    <m/>
    <m/>
    <m/>
    <m/>
    <m/>
  </r>
  <r>
    <d v="2024-09-20T00:00:00"/>
    <x v="3"/>
    <x v="1"/>
    <s v="honorarios"/>
    <x v="1"/>
    <x v="152"/>
    <m/>
    <s v="personal"/>
    <m/>
    <m/>
    <n v="220000"/>
    <m/>
    <m/>
    <m/>
    <m/>
  </r>
  <r>
    <d v="2024-09-20T00:00:00"/>
    <x v="3"/>
    <x v="1"/>
    <s v="pago cliente"/>
    <x v="0"/>
    <x v="6"/>
    <m/>
    <s v="tarjeta"/>
    <m/>
    <n v="224000"/>
    <m/>
    <m/>
    <m/>
    <m/>
    <m/>
  </r>
  <r>
    <d v="2024-09-20T00:00:00"/>
    <x v="3"/>
    <x v="1"/>
    <s v="pago cliente"/>
    <x v="0"/>
    <x v="427"/>
    <m/>
    <s v="Transferencia"/>
    <m/>
    <n v="165000"/>
    <m/>
    <m/>
    <m/>
    <m/>
    <m/>
  </r>
  <r>
    <d v="2024-09-20T00:00:00"/>
    <x v="3"/>
    <x v="1"/>
    <s v="monotributo"/>
    <x v="1"/>
    <x v="202"/>
    <m/>
    <s v="personal"/>
    <m/>
    <m/>
    <n v="42050"/>
    <m/>
    <m/>
    <m/>
    <m/>
  </r>
  <r>
    <d v="2024-09-21T00:00:00"/>
    <x v="3"/>
    <x v="1"/>
    <s v="Sueldo administrativo"/>
    <x v="0"/>
    <x v="27"/>
    <m/>
    <s v="Transferencia"/>
    <m/>
    <m/>
    <n v="150000"/>
    <m/>
    <m/>
    <m/>
    <m/>
  </r>
  <r>
    <d v="2024-09-21T00:00:00"/>
    <x v="3"/>
    <x v="1"/>
    <s v="pago cliente"/>
    <x v="0"/>
    <x v="428"/>
    <m/>
    <s v="Transferencia"/>
    <m/>
    <n v="164000"/>
    <m/>
    <m/>
    <m/>
    <m/>
    <m/>
  </r>
  <r>
    <d v="2024-09-23T00:00:00"/>
    <x v="3"/>
    <x v="1"/>
    <s v="Personal"/>
    <x v="1"/>
    <x v="27"/>
    <m/>
    <s v="personal"/>
    <m/>
    <m/>
    <n v="116000"/>
    <m/>
    <m/>
    <m/>
    <m/>
  </r>
  <r>
    <d v="2024-09-23T00:00:00"/>
    <x v="3"/>
    <x v="1"/>
    <s v="pago cliente"/>
    <x v="0"/>
    <x v="7"/>
    <m/>
    <s v="Transferencia"/>
    <m/>
    <n v="166800"/>
    <m/>
    <m/>
    <m/>
    <m/>
    <m/>
  </r>
  <r>
    <d v="2024-09-24T00:00:00"/>
    <x v="3"/>
    <x v="1"/>
    <s v="pago cliente"/>
    <x v="0"/>
    <x v="429"/>
    <m/>
    <s v="tarjeta"/>
    <m/>
    <n v="146000"/>
    <m/>
    <m/>
    <m/>
    <m/>
    <m/>
  </r>
  <r>
    <d v="2024-09-24T00:00:00"/>
    <x v="3"/>
    <x v="1"/>
    <s v="Gastos generales"/>
    <x v="0"/>
    <x v="284"/>
    <m/>
    <s v="Transferencia"/>
    <m/>
    <m/>
    <n v="112150"/>
    <m/>
    <m/>
    <m/>
    <m/>
  </r>
  <r>
    <d v="2024-09-25T00:00:00"/>
    <x v="3"/>
    <x v="1"/>
    <s v="pago cliente"/>
    <x v="0"/>
    <x v="51"/>
    <m/>
    <s v="Cheque de terceros"/>
    <m/>
    <n v="562650"/>
    <m/>
    <m/>
    <m/>
    <m/>
    <m/>
  </r>
  <r>
    <d v="2024-09-25T00:00:00"/>
    <x v="3"/>
    <x v="1"/>
    <s v="pago cliente"/>
    <x v="0"/>
    <x v="265"/>
    <m/>
    <s v="Transferencia"/>
    <m/>
    <n v="178000"/>
    <m/>
    <m/>
    <m/>
    <m/>
    <m/>
  </r>
  <r>
    <d v="2024-09-25T00:00:00"/>
    <x v="3"/>
    <x v="1"/>
    <s v="Personal"/>
    <x v="1"/>
    <x v="414"/>
    <m/>
    <s v="personal"/>
    <m/>
    <m/>
    <n v="22000"/>
    <m/>
    <m/>
    <m/>
    <m/>
  </r>
  <r>
    <d v="2024-09-26T00:00:00"/>
    <x v="3"/>
    <x v="1"/>
    <s v="Pago proveedor"/>
    <x v="0"/>
    <x v="27"/>
    <s v="Barotto Marcelo "/>
    <s v="Cheque de terceros"/>
    <m/>
    <m/>
    <n v="562650"/>
    <m/>
    <m/>
    <m/>
    <m/>
  </r>
  <r>
    <d v="2024-09-26T00:00:00"/>
    <x v="3"/>
    <x v="1"/>
    <s v="pago cliente"/>
    <x v="0"/>
    <x v="378"/>
    <m/>
    <s v="Transferencia"/>
    <m/>
    <n v="540000"/>
    <m/>
    <m/>
    <m/>
    <m/>
    <m/>
  </r>
  <r>
    <d v="2024-09-27T00:00:00"/>
    <x v="3"/>
    <x v="1"/>
    <s v="pago cliente"/>
    <x v="0"/>
    <x v="116"/>
    <m/>
    <s v="Transferencia"/>
    <m/>
    <n v="66800"/>
    <m/>
    <m/>
    <m/>
    <m/>
    <m/>
  </r>
  <r>
    <d v="2024-09-27T00:00:00"/>
    <x v="3"/>
    <x v="1"/>
    <s v="pago cliente"/>
    <x v="0"/>
    <x v="430"/>
    <m/>
    <s v="tarjeta"/>
    <m/>
    <n v="200000"/>
    <m/>
    <m/>
    <m/>
    <m/>
    <m/>
  </r>
  <r>
    <d v="2024-09-27T00:00:00"/>
    <x v="3"/>
    <x v="1"/>
    <s v="pago cliente"/>
    <x v="0"/>
    <x v="430"/>
    <m/>
    <s v="Transferencia"/>
    <m/>
    <n v="55800"/>
    <m/>
    <m/>
    <m/>
    <m/>
    <m/>
  </r>
  <r>
    <d v="2024-09-28T00:00:00"/>
    <x v="3"/>
    <x v="1"/>
    <s v="pago cliente"/>
    <x v="0"/>
    <x v="431"/>
    <m/>
    <s v="Transferencia"/>
    <m/>
    <n v="225300"/>
    <m/>
    <m/>
    <m/>
    <m/>
    <m/>
  </r>
  <r>
    <d v="2024-09-28T00:00:00"/>
    <x v="3"/>
    <x v="1"/>
    <s v="Sueldo administrativo"/>
    <x v="0"/>
    <x v="27"/>
    <m/>
    <s v="Transferencia"/>
    <m/>
    <m/>
    <n v="150000"/>
    <m/>
    <m/>
    <m/>
    <m/>
  </r>
  <r>
    <d v="2024-09-30T00:00:00"/>
    <x v="3"/>
    <x v="1"/>
    <s v="pago cliente"/>
    <x v="0"/>
    <x v="432"/>
    <m/>
    <s v="Cheque de terceros"/>
    <m/>
    <n v="59000"/>
    <m/>
    <m/>
    <m/>
    <m/>
    <m/>
  </r>
  <r>
    <d v="2024-09-30T00:00:00"/>
    <x v="3"/>
    <x v="1"/>
    <s v="pago cliente"/>
    <x v="0"/>
    <x v="432"/>
    <m/>
    <s v="Cheque de terceros"/>
    <m/>
    <n v="59000"/>
    <m/>
    <m/>
    <m/>
    <m/>
    <m/>
  </r>
  <r>
    <d v="2024-09-30T00:00:00"/>
    <x v="3"/>
    <x v="1"/>
    <s v="pago cliente"/>
    <x v="0"/>
    <x v="139"/>
    <m/>
    <s v="Transferencia"/>
    <m/>
    <n v="500000"/>
    <m/>
    <m/>
    <m/>
    <m/>
    <m/>
  </r>
  <r>
    <d v="2024-09-30T00:00:00"/>
    <x v="3"/>
    <x v="1"/>
    <s v="Gastoas bancarios"/>
    <x v="1"/>
    <x v="410"/>
    <m/>
    <s v="personal"/>
    <m/>
    <m/>
    <n v="153207.54999999999"/>
    <m/>
    <m/>
    <m/>
    <m/>
  </r>
  <r>
    <d v="2024-09-30T00:00:00"/>
    <x v="3"/>
    <x v="1"/>
    <s v="Gastoas bancarios"/>
    <x v="1"/>
    <x v="409"/>
    <m/>
    <s v="personal"/>
    <m/>
    <m/>
    <n v="986.15"/>
    <m/>
    <m/>
    <m/>
    <m/>
  </r>
  <r>
    <d v="2024-09-30T00:00:00"/>
    <x v="3"/>
    <x v="1"/>
    <s v="Gastoas bancarios"/>
    <x v="1"/>
    <x v="411"/>
    <m/>
    <s v="personal"/>
    <m/>
    <m/>
    <n v="133053"/>
    <m/>
    <m/>
    <m/>
    <m/>
  </r>
  <r>
    <d v="2024-10-01T00:00:00"/>
    <x v="4"/>
    <x v="1"/>
    <s v="pago cliente"/>
    <x v="0"/>
    <x v="111"/>
    <m/>
    <s v="Cheque de terceros"/>
    <m/>
    <n v="280000"/>
    <m/>
    <m/>
    <m/>
    <m/>
    <m/>
  </r>
  <r>
    <d v="2024-10-01T00:00:00"/>
    <x v="4"/>
    <x v="1"/>
    <s v="pago cliente"/>
    <x v="0"/>
    <x v="111"/>
    <m/>
    <s v="Cheque de terceros"/>
    <m/>
    <n v="100000"/>
    <m/>
    <m/>
    <m/>
    <m/>
    <m/>
  </r>
  <r>
    <d v="2024-10-01T00:00:00"/>
    <x v="4"/>
    <x v="1"/>
    <s v="pago cliente"/>
    <x v="0"/>
    <x v="111"/>
    <m/>
    <s v="Cheque de terceros"/>
    <m/>
    <n v="253250"/>
    <m/>
    <m/>
    <m/>
    <m/>
    <m/>
  </r>
  <r>
    <d v="2024-10-01T00:00:00"/>
    <x v="4"/>
    <x v="1"/>
    <s v="Pago proveedor"/>
    <x v="0"/>
    <x v="27"/>
    <s v="Barotto Marcelo "/>
    <s v="Cheque de terceros"/>
    <m/>
    <m/>
    <n v="59000"/>
    <m/>
    <m/>
    <m/>
    <m/>
  </r>
  <r>
    <d v="2024-10-01T00:00:00"/>
    <x v="4"/>
    <x v="1"/>
    <s v="Pago proveedor"/>
    <x v="0"/>
    <x v="27"/>
    <s v="Barotto Marcelo "/>
    <s v="Cheque de terceros"/>
    <m/>
    <m/>
    <n v="59000"/>
    <m/>
    <m/>
    <m/>
    <m/>
  </r>
  <r>
    <d v="2024-10-01T00:00:00"/>
    <x v="4"/>
    <x v="1"/>
    <s v="Pago proveedor"/>
    <x v="0"/>
    <x v="27"/>
    <s v="Barotto Marcelo "/>
    <s v="Cheque de terceros"/>
    <m/>
    <m/>
    <n v="280000"/>
    <m/>
    <m/>
    <m/>
    <m/>
  </r>
  <r>
    <d v="2024-10-01T00:00:00"/>
    <x v="4"/>
    <x v="1"/>
    <s v="Pago proveedor"/>
    <x v="0"/>
    <x v="27"/>
    <s v="Barotto Marcelo "/>
    <s v="Cheque de terceros"/>
    <m/>
    <m/>
    <n v="100000"/>
    <m/>
    <m/>
    <m/>
    <m/>
  </r>
  <r>
    <d v="2024-10-01T00:00:00"/>
    <x v="4"/>
    <x v="1"/>
    <s v="Pago proveedor"/>
    <x v="0"/>
    <x v="27"/>
    <s v="Barotto Marcelo "/>
    <s v="Cheque de terceros"/>
    <m/>
    <m/>
    <n v="253250"/>
    <m/>
    <m/>
    <m/>
    <m/>
  </r>
  <r>
    <d v="2024-10-01T00:00:00"/>
    <x v="4"/>
    <x v="1"/>
    <s v="Gastos bancarios"/>
    <x v="1"/>
    <x v="433"/>
    <m/>
    <s v="personal"/>
    <m/>
    <m/>
    <n v="182240"/>
    <m/>
    <m/>
    <m/>
    <m/>
  </r>
  <r>
    <d v="2024-10-01T00:00:00"/>
    <x v="4"/>
    <x v="1"/>
    <s v="Personal"/>
    <x v="1"/>
    <x v="190"/>
    <m/>
    <s v="personal"/>
    <m/>
    <m/>
    <n v="144649.5"/>
    <m/>
    <m/>
    <m/>
    <m/>
  </r>
  <r>
    <d v="2024-10-01T00:00:00"/>
    <x v="4"/>
    <x v="1"/>
    <s v="Personal"/>
    <x v="1"/>
    <x v="434"/>
    <m/>
    <s v="personal"/>
    <m/>
    <m/>
    <n v="42050"/>
    <m/>
    <m/>
    <m/>
    <m/>
  </r>
  <r>
    <d v="2024-10-01T00:00:00"/>
    <x v="4"/>
    <x v="1"/>
    <s v="Personal"/>
    <x v="1"/>
    <x v="137"/>
    <m/>
    <s v="personal"/>
    <m/>
    <m/>
    <n v="170136"/>
    <m/>
    <m/>
    <m/>
    <m/>
  </r>
  <r>
    <d v="2024-10-01T00:00:00"/>
    <x v="4"/>
    <x v="1"/>
    <s v="Personal"/>
    <x v="1"/>
    <x v="27"/>
    <m/>
    <s v="personal"/>
    <m/>
    <m/>
    <n v="250000"/>
    <m/>
    <m/>
    <m/>
    <m/>
  </r>
  <r>
    <d v="2024-10-01T00:00:00"/>
    <x v="4"/>
    <x v="1"/>
    <s v="Personal"/>
    <x v="1"/>
    <x v="27"/>
    <m/>
    <s v="personal"/>
    <m/>
    <m/>
    <n v="52500"/>
    <m/>
    <m/>
    <m/>
    <m/>
  </r>
  <r>
    <d v="2024-10-01T00:00:00"/>
    <x v="4"/>
    <x v="1"/>
    <s v="Personal"/>
    <x v="1"/>
    <x v="339"/>
    <m/>
    <s v="personal"/>
    <m/>
    <m/>
    <n v="321700"/>
    <m/>
    <m/>
    <m/>
    <m/>
  </r>
  <r>
    <d v="2024-10-01T00:00:00"/>
    <x v="4"/>
    <x v="1"/>
    <s v="Personal"/>
    <x v="1"/>
    <x v="27"/>
    <m/>
    <s v="personal"/>
    <m/>
    <m/>
    <n v="270000"/>
    <m/>
    <m/>
    <m/>
    <m/>
  </r>
  <r>
    <d v="2024-10-02T00:00:00"/>
    <x v="4"/>
    <x v="1"/>
    <s v="pago cliente"/>
    <x v="0"/>
    <x v="390"/>
    <m/>
    <s v="Transferencia"/>
    <m/>
    <n v="423000"/>
    <m/>
    <m/>
    <m/>
    <m/>
    <m/>
  </r>
  <r>
    <d v="2024-10-02T00:00:00"/>
    <x v="4"/>
    <x v="1"/>
    <s v="Pago proveedor"/>
    <x v="0"/>
    <x v="360"/>
    <m/>
    <s v="Transferencia"/>
    <m/>
    <m/>
    <n v="1663400"/>
    <m/>
    <m/>
    <m/>
    <m/>
  </r>
  <r>
    <d v="2024-10-02T00:00:00"/>
    <x v="4"/>
    <x v="1"/>
    <s v="Personal"/>
    <x v="1"/>
    <x v="414"/>
    <m/>
    <s v="personal"/>
    <m/>
    <m/>
    <n v="1134854.6399999999"/>
    <m/>
    <m/>
    <m/>
    <m/>
  </r>
  <r>
    <d v="2024-10-03T00:00:00"/>
    <x v="4"/>
    <x v="1"/>
    <s v="Personal"/>
    <x v="1"/>
    <x v="109"/>
    <m/>
    <s v="personal"/>
    <m/>
    <m/>
    <n v="158819"/>
    <m/>
    <m/>
    <m/>
    <m/>
  </r>
  <r>
    <d v="2024-10-03T00:00:00"/>
    <x v="4"/>
    <x v="1"/>
    <s v="Personal"/>
    <x v="1"/>
    <x v="108"/>
    <m/>
    <s v="personal"/>
    <m/>
    <m/>
    <n v="94312"/>
    <m/>
    <m/>
    <m/>
    <m/>
  </r>
  <r>
    <d v="2024-10-03T00:00:00"/>
    <x v="4"/>
    <x v="1"/>
    <s v="Personal"/>
    <x v="1"/>
    <x v="107"/>
    <m/>
    <s v="personal"/>
    <m/>
    <m/>
    <n v="23500"/>
    <m/>
    <m/>
    <m/>
    <m/>
  </r>
  <r>
    <d v="2024-10-03T00:00:00"/>
    <x v="4"/>
    <x v="1"/>
    <s v="pago cliente"/>
    <x v="0"/>
    <x v="69"/>
    <m/>
    <s v="Transferencia"/>
    <m/>
    <n v="172000"/>
    <m/>
    <m/>
    <m/>
    <m/>
    <m/>
  </r>
  <r>
    <d v="2024-10-03T00:00:00"/>
    <x v="4"/>
    <x v="1"/>
    <s v="Personal"/>
    <x v="1"/>
    <x v="27"/>
    <m/>
    <s v="personal"/>
    <m/>
    <m/>
    <n v="150000"/>
    <m/>
    <m/>
    <m/>
    <m/>
  </r>
  <r>
    <d v="2024-10-03T00:00:00"/>
    <x v="4"/>
    <x v="1"/>
    <s v="Personal"/>
    <x v="1"/>
    <x v="249"/>
    <m/>
    <s v="personal"/>
    <m/>
    <m/>
    <n v="329602.56"/>
    <m/>
    <m/>
    <m/>
    <m/>
  </r>
  <r>
    <d v="2024-10-03T00:00:00"/>
    <x v="4"/>
    <x v="1"/>
    <s v="Personal"/>
    <x v="1"/>
    <x v="395"/>
    <m/>
    <s v="personal"/>
    <m/>
    <m/>
    <n v="88000"/>
    <m/>
    <m/>
    <m/>
    <m/>
  </r>
  <r>
    <d v="2024-10-03T00:00:00"/>
    <x v="4"/>
    <x v="1"/>
    <s v="Personal"/>
    <x v="1"/>
    <x v="395"/>
    <m/>
    <s v="personal"/>
    <m/>
    <m/>
    <n v="150000"/>
    <m/>
    <m/>
    <m/>
    <m/>
  </r>
  <r>
    <d v="2024-10-05T00:00:00"/>
    <x v="4"/>
    <x v="1"/>
    <s v="Sueldo administrativo"/>
    <x v="0"/>
    <x v="27"/>
    <m/>
    <s v="Transferencia"/>
    <m/>
    <m/>
    <n v="150000"/>
    <m/>
    <m/>
    <m/>
    <m/>
  </r>
  <r>
    <d v="2024-10-07T00:00:00"/>
    <x v="4"/>
    <x v="1"/>
    <s v="pago cliente"/>
    <x v="0"/>
    <x v="139"/>
    <m/>
    <s v="Transferencia"/>
    <m/>
    <n v="137000"/>
    <m/>
    <m/>
    <m/>
    <m/>
    <m/>
  </r>
  <r>
    <d v="2024-10-07T00:00:00"/>
    <x v="4"/>
    <x v="1"/>
    <s v="Personal"/>
    <x v="1"/>
    <x v="27"/>
    <m/>
    <s v="personal"/>
    <m/>
    <m/>
    <m/>
    <m/>
    <m/>
    <m/>
    <m/>
  </r>
  <r>
    <d v="2024-10-07T00:00:00"/>
    <x v="4"/>
    <x v="1"/>
    <s v="Pago proveedor"/>
    <x v="0"/>
    <x v="435"/>
    <m/>
    <s v="Transferencia"/>
    <m/>
    <m/>
    <n v="243500"/>
    <m/>
    <m/>
    <m/>
    <m/>
  </r>
  <r>
    <d v="2024-10-08T00:00:00"/>
    <x v="4"/>
    <x v="1"/>
    <s v="Pago proveedor"/>
    <x v="0"/>
    <x v="360"/>
    <m/>
    <s v="Transferencia"/>
    <m/>
    <m/>
    <n v="70785"/>
    <m/>
    <m/>
    <m/>
    <m/>
  </r>
  <r>
    <d v="2024-10-09T00:00:00"/>
    <x v="4"/>
    <x v="1"/>
    <s v="pago cliente"/>
    <x v="0"/>
    <x v="436"/>
    <m/>
    <s v="tarjeta"/>
    <m/>
    <n v="129200"/>
    <m/>
    <m/>
    <m/>
    <m/>
    <m/>
  </r>
  <r>
    <d v="2024-10-09T00:00:00"/>
    <x v="4"/>
    <x v="1"/>
    <s v="pago cliente"/>
    <x v="0"/>
    <x v="400"/>
    <m/>
    <s v="Transferencia"/>
    <m/>
    <n v="150000"/>
    <m/>
    <m/>
    <m/>
    <m/>
    <m/>
  </r>
  <r>
    <d v="2024-10-09T00:00:00"/>
    <x v="4"/>
    <x v="1"/>
    <s v="Pago proveedor"/>
    <x v="0"/>
    <x v="27"/>
    <s v="TDI"/>
    <s v="Cheque de terceros"/>
    <m/>
    <m/>
    <n v="76088.850000000006"/>
    <m/>
    <m/>
    <m/>
    <m/>
  </r>
  <r>
    <d v="2024-10-09T00:00:00"/>
    <x v="4"/>
    <x v="1"/>
    <s v="Personal"/>
    <x v="1"/>
    <x v="27"/>
    <m/>
    <s v="personal"/>
    <m/>
    <m/>
    <n v="25000"/>
    <m/>
    <m/>
    <m/>
    <m/>
  </r>
  <r>
    <d v="2024-10-09T00:00:00"/>
    <x v="4"/>
    <x v="1"/>
    <s v="pago cliente"/>
    <x v="0"/>
    <x v="437"/>
    <m/>
    <s v="tarjeta"/>
    <m/>
    <n v="67000"/>
    <m/>
    <m/>
    <m/>
    <m/>
    <m/>
  </r>
  <r>
    <d v="2024-10-10T00:00:00"/>
    <x v="4"/>
    <x v="1"/>
    <s v="pago cliente"/>
    <x v="0"/>
    <x v="438"/>
    <m/>
    <s v="Transferencia"/>
    <m/>
    <n v="181000"/>
    <m/>
    <m/>
    <m/>
    <m/>
    <m/>
  </r>
  <r>
    <d v="2024-10-10T00:00:00"/>
    <x v="4"/>
    <x v="1"/>
    <s v="pago cliente"/>
    <x v="0"/>
    <x v="439"/>
    <m/>
    <s v="tarjeta"/>
    <m/>
    <n v="152000"/>
    <m/>
    <m/>
    <m/>
    <m/>
    <m/>
  </r>
  <r>
    <d v="2024-10-10T00:00:00"/>
    <x v="4"/>
    <x v="1"/>
    <s v="Personal"/>
    <x v="1"/>
    <x v="369"/>
    <m/>
    <s v="personal"/>
    <m/>
    <m/>
    <n v="62130"/>
    <m/>
    <m/>
    <m/>
    <m/>
  </r>
  <r>
    <d v="2024-10-11T00:00:00"/>
    <x v="4"/>
    <x v="1"/>
    <s v="pago cliente"/>
    <x v="0"/>
    <x v="253"/>
    <m/>
    <s v="Cheque de terceros"/>
    <m/>
    <n v="181666"/>
    <m/>
    <m/>
    <m/>
    <m/>
    <m/>
  </r>
  <r>
    <d v="2024-10-12T00:00:00"/>
    <x v="4"/>
    <x v="1"/>
    <s v="Sueldo administrativo"/>
    <x v="0"/>
    <x v="27"/>
    <m/>
    <s v="Transferencia"/>
    <m/>
    <m/>
    <n v="150000"/>
    <m/>
    <m/>
    <m/>
    <m/>
  </r>
  <r>
    <d v="2024-10-14T00:00:00"/>
    <x v="4"/>
    <x v="1"/>
    <s v="pago cliente"/>
    <x v="0"/>
    <x v="42"/>
    <m/>
    <s v="Transferencia"/>
    <m/>
    <n v="460000"/>
    <m/>
    <m/>
    <m/>
    <m/>
    <m/>
  </r>
  <r>
    <d v="2024-10-14T00:00:00"/>
    <x v="4"/>
    <x v="1"/>
    <s v="pago cliente"/>
    <x v="0"/>
    <x v="417"/>
    <m/>
    <s v="Transferencia"/>
    <m/>
    <n v="200000"/>
    <m/>
    <m/>
    <m/>
    <m/>
    <m/>
  </r>
  <r>
    <d v="2024-10-14T00:00:00"/>
    <x v="4"/>
    <x v="1"/>
    <s v="Pago proveedor"/>
    <x v="0"/>
    <x v="440"/>
    <m/>
    <s v="Transferencia"/>
    <m/>
    <m/>
    <n v="550000"/>
    <m/>
    <m/>
    <m/>
    <m/>
  </r>
  <r>
    <d v="2024-10-14T00:00:00"/>
    <x v="4"/>
    <x v="1"/>
    <s v="pago cliente"/>
    <x v="0"/>
    <x v="441"/>
    <m/>
    <s v="Transferencia"/>
    <m/>
    <n v="389000"/>
    <m/>
    <m/>
    <m/>
    <m/>
    <m/>
  </r>
  <r>
    <d v="2024-10-14T00:00:00"/>
    <x v="4"/>
    <x v="1"/>
    <s v="Personal"/>
    <x v="1"/>
    <x v="395"/>
    <m/>
    <s v="personal"/>
    <m/>
    <m/>
    <n v="180000"/>
    <m/>
    <m/>
    <m/>
    <m/>
  </r>
  <r>
    <d v="2024-10-14T00:00:00"/>
    <x v="4"/>
    <x v="1"/>
    <s v="Personal"/>
    <x v="1"/>
    <x v="395"/>
    <m/>
    <s v="personal"/>
    <m/>
    <m/>
    <n v="180000"/>
    <m/>
    <m/>
    <m/>
    <m/>
  </r>
  <r>
    <d v="2024-10-15T00:00:00"/>
    <x v="4"/>
    <x v="1"/>
    <s v="pago cliente"/>
    <x v="0"/>
    <x v="41"/>
    <m/>
    <s v="tarjeta"/>
    <m/>
    <n v="421000"/>
    <m/>
    <m/>
    <m/>
    <m/>
    <m/>
  </r>
  <r>
    <d v="2024-10-15T00:00:00"/>
    <x v="4"/>
    <x v="1"/>
    <s v="pago cliente"/>
    <x v="0"/>
    <x v="397"/>
    <m/>
    <s v="tarjeta"/>
    <m/>
    <n v="288000"/>
    <m/>
    <m/>
    <m/>
    <m/>
    <m/>
  </r>
  <r>
    <d v="2024-10-15T00:00:00"/>
    <x v="4"/>
    <x v="1"/>
    <s v="Personal"/>
    <x v="1"/>
    <x v="13"/>
    <m/>
    <s v="personal"/>
    <m/>
    <m/>
    <n v="479087"/>
    <m/>
    <m/>
    <m/>
    <m/>
  </r>
  <r>
    <d v="2024-10-15T00:00:00"/>
    <x v="4"/>
    <x v="1"/>
    <s v="pago cliente"/>
    <x v="0"/>
    <x v="442"/>
    <m/>
    <s v="Cheque de terceros"/>
    <m/>
    <n v="70000"/>
    <m/>
    <m/>
    <m/>
    <m/>
    <m/>
  </r>
  <r>
    <d v="2024-10-15T00:00:00"/>
    <x v="4"/>
    <x v="1"/>
    <s v="pago cliente"/>
    <x v="0"/>
    <x v="442"/>
    <m/>
    <s v="Cheque de terceros"/>
    <m/>
    <n v="65000"/>
    <m/>
    <m/>
    <m/>
    <m/>
    <m/>
  </r>
  <r>
    <d v="2024-10-15T00:00:00"/>
    <x v="4"/>
    <x v="1"/>
    <s v="Pago proveedor"/>
    <x v="0"/>
    <x v="27"/>
    <s v="Barotto Marcelo "/>
    <s v="Cheque de terceros"/>
    <m/>
    <m/>
    <n v="70000"/>
    <m/>
    <m/>
    <m/>
    <m/>
  </r>
  <r>
    <d v="2024-10-15T00:00:00"/>
    <x v="4"/>
    <x v="1"/>
    <s v="Pago proveedor"/>
    <x v="0"/>
    <x v="27"/>
    <s v="Barotto Marcelo "/>
    <s v="Cheque de terceros"/>
    <m/>
    <m/>
    <n v="65000"/>
    <m/>
    <m/>
    <m/>
    <m/>
  </r>
  <r>
    <d v="2024-10-15T00:00:00"/>
    <x v="4"/>
    <x v="1"/>
    <s v="pago cliente"/>
    <x v="0"/>
    <x v="51"/>
    <m/>
    <s v="Cheque de terceros"/>
    <m/>
    <n v="137333.32999999999"/>
    <m/>
    <m/>
    <m/>
    <m/>
    <m/>
  </r>
  <r>
    <d v="2024-10-15T00:00:00"/>
    <x v="4"/>
    <x v="1"/>
    <s v="pago cliente"/>
    <x v="0"/>
    <x v="51"/>
    <m/>
    <s v="Cheque de terceros"/>
    <m/>
    <n v="120000"/>
    <m/>
    <m/>
    <m/>
    <m/>
    <m/>
  </r>
  <r>
    <d v="2024-10-15T00:00:00"/>
    <x v="4"/>
    <x v="1"/>
    <s v="pago cliente"/>
    <x v="0"/>
    <x v="51"/>
    <m/>
    <s v="Cheque de terceros"/>
    <m/>
    <n v="80000"/>
    <m/>
    <m/>
    <m/>
    <m/>
    <m/>
  </r>
  <r>
    <d v="2024-10-15T00:00:00"/>
    <x v="4"/>
    <x v="1"/>
    <s v="pago cliente"/>
    <x v="0"/>
    <x v="51"/>
    <m/>
    <s v="Cheque de terceros"/>
    <m/>
    <n v="233658.5"/>
    <m/>
    <m/>
    <m/>
    <m/>
    <m/>
  </r>
  <r>
    <d v="2024-10-15T00:00:00"/>
    <x v="4"/>
    <x v="1"/>
    <s v="pago cliente"/>
    <x v="0"/>
    <x v="51"/>
    <m/>
    <s v="Cheque de terceros"/>
    <m/>
    <n v="233658.5"/>
    <m/>
    <m/>
    <m/>
    <m/>
    <m/>
  </r>
  <r>
    <d v="2024-10-15T00:00:00"/>
    <x v="4"/>
    <x v="1"/>
    <s v="Personal"/>
    <x v="1"/>
    <x v="311"/>
    <m/>
    <s v="personal"/>
    <m/>
    <m/>
    <n v="196774"/>
    <m/>
    <m/>
    <m/>
    <m/>
  </r>
  <r>
    <d v="2024-10-16T00:00:00"/>
    <x v="4"/>
    <x v="1"/>
    <s v="pago cliente"/>
    <x v="0"/>
    <x v="74"/>
    <m/>
    <s v="Transferencia"/>
    <m/>
    <n v="482000"/>
    <m/>
    <m/>
    <m/>
    <m/>
    <m/>
  </r>
  <r>
    <d v="2024-10-16T00:00:00"/>
    <x v="4"/>
    <x v="1"/>
    <s v="Pago proveedor"/>
    <x v="0"/>
    <x v="27"/>
    <s v="Rep Center"/>
    <s v="Cheque de terceros"/>
    <m/>
    <m/>
    <n v="137333"/>
    <m/>
    <m/>
    <m/>
    <m/>
  </r>
  <r>
    <d v="2024-10-16T00:00:00"/>
    <x v="4"/>
    <x v="1"/>
    <s v="Pago proveedor"/>
    <x v="0"/>
    <x v="27"/>
    <s v="Rep Center"/>
    <s v="Cheque de terceros"/>
    <m/>
    <m/>
    <n v="120000"/>
    <m/>
    <m/>
    <m/>
    <m/>
  </r>
  <r>
    <d v="2024-10-16T00:00:00"/>
    <x v="4"/>
    <x v="1"/>
    <s v="Pago proveedor"/>
    <x v="0"/>
    <x v="27"/>
    <s v="Rep Center"/>
    <s v="Cheque de terceros"/>
    <m/>
    <m/>
    <n v="80000"/>
    <m/>
    <m/>
    <m/>
    <m/>
  </r>
  <r>
    <d v="2024-10-16T00:00:00"/>
    <x v="4"/>
    <x v="1"/>
    <s v="Pago proveedor"/>
    <x v="0"/>
    <x v="27"/>
    <s v="Rep Center"/>
    <s v="Cheque de terceros"/>
    <m/>
    <m/>
    <n v="233658.5"/>
    <m/>
    <m/>
    <m/>
    <m/>
  </r>
  <r>
    <d v="2024-10-16T00:00:00"/>
    <x v="4"/>
    <x v="1"/>
    <s v="Pago proveedor"/>
    <x v="0"/>
    <x v="27"/>
    <s v="Rep Center"/>
    <s v="Cheque de terceros"/>
    <m/>
    <m/>
    <n v="233658.5"/>
    <m/>
    <m/>
    <m/>
    <m/>
  </r>
  <r>
    <d v="2024-10-16T00:00:00"/>
    <x v="4"/>
    <x v="1"/>
    <s v="pago cliente"/>
    <x v="0"/>
    <x v="227"/>
    <m/>
    <s v="Transferencia"/>
    <m/>
    <n v="490000"/>
    <m/>
    <m/>
    <m/>
    <m/>
    <m/>
  </r>
  <r>
    <d v="2024-10-16T00:00:00"/>
    <x v="4"/>
    <x v="1"/>
    <s v="pago cliente"/>
    <x v="0"/>
    <x v="443"/>
    <m/>
    <s v="Transferencia"/>
    <m/>
    <n v="39000"/>
    <m/>
    <m/>
    <m/>
    <m/>
    <m/>
  </r>
  <r>
    <d v="2024-10-16T00:00:00"/>
    <x v="4"/>
    <x v="1"/>
    <s v="Personal"/>
    <x v="1"/>
    <x v="27"/>
    <m/>
    <s v="personal"/>
    <m/>
    <m/>
    <n v="62000"/>
    <m/>
    <m/>
    <m/>
    <m/>
  </r>
  <r>
    <d v="2024-10-17T00:00:00"/>
    <x v="4"/>
    <x v="1"/>
    <s v="pago cliente"/>
    <x v="0"/>
    <x v="400"/>
    <m/>
    <s v="Transferencia"/>
    <m/>
    <n v="68000"/>
    <m/>
    <m/>
    <m/>
    <m/>
    <m/>
  </r>
  <r>
    <d v="2024-10-19T00:00:00"/>
    <x v="4"/>
    <x v="1"/>
    <s v="Sueldo administrativo"/>
    <x v="0"/>
    <x v="27"/>
    <m/>
    <s v="Transferencia"/>
    <m/>
    <m/>
    <n v="150000"/>
    <m/>
    <m/>
    <m/>
    <m/>
  </r>
  <r>
    <d v="2024-10-21T00:00:00"/>
    <x v="4"/>
    <x v="1"/>
    <s v="pago cliente"/>
    <x v="0"/>
    <x v="263"/>
    <m/>
    <s v="Cheque de terceros"/>
    <m/>
    <n v="403800"/>
    <m/>
    <m/>
    <m/>
    <m/>
    <m/>
  </r>
  <r>
    <d v="2024-10-21T00:00:00"/>
    <x v="4"/>
    <x v="1"/>
    <s v="Personal"/>
    <x v="1"/>
    <x v="27"/>
    <m/>
    <s v="personal"/>
    <m/>
    <m/>
    <n v="168000"/>
    <m/>
    <m/>
    <m/>
    <m/>
  </r>
  <r>
    <d v="2024-10-21T00:00:00"/>
    <x v="4"/>
    <x v="1"/>
    <s v="honorarios"/>
    <x v="1"/>
    <x v="152"/>
    <m/>
    <s v="personal"/>
    <m/>
    <m/>
    <n v="218000"/>
    <m/>
    <m/>
    <m/>
    <m/>
  </r>
  <r>
    <d v="2024-10-21T00:00:00"/>
    <x v="4"/>
    <x v="1"/>
    <s v="Personal"/>
    <x v="1"/>
    <x v="27"/>
    <m/>
    <s v="personal"/>
    <m/>
    <m/>
    <n v="20000"/>
    <m/>
    <m/>
    <m/>
    <m/>
  </r>
  <r>
    <d v="2024-10-22T00:00:00"/>
    <x v="4"/>
    <x v="1"/>
    <s v="pago cliente"/>
    <x v="0"/>
    <x v="444"/>
    <m/>
    <s v="Transferencia"/>
    <m/>
    <n v="100000"/>
    <m/>
    <m/>
    <m/>
    <m/>
    <m/>
  </r>
  <r>
    <d v="2024-10-22T00:00:00"/>
    <x v="4"/>
    <x v="1"/>
    <s v="pago cliente"/>
    <x v="0"/>
    <x v="445"/>
    <m/>
    <s v="Transferencia"/>
    <m/>
    <n v="200000"/>
    <m/>
    <m/>
    <m/>
    <m/>
    <m/>
  </r>
  <r>
    <d v="2024-10-24T00:00:00"/>
    <x v="4"/>
    <x v="1"/>
    <s v="pago cliente"/>
    <x v="0"/>
    <x v="446"/>
    <m/>
    <s v="Transferencia"/>
    <m/>
    <n v="574200"/>
    <m/>
    <m/>
    <m/>
    <m/>
    <m/>
  </r>
  <r>
    <d v="2024-10-24T00:00:00"/>
    <x v="4"/>
    <x v="1"/>
    <s v="pago cliente"/>
    <x v="0"/>
    <x v="444"/>
    <m/>
    <s v="Transferencia"/>
    <m/>
    <n v="15000"/>
    <m/>
    <m/>
    <m/>
    <m/>
    <m/>
  </r>
  <r>
    <d v="2024-10-25T00:00:00"/>
    <x v="4"/>
    <x v="1"/>
    <s v="pago cliente"/>
    <x v="0"/>
    <x v="447"/>
    <m/>
    <s v="tarjeta"/>
    <m/>
    <n v="1045750"/>
    <m/>
    <m/>
    <m/>
    <m/>
    <m/>
  </r>
  <r>
    <d v="2024-10-25T00:00:00"/>
    <x v="4"/>
    <x v="1"/>
    <s v="Personal"/>
    <x v="1"/>
    <x v="27"/>
    <m/>
    <s v="personal"/>
    <m/>
    <m/>
    <n v="28000"/>
    <m/>
    <m/>
    <m/>
    <m/>
  </r>
  <r>
    <d v="2024-10-26T00:00:00"/>
    <x v="4"/>
    <x v="1"/>
    <s v="Pago proveedor"/>
    <x v="0"/>
    <x v="27"/>
    <s v="Barotto Marcelo "/>
    <s v="Cheque de terceros"/>
    <m/>
    <m/>
    <n v="403800"/>
    <m/>
    <m/>
    <m/>
    <m/>
  </r>
  <r>
    <d v="2024-10-28T00:00:00"/>
    <x v="4"/>
    <x v="1"/>
    <s v="pago cliente"/>
    <x v="0"/>
    <x v="242"/>
    <m/>
    <s v="Transferencia"/>
    <m/>
    <n v="182000"/>
    <m/>
    <m/>
    <m/>
    <m/>
    <m/>
  </r>
  <r>
    <d v="2024-10-28T00:00:00"/>
    <x v="4"/>
    <x v="1"/>
    <s v="Pago proveedor"/>
    <x v="0"/>
    <x v="448"/>
    <m/>
    <s v="Transferencia"/>
    <m/>
    <m/>
    <n v="795154.84"/>
    <m/>
    <m/>
    <m/>
    <m/>
  </r>
  <r>
    <d v="2024-10-28T00:00:00"/>
    <x v="4"/>
    <x v="1"/>
    <s v="Pago proveedor"/>
    <x v="0"/>
    <x v="27"/>
    <s v="ferrando"/>
    <s v="Transferencia"/>
    <m/>
    <m/>
    <n v="232000"/>
    <m/>
    <m/>
    <m/>
    <m/>
  </r>
  <r>
    <d v="2024-10-29T00:00:00"/>
    <x v="4"/>
    <x v="1"/>
    <s v="pago cliente"/>
    <x v="0"/>
    <x v="449"/>
    <m/>
    <s v="Cheque de terceros"/>
    <m/>
    <n v="90000"/>
    <m/>
    <m/>
    <m/>
    <m/>
    <m/>
  </r>
  <r>
    <d v="2024-10-29T00:00:00"/>
    <x v="4"/>
    <x v="1"/>
    <s v="pago cliente"/>
    <x v="0"/>
    <x v="449"/>
    <m/>
    <s v="Cheque de terceros"/>
    <m/>
    <n v="90000"/>
    <m/>
    <m/>
    <m/>
    <m/>
    <m/>
  </r>
  <r>
    <d v="2024-10-29T00:00:00"/>
    <x v="4"/>
    <x v="1"/>
    <s v="pago cliente"/>
    <x v="0"/>
    <x v="449"/>
    <m/>
    <s v="Cheque de terceros"/>
    <m/>
    <n v="100000"/>
    <m/>
    <m/>
    <m/>
    <m/>
    <m/>
  </r>
  <r>
    <d v="2024-10-29T00:00:00"/>
    <x v="4"/>
    <x v="1"/>
    <s v="pago cliente"/>
    <x v="0"/>
    <x v="449"/>
    <m/>
    <s v="Cheque de terceros"/>
    <m/>
    <n v="120000"/>
    <m/>
    <m/>
    <m/>
    <m/>
    <m/>
  </r>
  <r>
    <d v="2024-10-29T00:00:00"/>
    <x v="4"/>
    <x v="1"/>
    <s v="pago cliente"/>
    <x v="0"/>
    <x v="116"/>
    <m/>
    <s v="Transferencia"/>
    <m/>
    <n v="110000"/>
    <m/>
    <m/>
    <m/>
    <m/>
    <m/>
  </r>
  <r>
    <d v="2024-10-30T00:00:00"/>
    <x v="4"/>
    <x v="1"/>
    <s v="Pago proveedor"/>
    <x v="0"/>
    <x v="424"/>
    <m/>
    <s v="Transferencia"/>
    <m/>
    <m/>
    <n v="64800"/>
    <m/>
    <m/>
    <m/>
    <m/>
  </r>
  <r>
    <d v="2024-10-30T00:00:00"/>
    <x v="4"/>
    <x v="1"/>
    <s v="Personal"/>
    <x v="1"/>
    <x v="395"/>
    <m/>
    <s v="personal"/>
    <m/>
    <m/>
    <n v="250000"/>
    <m/>
    <m/>
    <m/>
    <m/>
  </r>
  <r>
    <d v="2024-10-31T00:00:00"/>
    <x v="4"/>
    <x v="1"/>
    <s v="pago cliente"/>
    <x v="0"/>
    <x v="405"/>
    <m/>
    <s v="Transferencia"/>
    <m/>
    <n v="69300"/>
    <m/>
    <m/>
    <m/>
    <m/>
    <m/>
  </r>
  <r>
    <d v="2024-10-31T00:00:00"/>
    <x v="4"/>
    <x v="1"/>
    <s v="Pago proveedor"/>
    <x v="0"/>
    <x v="27"/>
    <s v="TDI"/>
    <s v="Cheque de terceros"/>
    <m/>
    <m/>
    <n v="90000"/>
    <m/>
    <m/>
    <m/>
    <m/>
  </r>
  <r>
    <d v="2024-10-31T00:00:00"/>
    <x v="4"/>
    <x v="1"/>
    <s v="Pago proveedor"/>
    <x v="0"/>
    <x v="27"/>
    <s v="TDI"/>
    <s v="Cheque de terceros"/>
    <m/>
    <m/>
    <n v="90000"/>
    <m/>
    <m/>
    <m/>
    <m/>
  </r>
  <r>
    <d v="2024-10-31T00:00:00"/>
    <x v="4"/>
    <x v="1"/>
    <s v="Pago proveedor"/>
    <x v="0"/>
    <x v="27"/>
    <s v="TDI"/>
    <s v="Cheque de terceros"/>
    <m/>
    <m/>
    <n v="100000"/>
    <m/>
    <m/>
    <m/>
    <m/>
  </r>
  <r>
    <d v="2024-10-31T00:00:00"/>
    <x v="4"/>
    <x v="1"/>
    <s v="Pago proveedor"/>
    <x v="0"/>
    <x v="27"/>
    <s v="TDI"/>
    <s v="Cheque de terceros"/>
    <m/>
    <m/>
    <n v="120000"/>
    <m/>
    <m/>
    <m/>
    <m/>
  </r>
  <r>
    <d v="2024-10-31T00:00:00"/>
    <x v="4"/>
    <x v="1"/>
    <s v="pago cliente"/>
    <x v="0"/>
    <x v="83"/>
    <m/>
    <s v="Cheque de terceros"/>
    <m/>
    <n v="185000"/>
    <m/>
    <m/>
    <m/>
    <m/>
    <m/>
  </r>
  <r>
    <d v="2024-11-01T00:00:00"/>
    <x v="5"/>
    <x v="1"/>
    <s v="pago cliente"/>
    <x v="0"/>
    <x v="450"/>
    <m/>
    <s v="Transferencia"/>
    <m/>
    <n v="74000"/>
    <m/>
    <m/>
    <m/>
    <m/>
    <m/>
  </r>
  <r>
    <d v="2024-11-01T00:00:00"/>
    <x v="5"/>
    <x v="1"/>
    <s v="pago cliente"/>
    <x v="0"/>
    <x v="69"/>
    <m/>
    <s v="Transferencia"/>
    <m/>
    <n v="197000"/>
    <m/>
    <m/>
    <m/>
    <m/>
    <m/>
  </r>
  <r>
    <d v="2024-11-02T00:00:00"/>
    <x v="5"/>
    <x v="1"/>
    <s v="Sueldo administrativo"/>
    <x v="0"/>
    <x v="27"/>
    <m/>
    <s v="Transferencia"/>
    <m/>
    <m/>
    <n v="160000"/>
    <m/>
    <m/>
    <m/>
    <m/>
  </r>
  <r>
    <d v="2024-11-04T00:00:00"/>
    <x v="5"/>
    <x v="1"/>
    <s v="pago cliente"/>
    <x v="0"/>
    <x v="451"/>
    <m/>
    <s v="Cheque de terceros"/>
    <m/>
    <n v="195300"/>
    <m/>
    <m/>
    <m/>
    <m/>
    <m/>
  </r>
  <r>
    <d v="2024-11-04T00:00:00"/>
    <x v="5"/>
    <x v="1"/>
    <s v="pago cliente"/>
    <x v="0"/>
    <x v="277"/>
    <m/>
    <s v="Transferencia"/>
    <m/>
    <n v="235000"/>
    <m/>
    <m/>
    <m/>
    <m/>
    <m/>
  </r>
  <r>
    <d v="2024-11-04T00:00:00"/>
    <x v="5"/>
    <x v="1"/>
    <s v="pago cliente"/>
    <x v="0"/>
    <x v="146"/>
    <m/>
    <s v="Cheque de terceros"/>
    <m/>
    <n v="380000"/>
    <m/>
    <m/>
    <m/>
    <m/>
    <m/>
  </r>
  <r>
    <d v="2024-11-04T00:00:00"/>
    <x v="5"/>
    <x v="1"/>
    <s v="pago cliente"/>
    <x v="0"/>
    <x v="115"/>
    <m/>
    <s v="Transferencia"/>
    <m/>
    <n v="758800"/>
    <m/>
    <m/>
    <m/>
    <m/>
    <m/>
  </r>
  <r>
    <d v="2024-11-05T00:00:00"/>
    <x v="5"/>
    <x v="1"/>
    <s v="pago cliente"/>
    <x v="0"/>
    <x v="32"/>
    <m/>
    <s v="Cheque de terceros"/>
    <m/>
    <n v="90000"/>
    <m/>
    <m/>
    <m/>
    <m/>
    <m/>
  </r>
  <r>
    <d v="2024-11-05T00:00:00"/>
    <x v="5"/>
    <x v="1"/>
    <s v="pago cliente"/>
    <x v="0"/>
    <x v="32"/>
    <m/>
    <s v="Cheque de terceros"/>
    <m/>
    <n v="162500"/>
    <m/>
    <m/>
    <m/>
    <m/>
    <m/>
  </r>
  <r>
    <d v="2024-11-05T00:00:00"/>
    <x v="5"/>
    <x v="1"/>
    <s v="pago cliente"/>
    <x v="0"/>
    <x v="53"/>
    <m/>
    <s v="Transferencia"/>
    <m/>
    <n v="242200"/>
    <m/>
    <m/>
    <m/>
    <m/>
    <m/>
  </r>
  <r>
    <d v="2024-11-05T00:00:00"/>
    <x v="5"/>
    <x v="1"/>
    <s v="pago cliente"/>
    <x v="0"/>
    <x v="227"/>
    <m/>
    <s v="Transferencia"/>
    <m/>
    <n v="467500"/>
    <m/>
    <m/>
    <m/>
    <m/>
    <m/>
  </r>
  <r>
    <d v="2024-11-05T00:00:00"/>
    <x v="5"/>
    <x v="1"/>
    <s v="pago cliente"/>
    <x v="0"/>
    <x v="452"/>
    <m/>
    <s v="tarjeta"/>
    <m/>
    <n v="51500"/>
    <m/>
    <m/>
    <m/>
    <m/>
    <m/>
  </r>
  <r>
    <d v="2024-11-06T00:00:00"/>
    <x v="5"/>
    <x v="1"/>
    <s v="pago cliente"/>
    <x v="0"/>
    <x v="437"/>
    <m/>
    <s v="Transferencia"/>
    <m/>
    <n v="310000"/>
    <m/>
    <m/>
    <m/>
    <m/>
    <m/>
  </r>
  <r>
    <d v="2024-11-06T00:00:00"/>
    <x v="5"/>
    <x v="1"/>
    <s v="pago cliente"/>
    <x v="0"/>
    <x v="442"/>
    <m/>
    <s v="Cheque de terceros"/>
    <m/>
    <n v="65000"/>
    <m/>
    <m/>
    <m/>
    <m/>
    <m/>
  </r>
  <r>
    <d v="2024-11-07T00:00:00"/>
    <x v="5"/>
    <x v="1"/>
    <s v="pago cliente"/>
    <x v="0"/>
    <x v="453"/>
    <m/>
    <s v="Transferencia"/>
    <m/>
    <n v="706500"/>
    <m/>
    <m/>
    <m/>
    <m/>
    <m/>
  </r>
  <r>
    <d v="2024-11-07T00:00:00"/>
    <x v="5"/>
    <x v="1"/>
    <s v="Personal"/>
    <x v="1"/>
    <x v="454"/>
    <m/>
    <s v="Transferencia"/>
    <m/>
    <m/>
    <n v="27360"/>
    <m/>
    <m/>
    <m/>
    <m/>
  </r>
  <r>
    <d v="2024-11-07T00:00:00"/>
    <x v="5"/>
    <x v="1"/>
    <s v="pago cliente"/>
    <x v="0"/>
    <x v="455"/>
    <m/>
    <s v="Transferencia"/>
    <m/>
    <n v="288000"/>
    <m/>
    <m/>
    <m/>
    <m/>
    <m/>
  </r>
  <r>
    <d v="2024-11-07T00:00:00"/>
    <x v="5"/>
    <x v="1"/>
    <s v="pago cliente"/>
    <x v="0"/>
    <x v="456"/>
    <m/>
    <s v="tarjeta"/>
    <m/>
    <n v="245000"/>
    <m/>
    <m/>
    <m/>
    <m/>
    <m/>
  </r>
  <r>
    <d v="2024-11-07T00:00:00"/>
    <x v="5"/>
    <x v="1"/>
    <s v="pago cliente"/>
    <x v="0"/>
    <x v="457"/>
    <m/>
    <s v="tarjeta"/>
    <m/>
    <n v="220000"/>
    <m/>
    <m/>
    <m/>
    <m/>
    <m/>
  </r>
  <r>
    <d v="2024-11-07T00:00:00"/>
    <x v="5"/>
    <x v="1"/>
    <s v="Pago proveedor"/>
    <x v="0"/>
    <x v="27"/>
    <s v="Barotto Marcelo "/>
    <s v="Cheque de terceros"/>
    <m/>
    <m/>
    <n v="65000"/>
    <m/>
    <m/>
    <m/>
    <m/>
  </r>
  <r>
    <d v="2024-11-07T00:00:00"/>
    <x v="5"/>
    <x v="1"/>
    <s v="Pago proveedor"/>
    <x v="0"/>
    <x v="27"/>
    <s v="Barotto Marcelo "/>
    <s v="Cheque de terceros"/>
    <m/>
    <m/>
    <n v="90000"/>
    <m/>
    <m/>
    <m/>
    <m/>
  </r>
  <r>
    <d v="2024-11-07T00:00:00"/>
    <x v="5"/>
    <x v="1"/>
    <s v="Pago proveedor"/>
    <x v="0"/>
    <x v="27"/>
    <s v="Barotto Marcelo "/>
    <s v="Cheque de terceros"/>
    <m/>
    <m/>
    <n v="162500"/>
    <m/>
    <m/>
    <m/>
    <m/>
  </r>
  <r>
    <d v="2024-11-07T00:00:00"/>
    <x v="5"/>
    <x v="1"/>
    <s v="pago cliente"/>
    <x v="0"/>
    <x v="458"/>
    <m/>
    <s v="Transferencia"/>
    <m/>
    <n v="256000"/>
    <m/>
    <m/>
    <m/>
    <m/>
    <m/>
  </r>
  <r>
    <d v="2024-11-07T00:00:00"/>
    <x v="5"/>
    <x v="1"/>
    <s v="Pago proveedor"/>
    <x v="0"/>
    <x v="27"/>
    <s v="Rio rep"/>
    <s v="Cheque de terceros"/>
    <m/>
    <m/>
    <n v="185000"/>
    <m/>
    <m/>
    <m/>
    <m/>
  </r>
  <r>
    <d v="2024-11-07T00:00:00"/>
    <x v="5"/>
    <x v="1"/>
    <s v="Personal"/>
    <x v="1"/>
    <x v="249"/>
    <m/>
    <s v="personal"/>
    <m/>
    <m/>
    <n v="330000"/>
    <m/>
    <m/>
    <m/>
    <m/>
  </r>
  <r>
    <d v="2024-11-07T00:00:00"/>
    <x v="5"/>
    <x v="1"/>
    <s v="pago cliente"/>
    <x v="0"/>
    <x v="459"/>
    <m/>
    <s v="tarjeta"/>
    <m/>
    <n v="220000"/>
    <m/>
    <m/>
    <m/>
    <m/>
    <m/>
  </r>
  <r>
    <d v="2024-11-07T00:00:00"/>
    <x v="5"/>
    <x v="1"/>
    <s v="pago cliente"/>
    <x v="0"/>
    <x v="460"/>
    <m/>
    <s v="Transferencia"/>
    <m/>
    <n v="167000"/>
    <m/>
    <m/>
    <m/>
    <m/>
    <m/>
  </r>
  <r>
    <d v="2024-11-07T00:00:00"/>
    <x v="5"/>
    <x v="1"/>
    <s v="Pago proveedor"/>
    <x v="0"/>
    <x v="315"/>
    <m/>
    <s v="Transferencia"/>
    <m/>
    <m/>
    <n v="585000"/>
    <m/>
    <m/>
    <m/>
    <m/>
  </r>
  <r>
    <d v="2024-11-07T00:00:00"/>
    <x v="5"/>
    <x v="1"/>
    <s v="pago cliente"/>
    <x v="0"/>
    <x v="8"/>
    <m/>
    <s v="Cheque de terceros"/>
    <m/>
    <n v="220000"/>
    <m/>
    <m/>
    <m/>
    <m/>
    <m/>
  </r>
  <r>
    <d v="2024-11-07T00:00:00"/>
    <x v="5"/>
    <x v="1"/>
    <s v="pago cliente"/>
    <x v="0"/>
    <x v="8"/>
    <m/>
    <s v="Cheque de terceros"/>
    <m/>
    <n v="220000"/>
    <m/>
    <m/>
    <m/>
    <m/>
    <m/>
  </r>
  <r>
    <d v="2024-11-07T00:00:00"/>
    <x v="5"/>
    <x v="1"/>
    <s v="pago cliente"/>
    <x v="0"/>
    <x v="8"/>
    <m/>
    <s v="Cheque de terceros"/>
    <m/>
    <n v="434434"/>
    <m/>
    <m/>
    <m/>
    <m/>
    <m/>
  </r>
  <r>
    <d v="2024-11-08T00:00:00"/>
    <x v="5"/>
    <x v="1"/>
    <s v="Pago proveedor"/>
    <x v="0"/>
    <x v="27"/>
    <s v="TDI"/>
    <s v="Cheque de terceros"/>
    <m/>
    <m/>
    <n v="195300"/>
    <m/>
    <m/>
    <m/>
    <m/>
  </r>
  <r>
    <d v="2024-11-08T00:00:00"/>
    <x v="5"/>
    <x v="1"/>
    <s v="Pago proveedor"/>
    <x v="0"/>
    <x v="27"/>
    <s v="TDI"/>
    <s v="Cheque de terceros"/>
    <m/>
    <m/>
    <n v="380000"/>
    <m/>
    <m/>
    <m/>
    <m/>
  </r>
  <r>
    <d v="2024-11-08T00:00:00"/>
    <x v="5"/>
    <x v="1"/>
    <s v="pago cliente"/>
    <x v="0"/>
    <x v="461"/>
    <m/>
    <s v="tarjeta"/>
    <m/>
    <n v="471700"/>
    <m/>
    <m/>
    <m/>
    <m/>
    <m/>
  </r>
  <r>
    <d v="2024-11-08T00:00:00"/>
    <x v="5"/>
    <x v="1"/>
    <s v="Pago proveedor"/>
    <x v="0"/>
    <x v="341"/>
    <m/>
    <s v="Transferencia"/>
    <m/>
    <m/>
    <n v="141900"/>
    <m/>
    <m/>
    <m/>
    <m/>
  </r>
  <r>
    <d v="2024-11-08T00:00:00"/>
    <x v="5"/>
    <x v="1"/>
    <s v="Pago proveedor"/>
    <x v="0"/>
    <x v="314"/>
    <m/>
    <s v="Transferencia"/>
    <m/>
    <m/>
    <n v="30000"/>
    <m/>
    <m/>
    <m/>
    <m/>
  </r>
  <r>
    <d v="2024-11-08T00:00:00"/>
    <x v="5"/>
    <x v="1"/>
    <s v="Sueldo administrativo"/>
    <x v="0"/>
    <x v="27"/>
    <m/>
    <s v="Transferencia"/>
    <m/>
    <m/>
    <n v="200000"/>
    <m/>
    <m/>
    <m/>
    <m/>
  </r>
  <r>
    <d v="2024-11-11T00:00:00"/>
    <x v="5"/>
    <x v="1"/>
    <s v="pago cliente"/>
    <x v="0"/>
    <x v="462"/>
    <m/>
    <s v="Transferencia"/>
    <m/>
    <n v="100000"/>
    <m/>
    <m/>
    <m/>
    <m/>
    <m/>
  </r>
  <r>
    <d v="2024-11-12T00:00:00"/>
    <x v="5"/>
    <x v="1"/>
    <s v="pago cliente"/>
    <x v="0"/>
    <x v="85"/>
    <m/>
    <s v="Cheque de terceros"/>
    <m/>
    <n v="380000"/>
    <m/>
    <m/>
    <m/>
    <m/>
    <m/>
  </r>
  <r>
    <d v="2024-11-12T00:00:00"/>
    <x v="5"/>
    <x v="1"/>
    <s v="pago cliente"/>
    <x v="0"/>
    <x v="85"/>
    <m/>
    <s v="Transferencia"/>
    <m/>
    <n v="25500"/>
    <m/>
    <m/>
    <m/>
    <m/>
    <m/>
  </r>
  <r>
    <d v="2024-11-12T00:00:00"/>
    <x v="5"/>
    <x v="1"/>
    <s v="pago cliente"/>
    <x v="0"/>
    <x v="399"/>
    <m/>
    <s v="Cheque de terceros"/>
    <m/>
    <n v="305000"/>
    <m/>
    <m/>
    <m/>
    <m/>
    <m/>
  </r>
  <r>
    <d v="2024-11-13T00:00:00"/>
    <x v="5"/>
    <x v="1"/>
    <s v="Pago proveedor"/>
    <x v="0"/>
    <x v="463"/>
    <m/>
    <s v="Transferencia"/>
    <m/>
    <m/>
    <n v="180000"/>
    <m/>
    <m/>
    <m/>
    <m/>
  </r>
  <r>
    <d v="2024-11-13T00:00:00"/>
    <x v="5"/>
    <x v="1"/>
    <s v="Personal"/>
    <x v="1"/>
    <x v="283"/>
    <m/>
    <s v="personal"/>
    <m/>
    <m/>
    <n v="90000"/>
    <m/>
    <m/>
    <m/>
    <m/>
  </r>
  <r>
    <d v="2024-11-13T00:00:00"/>
    <x v="5"/>
    <x v="1"/>
    <s v="Personal"/>
    <x v="1"/>
    <x v="464"/>
    <m/>
    <s v="personal"/>
    <m/>
    <m/>
    <n v="2682170.7000000002"/>
    <m/>
    <m/>
    <m/>
    <m/>
  </r>
  <r>
    <d v="2024-11-14T00:00:00"/>
    <x v="5"/>
    <x v="1"/>
    <s v="Personal"/>
    <x v="1"/>
    <x v="311"/>
    <m/>
    <s v="personal"/>
    <m/>
    <m/>
    <n v="190029.47"/>
    <m/>
    <m/>
    <m/>
    <m/>
  </r>
  <r>
    <d v="2024-11-14T00:00:00"/>
    <x v="5"/>
    <x v="1"/>
    <s v="Personal"/>
    <x v="1"/>
    <x v="465"/>
    <m/>
    <s v="personal"/>
    <m/>
    <m/>
    <n v="273657.53000000003"/>
    <m/>
    <m/>
    <m/>
    <m/>
  </r>
  <r>
    <d v="2024-11-14T00:00:00"/>
    <x v="5"/>
    <x v="1"/>
    <s v="pago cliente"/>
    <x v="0"/>
    <x v="69"/>
    <m/>
    <s v="Transferencia"/>
    <m/>
    <n v="695368.43"/>
    <m/>
    <m/>
    <m/>
    <m/>
    <m/>
  </r>
  <r>
    <d v="2024-11-14T00:00:00"/>
    <x v="5"/>
    <x v="1"/>
    <s v="pago cliente"/>
    <x v="0"/>
    <x v="117"/>
    <m/>
    <s v="E-cheq"/>
    <m/>
    <n v="435071.92"/>
    <m/>
    <m/>
    <m/>
    <m/>
    <m/>
  </r>
  <r>
    <d v="2024-11-14T00:00:00"/>
    <x v="5"/>
    <x v="1"/>
    <s v="pago cliente"/>
    <x v="0"/>
    <x v="117"/>
    <m/>
    <s v="Transferencia"/>
    <m/>
    <n v="17428.53"/>
    <m/>
    <m/>
    <m/>
    <m/>
    <m/>
  </r>
  <r>
    <d v="2024-11-14T00:00:00"/>
    <x v="5"/>
    <x v="1"/>
    <s v="pago cliente"/>
    <x v="0"/>
    <x v="466"/>
    <m/>
    <s v="tarjeta"/>
    <m/>
    <n v="555000"/>
    <m/>
    <m/>
    <m/>
    <m/>
    <m/>
  </r>
  <r>
    <d v="2024-11-15T00:00:00"/>
    <x v="5"/>
    <x v="1"/>
    <s v="pago cliente"/>
    <x v="0"/>
    <x v="449"/>
    <m/>
    <s v="Transferencia"/>
    <m/>
    <n v="74500"/>
    <m/>
    <m/>
    <m/>
    <m/>
    <m/>
  </r>
  <r>
    <d v="2024-11-15T00:00:00"/>
    <x v="5"/>
    <x v="1"/>
    <s v="pago cliente"/>
    <x v="0"/>
    <x v="74"/>
    <m/>
    <s v="Transferencia"/>
    <m/>
    <n v="284000"/>
    <m/>
    <m/>
    <m/>
    <m/>
    <m/>
  </r>
  <r>
    <d v="2024-11-15T00:00:00"/>
    <x v="5"/>
    <x v="1"/>
    <s v="pago cliente"/>
    <x v="0"/>
    <x v="467"/>
    <m/>
    <s v="Transferencia"/>
    <m/>
    <n v="350000"/>
    <m/>
    <m/>
    <m/>
    <m/>
    <m/>
  </r>
  <r>
    <d v="2024-11-15T00:00:00"/>
    <x v="5"/>
    <x v="1"/>
    <s v="Pago proveedor"/>
    <x v="0"/>
    <x v="27"/>
    <s v="Repuestos Serrano"/>
    <s v="Cheque de terceros"/>
    <m/>
    <m/>
    <n v="434434"/>
    <m/>
    <m/>
    <m/>
    <m/>
  </r>
  <r>
    <d v="2024-11-15T00:00:00"/>
    <x v="5"/>
    <x v="1"/>
    <s v="Pago proveedor"/>
    <x v="0"/>
    <x v="27"/>
    <s v="Repuestos Serrano"/>
    <s v="Cheque de terceros"/>
    <m/>
    <m/>
    <n v="220000"/>
    <m/>
    <m/>
    <m/>
    <m/>
  </r>
  <r>
    <d v="2024-11-15T00:00:00"/>
    <x v="5"/>
    <x v="1"/>
    <s v="Pago proveedor"/>
    <x v="0"/>
    <x v="27"/>
    <s v="Repuestos Serrano"/>
    <s v="Cheque de terceros"/>
    <m/>
    <m/>
    <n v="220000"/>
    <m/>
    <m/>
    <m/>
    <m/>
  </r>
  <r>
    <d v="2024-11-15T00:00:00"/>
    <x v="5"/>
    <x v="1"/>
    <s v="Pago proveedor"/>
    <x v="0"/>
    <x v="27"/>
    <s v="Repuestos Serrano"/>
    <s v="Cheque de terceros"/>
    <m/>
    <m/>
    <n v="380000"/>
    <m/>
    <m/>
    <m/>
    <m/>
  </r>
  <r>
    <d v="2024-11-15T00:00:00"/>
    <x v="5"/>
    <x v="1"/>
    <s v="Pago proveedor"/>
    <x v="0"/>
    <x v="27"/>
    <s v="Repuestos Serrano"/>
    <s v="Cheque de terceros"/>
    <m/>
    <m/>
    <n v="305000"/>
    <m/>
    <m/>
    <m/>
    <m/>
  </r>
  <r>
    <d v="2024-11-15T00:00:00"/>
    <x v="5"/>
    <x v="1"/>
    <s v="Personal"/>
    <x v="1"/>
    <x v="13"/>
    <m/>
    <s v="personal"/>
    <m/>
    <m/>
    <n v="475396"/>
    <m/>
    <m/>
    <m/>
    <m/>
  </r>
  <r>
    <d v="2024-11-19T00:00:00"/>
    <x v="5"/>
    <x v="1"/>
    <s v="pago cliente"/>
    <x v="0"/>
    <x v="157"/>
    <m/>
    <s v="Transferencia"/>
    <m/>
    <n v="116000"/>
    <m/>
    <m/>
    <m/>
    <m/>
    <m/>
  </r>
  <r>
    <d v="2024-11-19T00:00:00"/>
    <x v="5"/>
    <x v="1"/>
    <s v="pago cliente"/>
    <x v="0"/>
    <x v="115"/>
    <m/>
    <s v="Transferencia"/>
    <m/>
    <n v="270000"/>
    <m/>
    <m/>
    <m/>
    <m/>
    <m/>
  </r>
  <r>
    <d v="2024-11-20T00:00:00"/>
    <x v="5"/>
    <x v="1"/>
    <s v="Pago proveedor"/>
    <x v="0"/>
    <x v="468"/>
    <m/>
    <s v="Transferencia"/>
    <m/>
    <m/>
    <n v="190000"/>
    <m/>
    <m/>
    <m/>
    <m/>
  </r>
  <r>
    <d v="2024-11-20T00:00:00"/>
    <x v="5"/>
    <x v="1"/>
    <s v="pago cliente"/>
    <x v="0"/>
    <x v="469"/>
    <m/>
    <s v="Transferencia"/>
    <m/>
    <n v="75000"/>
    <m/>
    <m/>
    <m/>
    <m/>
    <m/>
  </r>
  <r>
    <d v="2024-11-20T00:00:00"/>
    <x v="5"/>
    <x v="1"/>
    <s v="Pago proveedor"/>
    <x v="0"/>
    <x v="440"/>
    <m/>
    <s v="Transferencia"/>
    <m/>
    <m/>
    <n v="1292771"/>
    <m/>
    <m/>
    <m/>
    <m/>
  </r>
  <r>
    <d v="2024-11-21T00:00:00"/>
    <x v="5"/>
    <x v="1"/>
    <s v="Pago proveedor"/>
    <x v="0"/>
    <x v="27"/>
    <s v="Rep Center"/>
    <s v="Transferencia"/>
    <m/>
    <m/>
    <n v="311770"/>
    <m/>
    <m/>
    <m/>
    <m/>
  </r>
  <r>
    <d v="2024-11-21T00:00:00"/>
    <x v="5"/>
    <x v="1"/>
    <s v="pago cliente"/>
    <x v="0"/>
    <x v="470"/>
    <m/>
    <s v="Transferencia"/>
    <m/>
    <n v="1020600"/>
    <m/>
    <m/>
    <m/>
    <m/>
    <m/>
  </r>
  <r>
    <d v="2024-11-21T00:00:00"/>
    <x v="5"/>
    <x v="1"/>
    <s v="pago cliente"/>
    <x v="0"/>
    <x v="471"/>
    <m/>
    <s v="Transferencia"/>
    <m/>
    <n v="180000"/>
    <m/>
    <m/>
    <m/>
    <m/>
    <m/>
  </r>
  <r>
    <d v="2024-11-21T00:00:00"/>
    <x v="5"/>
    <x v="1"/>
    <s v="pago cliente"/>
    <x v="0"/>
    <x v="472"/>
    <m/>
    <s v="Transferencia"/>
    <m/>
    <n v="224000"/>
    <m/>
    <m/>
    <m/>
    <m/>
    <m/>
  </r>
  <r>
    <d v="2024-11-22T00:00:00"/>
    <x v="5"/>
    <x v="1"/>
    <s v="Pago proveedor"/>
    <x v="0"/>
    <x v="473"/>
    <m/>
    <s v="Transferencia"/>
    <m/>
    <m/>
    <n v="18000"/>
    <m/>
    <m/>
    <m/>
    <m/>
  </r>
  <r>
    <d v="2024-11-22T00:00:00"/>
    <x v="5"/>
    <x v="1"/>
    <s v="pago cliente"/>
    <x v="0"/>
    <x v="41"/>
    <m/>
    <s v="Transferencia"/>
    <m/>
    <n v="260000"/>
    <m/>
    <m/>
    <m/>
    <m/>
    <m/>
  </r>
  <r>
    <d v="2024-11-22T00:00:00"/>
    <x v="5"/>
    <x v="1"/>
    <s v="pago cliente"/>
    <x v="0"/>
    <x v="474"/>
    <m/>
    <s v="tarjeta"/>
    <m/>
    <n v="366000"/>
    <m/>
    <m/>
    <m/>
    <m/>
    <m/>
  </r>
  <r>
    <d v="2024-11-22T00:00:00"/>
    <x v="5"/>
    <x v="1"/>
    <s v="pago cliente"/>
    <x v="0"/>
    <x v="50"/>
    <m/>
    <s v="E-cheq"/>
    <m/>
    <n v="3880800"/>
    <m/>
    <m/>
    <m/>
    <m/>
    <m/>
  </r>
  <r>
    <d v="2024-11-23T00:00:00"/>
    <x v="5"/>
    <x v="1"/>
    <s v="pago cliente"/>
    <x v="0"/>
    <x v="99"/>
    <m/>
    <s v="Cheque de terceros"/>
    <m/>
    <m/>
    <n v="178892.03"/>
    <m/>
    <m/>
    <m/>
    <m/>
  </r>
  <r>
    <d v="2024-11-23T00:00:00"/>
    <x v="5"/>
    <x v="1"/>
    <s v="pago cliente"/>
    <x v="0"/>
    <x v="99"/>
    <m/>
    <s v="Cheque de terceros"/>
    <m/>
    <m/>
    <n v="88330"/>
    <m/>
    <m/>
    <m/>
    <m/>
  </r>
  <r>
    <d v="2024-11-25T00:00:00"/>
    <x v="5"/>
    <x v="1"/>
    <s v="pago cliente"/>
    <x v="0"/>
    <x v="429"/>
    <m/>
    <s v="tarjeta"/>
    <m/>
    <n v="150000"/>
    <m/>
    <m/>
    <m/>
    <m/>
    <m/>
  </r>
  <r>
    <d v="2024-11-25T00:00:00"/>
    <x v="5"/>
    <x v="1"/>
    <s v="pago cliente"/>
    <x v="0"/>
    <x v="467"/>
    <m/>
    <s v="Transferencia"/>
    <m/>
    <n v="300000"/>
    <m/>
    <m/>
    <m/>
    <m/>
    <m/>
  </r>
  <r>
    <d v="2024-11-23T00:00:00"/>
    <x v="5"/>
    <x v="1"/>
    <s v="pago cliente"/>
    <x v="0"/>
    <x v="379"/>
    <m/>
    <s v="Transferencia"/>
    <m/>
    <n v="124000"/>
    <m/>
    <m/>
    <m/>
    <m/>
    <m/>
  </r>
  <r>
    <d v="2024-11-25T00:00:00"/>
    <x v="5"/>
    <x v="1"/>
    <s v="pago cliente"/>
    <x v="0"/>
    <x v="474"/>
    <m/>
    <s v="tarjeta"/>
    <m/>
    <n v="306000"/>
    <m/>
    <m/>
    <m/>
    <m/>
    <m/>
  </r>
  <r>
    <d v="2024-11-25T00:00:00"/>
    <x v="5"/>
    <x v="1"/>
    <s v="Pago proveedor"/>
    <x v="0"/>
    <x v="315"/>
    <m/>
    <s v="Transferencia"/>
    <m/>
    <m/>
    <n v="550000"/>
    <m/>
    <m/>
    <m/>
    <m/>
  </r>
  <r>
    <d v="2024-11-25T00:00:00"/>
    <x v="5"/>
    <x v="1"/>
    <s v="honorarios"/>
    <x v="1"/>
    <x v="152"/>
    <m/>
    <s v="personal"/>
    <m/>
    <m/>
    <n v="250000"/>
    <m/>
    <m/>
    <m/>
    <m/>
  </r>
  <r>
    <d v="2024-11-25T00:00:00"/>
    <x v="5"/>
    <x v="1"/>
    <s v="Pago proveedor"/>
    <x v="0"/>
    <x v="402"/>
    <m/>
    <s v="Transferencia"/>
    <m/>
    <m/>
    <n v="3152050"/>
    <m/>
    <m/>
    <m/>
    <m/>
  </r>
  <r>
    <d v="2024-11-25T00:00:00"/>
    <x v="5"/>
    <x v="1"/>
    <s v="pago cliente"/>
    <x v="0"/>
    <x v="305"/>
    <m/>
    <s v="Transferencia"/>
    <m/>
    <n v="160000"/>
    <m/>
    <m/>
    <m/>
    <m/>
    <m/>
  </r>
  <r>
    <d v="2024-11-25T00:00:00"/>
    <x v="5"/>
    <x v="1"/>
    <s v="pago cliente"/>
    <x v="0"/>
    <x v="475"/>
    <m/>
    <s v="Transferencia"/>
    <m/>
    <n v="70000"/>
    <m/>
    <m/>
    <m/>
    <m/>
    <m/>
  </r>
  <r>
    <d v="2024-11-26T00:00:00"/>
    <x v="5"/>
    <x v="1"/>
    <s v="pago cliente"/>
    <x v="0"/>
    <x v="476"/>
    <m/>
    <s v="Transferencia"/>
    <m/>
    <n v="35000"/>
    <m/>
    <m/>
    <m/>
    <m/>
    <m/>
  </r>
  <r>
    <d v="2024-11-26T00:00:00"/>
    <x v="5"/>
    <x v="1"/>
    <s v="pago cliente"/>
    <x v="0"/>
    <x v="477"/>
    <m/>
    <s v="Transferencia"/>
    <m/>
    <n v="107000"/>
    <m/>
    <m/>
    <m/>
    <m/>
    <m/>
  </r>
  <r>
    <d v="2024-11-26T00:00:00"/>
    <x v="5"/>
    <x v="1"/>
    <s v="pago cliente"/>
    <x v="0"/>
    <x v="478"/>
    <m/>
    <s v="Transferencia"/>
    <m/>
    <n v="114000"/>
    <m/>
    <m/>
    <m/>
    <m/>
    <m/>
  </r>
  <r>
    <d v="2024-11-23T00:00:00"/>
    <x v="5"/>
    <x v="1"/>
    <s v="Personal"/>
    <x v="1"/>
    <x v="27"/>
    <m/>
    <s v="personal"/>
    <m/>
    <m/>
    <n v="130000"/>
    <m/>
    <m/>
    <m/>
    <m/>
  </r>
  <r>
    <d v="2024-11-27T00:00:00"/>
    <x v="5"/>
    <x v="1"/>
    <s v="pago cliente"/>
    <x v="0"/>
    <x v="116"/>
    <m/>
    <s v="Transferencia"/>
    <m/>
    <n v="120000"/>
    <m/>
    <m/>
    <m/>
    <m/>
    <m/>
  </r>
  <r>
    <d v="2024-11-27T00:00:00"/>
    <x v="5"/>
    <x v="1"/>
    <s v="pago cliente"/>
    <x v="0"/>
    <x v="479"/>
    <m/>
    <s v="Transferencia"/>
    <m/>
    <n v="200000"/>
    <m/>
    <m/>
    <m/>
    <m/>
    <m/>
  </r>
  <r>
    <d v="2024-11-27T00:00:00"/>
    <x v="5"/>
    <x v="1"/>
    <s v="pago cliente"/>
    <x v="0"/>
    <x v="480"/>
    <m/>
    <s v="Transferencia"/>
    <m/>
    <n v="151000"/>
    <m/>
    <m/>
    <m/>
    <m/>
    <m/>
  </r>
  <r>
    <d v="2024-11-27T00:00:00"/>
    <x v="5"/>
    <x v="1"/>
    <s v="pago cliente"/>
    <x v="0"/>
    <x v="45"/>
    <m/>
    <s v="Transferencia"/>
    <m/>
    <n v="35000"/>
    <m/>
    <m/>
    <m/>
    <m/>
    <m/>
  </r>
  <r>
    <d v="2024-11-27T00:00:00"/>
    <x v="5"/>
    <x v="1"/>
    <s v="pago cliente"/>
    <x v="0"/>
    <x v="460"/>
    <m/>
    <s v="Transferencia"/>
    <m/>
    <n v="588500"/>
    <m/>
    <m/>
    <m/>
    <m/>
    <m/>
  </r>
  <r>
    <d v="2024-11-28T00:00:00"/>
    <x v="5"/>
    <x v="1"/>
    <s v="pago cliente"/>
    <x v="0"/>
    <x v="86"/>
    <m/>
    <s v="Cheque de terceros"/>
    <m/>
    <n v="157105"/>
    <m/>
    <m/>
    <m/>
    <m/>
    <m/>
  </r>
  <r>
    <d v="2024-11-28T00:00:00"/>
    <x v="5"/>
    <x v="1"/>
    <s v="pago cliente"/>
    <x v="0"/>
    <x v="86"/>
    <m/>
    <s v="tarjeta"/>
    <m/>
    <n v="327895"/>
    <m/>
    <m/>
    <m/>
    <m/>
    <m/>
  </r>
  <r>
    <d v="2024-11-28T00:00:00"/>
    <x v="5"/>
    <x v="1"/>
    <s v="pago cliente"/>
    <x v="0"/>
    <x v="242"/>
    <m/>
    <s v="Transferencia"/>
    <m/>
    <n v="491000"/>
    <m/>
    <m/>
    <m/>
    <m/>
    <m/>
  </r>
  <r>
    <d v="2024-11-29T00:00:00"/>
    <x v="5"/>
    <x v="1"/>
    <s v="pago cliente"/>
    <x v="0"/>
    <x v="386"/>
    <m/>
    <s v="Transferencia"/>
    <m/>
    <n v="230000"/>
    <m/>
    <m/>
    <m/>
    <m/>
    <m/>
  </r>
  <r>
    <d v="2024-11-29T00:00:00"/>
    <x v="5"/>
    <x v="1"/>
    <s v="pago cliente"/>
    <x v="0"/>
    <x v="481"/>
    <m/>
    <s v="Transferencia"/>
    <m/>
    <n v="214000"/>
    <m/>
    <m/>
    <m/>
    <m/>
    <m/>
  </r>
  <r>
    <d v="2024-11-28T00:00:00"/>
    <x v="5"/>
    <x v="1"/>
    <s v="Personal"/>
    <x v="1"/>
    <x v="27"/>
    <m/>
    <s v="personal"/>
    <m/>
    <m/>
    <n v="200000"/>
    <m/>
    <m/>
    <m/>
    <m/>
  </r>
  <r>
    <d v="2024-11-29T00:00:00"/>
    <x v="5"/>
    <x v="1"/>
    <s v="pago cliente"/>
    <x v="0"/>
    <x v="482"/>
    <m/>
    <s v="Transferencia"/>
    <m/>
    <n v="94000"/>
    <m/>
    <m/>
    <m/>
    <m/>
    <m/>
  </r>
  <r>
    <d v="2024-11-29T00:00:00"/>
    <x v="5"/>
    <x v="1"/>
    <s v="pago cliente"/>
    <x v="0"/>
    <x v="186"/>
    <m/>
    <s v="Cheque de terceros"/>
    <m/>
    <n v="158400"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7"/>
    <x v="2"/>
    <m/>
    <x v="2"/>
    <x v="27"/>
    <m/>
    <m/>
    <m/>
    <m/>
    <m/>
    <m/>
    <m/>
    <m/>
    <m/>
  </r>
  <r>
    <m/>
    <x v="12"/>
    <x v="3"/>
    <m/>
    <x v="2"/>
    <x v="27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5:B17" firstHeaderRow="1" firstDataRow="1" firstDataCol="1" rowPageCount="2" colPageCount="1"/>
  <pivotFields count="15">
    <pivotField showAll="0"/>
    <pivotField axis="axisRow" showAll="0">
      <items count="14">
        <item x="12"/>
        <item sd="0" x="3"/>
        <item sd="0" x="2"/>
        <item sd="0" x="4"/>
        <item sd="0" x="5"/>
        <item sd="0" x="6"/>
        <item sd="0" x="7"/>
        <item sd="0" x="0"/>
        <item sd="0" x="8"/>
        <item sd="0" x="9"/>
        <item sd="0" x="10"/>
        <item sd="0" x="11"/>
        <item sd="0" x="1"/>
        <item t="default"/>
      </items>
    </pivotField>
    <pivotField axis="axisPage" multipleItemSelectionAllowed="1" showAll="0">
      <items count="5">
        <item x="3"/>
        <item h="1" x="0"/>
        <item x="1"/>
        <item h="1" x="2"/>
        <item t="default"/>
      </items>
    </pivotField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axis="axisRow" showAll="0">
      <items count="485">
        <item x="134"/>
        <item x="72"/>
        <item x="145"/>
        <item x="75"/>
        <item x="88"/>
        <item x="1"/>
        <item x="114"/>
        <item x="9"/>
        <item x="63"/>
        <item x="115"/>
        <item x="28"/>
        <item x="164"/>
        <item x="126"/>
        <item x="154"/>
        <item x="179"/>
        <item x="4"/>
        <item x="20"/>
        <item x="48"/>
        <item x="139"/>
        <item x="19"/>
        <item x="103"/>
        <item x="138"/>
        <item x="120"/>
        <item x="118"/>
        <item x="16"/>
        <item x="8"/>
        <item x="100"/>
        <item x="163"/>
        <item x="66"/>
        <item x="71"/>
        <item x="6"/>
        <item x="2"/>
        <item x="107"/>
        <item x="150"/>
        <item x="73"/>
        <item x="83"/>
        <item x="165"/>
        <item x="93"/>
        <item x="69"/>
        <item x="99"/>
        <item x="161"/>
        <item x="116"/>
        <item x="125"/>
        <item x="170"/>
        <item x="10"/>
        <item x="41"/>
        <item x="102"/>
        <item x="77"/>
        <item x="49"/>
        <item x="67"/>
        <item x="89"/>
        <item x="101"/>
        <item x="104"/>
        <item x="24"/>
        <item x="166"/>
        <item x="90"/>
        <item x="108"/>
        <item x="84"/>
        <item x="81"/>
        <item x="26"/>
        <item x="12"/>
        <item x="82"/>
        <item x="113"/>
        <item x="135"/>
        <item x="56"/>
        <item x="123"/>
        <item x="177"/>
        <item x="178"/>
        <item x="171"/>
        <item x="58"/>
        <item x="47"/>
        <item x="91"/>
        <item x="50"/>
        <item x="21"/>
        <item x="11"/>
        <item x="39"/>
        <item x="68"/>
        <item x="85"/>
        <item x="110"/>
        <item x="153"/>
        <item x="7"/>
        <item x="54"/>
        <item x="35"/>
        <item x="109"/>
        <item x="44"/>
        <item x="78"/>
        <item x="87"/>
        <item x="148"/>
        <item x="122"/>
        <item x="129"/>
        <item x="22"/>
        <item x="151"/>
        <item x="18"/>
        <item x="17"/>
        <item x="40"/>
        <item x="105"/>
        <item x="5"/>
        <item x="29"/>
        <item x="64"/>
        <item x="65"/>
        <item x="32"/>
        <item x="94"/>
        <item x="43"/>
        <item x="127"/>
        <item x="25"/>
        <item x="34"/>
        <item x="111"/>
        <item x="42"/>
        <item x="112"/>
        <item x="13"/>
        <item x="45"/>
        <item x="46"/>
        <item x="152"/>
        <item x="14"/>
        <item x="55"/>
        <item x="160"/>
        <item x="52"/>
        <item x="157"/>
        <item x="142"/>
        <item x="173"/>
        <item x="117"/>
        <item x="162"/>
        <item x="62"/>
        <item x="76"/>
        <item x="15"/>
        <item x="147"/>
        <item x="59"/>
        <item x="79"/>
        <item x="33"/>
        <item x="146"/>
        <item x="37"/>
        <item x="3"/>
        <item x="57"/>
        <item x="31"/>
        <item x="95"/>
        <item x="86"/>
        <item x="23"/>
        <item x="149"/>
        <item x="30"/>
        <item x="144"/>
        <item x="167"/>
        <item x="80"/>
        <item x="92"/>
        <item x="61"/>
        <item x="60"/>
        <item x="143"/>
        <item x="51"/>
        <item x="70"/>
        <item x="158"/>
        <item x="38"/>
        <item x="136"/>
        <item x="106"/>
        <item x="36"/>
        <item x="53"/>
        <item x="74"/>
        <item x="27"/>
        <item x="137"/>
        <item x="155"/>
        <item x="180"/>
        <item x="181"/>
        <item x="182"/>
        <item x="185"/>
        <item x="186"/>
        <item x="191"/>
        <item x="187"/>
        <item x="188"/>
        <item x="189"/>
        <item x="132"/>
        <item x="192"/>
        <item x="193"/>
        <item x="194"/>
        <item x="195"/>
        <item x="196"/>
        <item x="197"/>
        <item x="198"/>
        <item x="199"/>
        <item x="0"/>
        <item x="200"/>
        <item x="201"/>
        <item x="203"/>
        <item x="204"/>
        <item x="205"/>
        <item x="206"/>
        <item x="207"/>
        <item x="208"/>
        <item x="209"/>
        <item x="210"/>
        <item x="211"/>
        <item x="212"/>
        <item x="215"/>
        <item x="216"/>
        <item x="217"/>
        <item x="96"/>
        <item x="97"/>
        <item x="98"/>
        <item x="119"/>
        <item x="121"/>
        <item x="124"/>
        <item x="128"/>
        <item x="130"/>
        <item x="131"/>
        <item x="133"/>
        <item x="140"/>
        <item x="141"/>
        <item x="156"/>
        <item x="159"/>
        <item x="168"/>
        <item x="169"/>
        <item x="172"/>
        <item x="174"/>
        <item x="183"/>
        <item x="184"/>
        <item x="175"/>
        <item x="176"/>
        <item x="190"/>
        <item x="202"/>
        <item x="213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81"/>
        <item x="279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6"/>
        <item x="308"/>
        <item x="309"/>
        <item x="310"/>
        <item x="311"/>
        <item x="304"/>
        <item x="312"/>
        <item x="313"/>
        <item x="314"/>
        <item x="315"/>
        <item x="307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40"/>
        <item x="341"/>
        <item x="342"/>
        <item x="343"/>
        <item x="344"/>
        <item x="345"/>
        <item x="346"/>
        <item x="347"/>
        <item x="350"/>
        <item x="338"/>
        <item x="349"/>
        <item x="339"/>
        <item x="351"/>
        <item x="352"/>
        <item x="348"/>
        <item x="353"/>
        <item x="354"/>
        <item x="355"/>
        <item x="356"/>
        <item x="357"/>
        <item x="358"/>
        <item x="359"/>
        <item x="360"/>
        <item x="361"/>
        <item x="362"/>
        <item x="364"/>
        <item x="365"/>
        <item x="366"/>
        <item x="368"/>
        <item x="214"/>
        <item x="370"/>
        <item x="371"/>
        <item x="372"/>
        <item x="373"/>
        <item x="374"/>
        <item x="375"/>
        <item x="376"/>
        <item x="377"/>
        <item x="378"/>
        <item x="379"/>
        <item x="363"/>
        <item x="367"/>
        <item x="380"/>
        <item x="382"/>
        <item x="369"/>
        <item x="381"/>
        <item x="383"/>
        <item x="385"/>
        <item x="386"/>
        <item x="387"/>
        <item x="388"/>
        <item x="389"/>
        <item x="390"/>
        <item x="391"/>
        <item x="384"/>
        <item x="392"/>
        <item x="393"/>
        <item x="394"/>
        <item x="396"/>
        <item x="397"/>
        <item x="399"/>
        <item x="400"/>
        <item x="401"/>
        <item x="398"/>
        <item x="402"/>
        <item x="403"/>
        <item x="404"/>
        <item x="405"/>
        <item x="395"/>
        <item x="406"/>
        <item x="407"/>
        <item x="408"/>
        <item x="412"/>
        <item x="413"/>
        <item x="409"/>
        <item x="410"/>
        <item x="411"/>
        <item x="415"/>
        <item x="416"/>
        <item x="417"/>
        <item x="418"/>
        <item x="420"/>
        <item x="421"/>
        <item x="422"/>
        <item x="423"/>
        <item x="425"/>
        <item x="426"/>
        <item x="419"/>
        <item x="427"/>
        <item x="428"/>
        <item x="429"/>
        <item x="430"/>
        <item x="431"/>
        <item x="432"/>
        <item x="436"/>
        <item x="414"/>
        <item x="437"/>
        <item x="438"/>
        <item x="439"/>
        <item x="440"/>
        <item x="441"/>
        <item x="442"/>
        <item x="443"/>
        <item x="424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33"/>
        <item x="434"/>
        <item x="462"/>
        <item x="463"/>
        <item x="465"/>
        <item x="466"/>
        <item x="467"/>
        <item x="464"/>
        <item x="468"/>
        <item x="469"/>
        <item x="435"/>
        <item m="1" x="483"/>
        <item x="473"/>
        <item x="470"/>
        <item x="471"/>
        <item x="472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/>
    <pivotField showAll="0"/>
  </pivotFields>
  <rowFields count="2">
    <field x="1"/>
    <field x="5"/>
  </rowFields>
  <rowItems count="12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4" hier="-1"/>
    <pageField fld="2" hier="-1"/>
  </pageFields>
  <dataFields count="1">
    <dataField name="Suma de HABER (EGRESO)" fld="10" baseField="0" baseItem="0" numFmtId="4"/>
  </dataFields>
  <formats count="12"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  <format dxfId="8">
      <pivotArea field="1" type="button" dataOnly="0" labelOnly="1" outline="0" axis="axisRow" fieldPosition="0"/>
    </format>
    <format dxfId="7">
      <pivotArea field="4" type="button" dataOnly="0" labelOnly="1" outline="0" axis="axisPage" fieldPosition="0"/>
    </format>
    <format dxfId="6">
      <pivotArea dataOnly="0" labelOnly="1" outline="0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4">
      <pivotArea grandRow="1" outline="0" collapsedLevelsAreSubtotals="1" fieldPosition="0"/>
    </format>
    <format dxfId="3">
      <pivotArea grandRow="1" outline="0" collapsedLevelsAreSubtotals="1" fieldPosition="0"/>
    </format>
    <format dxfId="2">
      <pivotArea outline="0" collapsedLevelsAreSubtotals="1" fieldPosition="0"/>
    </format>
    <format dxfId="1">
      <pivotArea dataOnly="0" labelOnly="1" grandRow="1" outline="0" fieldPosition="0"/>
    </format>
    <format dxfId="0">
      <pivotArea outline="0" collapsedLevelsAreSubtotals="1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 dinámica1" cacheId="5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rowHeaderCaption="Egresos">
  <location ref="A54:F64" firstHeaderRow="1" firstDataRow="2" firstDataCol="1"/>
  <pivotFields count="9">
    <pivotField axis="axisRow" showAll="0">
      <items count="10">
        <item x="1"/>
        <item x="5"/>
        <item x="3"/>
        <item x="2"/>
        <item x="4"/>
        <item x="7"/>
        <item x="6"/>
        <item x="0"/>
        <item h="1" x="8"/>
        <item t="default"/>
      </items>
    </pivotField>
    <pivotField showAll="0"/>
    <pivotField showAll="0"/>
    <pivotField dataField="1" showAll="0"/>
    <pivotField dataField="1" showAll="0">
      <items count="19">
        <item x="7"/>
        <item x="16"/>
        <item x="12"/>
        <item x="17"/>
        <item x="15"/>
        <item x="8"/>
        <item x="10"/>
        <item x="4"/>
        <item x="9"/>
        <item x="14"/>
        <item x="13"/>
        <item x="5"/>
        <item x="6"/>
        <item x="3"/>
        <item x="2"/>
        <item x="1"/>
        <item x="0"/>
        <item x="11"/>
        <item t="default"/>
      </items>
    </pivotField>
    <pivotField dataField="1" showAll="0">
      <items count="21">
        <item x="12"/>
        <item x="16"/>
        <item x="19"/>
        <item x="17"/>
        <item x="9"/>
        <item x="18"/>
        <item x="14"/>
        <item x="10"/>
        <item x="13"/>
        <item x="15"/>
        <item x="4"/>
        <item x="11"/>
        <item x="6"/>
        <item x="7"/>
        <item x="5"/>
        <item x="3"/>
        <item x="2"/>
        <item x="1"/>
        <item x="0"/>
        <item x="8"/>
        <item t="default"/>
      </items>
    </pivotField>
    <pivotField dataField="1" showAll="0">
      <items count="15">
        <item x="13"/>
        <item x="12"/>
        <item x="11"/>
        <item x="8"/>
        <item x="9"/>
        <item x="10"/>
        <item x="6"/>
        <item x="7"/>
        <item x="5"/>
        <item x="1"/>
        <item x="3"/>
        <item x="2"/>
        <item x="0"/>
        <item x="4"/>
        <item t="default"/>
      </items>
    </pivotField>
    <pivotField dataField="1" showAll="0">
      <items count="18">
        <item x="16"/>
        <item x="15"/>
        <item x="14"/>
        <item x="13"/>
        <item x="8"/>
        <item x="9"/>
        <item x="12"/>
        <item x="10"/>
        <item x="11"/>
        <item x="7"/>
        <item x="6"/>
        <item x="5"/>
        <item x="3"/>
        <item x="2"/>
        <item x="1"/>
        <item x="0"/>
        <item x="4"/>
        <item t="default"/>
      </items>
    </pivotField>
    <pivotField showAll="0">
      <items count="8">
        <item x="6"/>
        <item x="5"/>
        <item x="4"/>
        <item x="2"/>
        <item x="3"/>
        <item x="1"/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Enero" fld="3" baseField="0" baseItem="0" numFmtId="3"/>
    <dataField name="Febrero" fld="4" baseField="0" baseItem="0" numFmtId="3"/>
    <dataField name="Marzo" fld="5" baseField="0" baseItem="0" numFmtId="3"/>
    <dataField name="Abril" fld="6" baseField="0" baseItem="0" numFmtId="3"/>
    <dataField name="Mayo" fld="7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 dinámica8" cacheId="4" dataPosition="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5:B20" firstHeaderRow="1" firstDataRow="1" firstDataCol="1" rowPageCount="1" colPageCount="1"/>
  <pivotFields count="17">
    <pivotField numFmtId="165" showAll="0"/>
    <pivotField axis="axisRow" numFmtId="165" showAll="0">
      <items count="18">
        <item x="11"/>
        <item x="7"/>
        <item x="3"/>
        <item x="12"/>
        <item x="9"/>
        <item x="0"/>
        <item x="2"/>
        <item x="13"/>
        <item x="8"/>
        <item x="15"/>
        <item x="4"/>
        <item x="16"/>
        <item x="1"/>
        <item x="10"/>
        <item x="14"/>
        <item x="5"/>
        <item x="6"/>
        <item t="default"/>
      </items>
    </pivotField>
    <pivotField axis="axisPage" numFmtId="165" showAll="0">
      <items count="4">
        <item x="1"/>
        <item x="0"/>
        <item x="2"/>
        <item t="default"/>
      </items>
    </pivotField>
    <pivotField axis="axisRow" numFmtId="165" showAll="0">
      <items count="3">
        <item x="0"/>
        <item x="1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dragToRow="0" dragToCol="0" dragToPage="0" showAll="0" defaultSubtotal="0"/>
  </pivotFields>
  <rowFields count="2">
    <field x="3"/>
    <field x="1"/>
  </rowFields>
  <rowItems count="15">
    <i>
      <x/>
    </i>
    <i r="1">
      <x v="1"/>
    </i>
    <i r="1">
      <x v="2"/>
    </i>
    <i r="1">
      <x v="6"/>
    </i>
    <i r="1">
      <x v="9"/>
    </i>
    <i r="1">
      <x v="10"/>
    </i>
    <i r="1">
      <x v="11"/>
    </i>
    <i r="1">
      <x v="12"/>
    </i>
    <i r="1">
      <x v="14"/>
    </i>
    <i r="1">
      <x v="16"/>
    </i>
    <i>
      <x v="1"/>
    </i>
    <i r="1">
      <x/>
    </i>
    <i r="1">
      <x v="3"/>
    </i>
    <i r="1">
      <x v="7"/>
    </i>
    <i t="grand">
      <x/>
    </i>
  </rowItems>
  <colItems count="1">
    <i/>
  </colItems>
  <pageFields count="1">
    <pageField fld="2" item="2" hier="-1"/>
  </pageFields>
  <dataFields count="1">
    <dataField name="Suma de Total 19" fld="16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6431"/>
  <sheetViews>
    <sheetView zoomScaleNormal="100" zoomScalePageLayoutView="90" workbookViewId="0">
      <pane ySplit="2" topLeftCell="A1505" activePane="bottomLeft" state="frozen"/>
      <selection pane="bottomLeft" activeCell="D1510" sqref="D1510:D1511"/>
    </sheetView>
  </sheetViews>
  <sheetFormatPr baseColWidth="10" defaultRowHeight="15" x14ac:dyDescent="0.25"/>
  <cols>
    <col min="1" max="1" width="14" style="68" customWidth="1"/>
    <col min="2" max="2" width="7.42578125" style="48" customWidth="1"/>
    <col min="3" max="3" width="5.85546875" style="48" customWidth="1"/>
    <col min="4" max="4" width="31.85546875" style="76" customWidth="1"/>
    <col min="5" max="5" width="12.42578125" customWidth="1"/>
    <col min="6" max="6" width="44.85546875" customWidth="1"/>
    <col min="7" max="7" width="23" customWidth="1"/>
    <col min="8" max="8" width="22.140625" style="1" customWidth="1"/>
    <col min="9" max="9" width="12" style="1" customWidth="1"/>
    <col min="10" max="10" width="18" style="149" customWidth="1"/>
    <col min="11" max="11" width="20.42578125" style="149" customWidth="1"/>
    <col min="12" max="12" width="16.140625" style="149" customWidth="1"/>
    <col min="13" max="13" width="13.7109375" style="149" customWidth="1"/>
    <col min="14" max="14" width="16.42578125" style="130" customWidth="1"/>
    <col min="15" max="15" width="14.7109375" style="19" customWidth="1"/>
    <col min="16" max="16" width="12.42578125" bestFit="1" customWidth="1"/>
    <col min="17" max="17" width="29.42578125" customWidth="1"/>
    <col min="18" max="18" width="23.42578125" customWidth="1"/>
    <col min="19" max="19" width="20.42578125" customWidth="1"/>
  </cols>
  <sheetData>
    <row r="1" spans="1:19" ht="41.1" customHeight="1" x14ac:dyDescent="0.25">
      <c r="A1" s="64"/>
      <c r="B1" s="51"/>
      <c r="C1" s="51"/>
      <c r="D1" s="69"/>
      <c r="E1" s="51"/>
      <c r="F1" s="51"/>
      <c r="G1" s="51"/>
      <c r="H1" s="51"/>
      <c r="I1" s="51"/>
      <c r="J1" s="151"/>
      <c r="K1" s="144"/>
      <c r="L1" s="144"/>
      <c r="M1" s="51"/>
      <c r="N1" s="128"/>
      <c r="O1" s="51"/>
    </row>
    <row r="2" spans="1:19" ht="36.75" customHeight="1" x14ac:dyDescent="0.25">
      <c r="A2" s="59" t="s">
        <v>88</v>
      </c>
      <c r="B2" s="57" t="s">
        <v>13</v>
      </c>
      <c r="C2" s="57" t="s">
        <v>14</v>
      </c>
      <c r="D2" s="70" t="s">
        <v>12</v>
      </c>
      <c r="E2" s="57" t="s">
        <v>91</v>
      </c>
      <c r="F2" s="57" t="s">
        <v>2</v>
      </c>
      <c r="G2" s="57" t="s">
        <v>96</v>
      </c>
      <c r="H2" s="57" t="s">
        <v>128</v>
      </c>
      <c r="I2" s="57" t="s">
        <v>133</v>
      </c>
      <c r="J2" s="57" t="s">
        <v>94</v>
      </c>
      <c r="K2" s="57" t="s">
        <v>95</v>
      </c>
      <c r="L2" s="58" t="s">
        <v>894</v>
      </c>
      <c r="M2" s="58" t="s">
        <v>884</v>
      </c>
      <c r="N2" s="129" t="s">
        <v>643</v>
      </c>
      <c r="O2" s="57" t="s">
        <v>644</v>
      </c>
      <c r="Q2" s="100" t="s">
        <v>57</v>
      </c>
      <c r="R2" s="100" t="s">
        <v>90</v>
      </c>
      <c r="S2" s="100" t="s">
        <v>129</v>
      </c>
    </row>
    <row r="3" spans="1:19" x14ac:dyDescent="0.25">
      <c r="A3" s="54">
        <v>44958</v>
      </c>
      <c r="B3" s="25">
        <f t="shared" ref="B3:B66" si="0">MONTH(A3)</f>
        <v>2</v>
      </c>
      <c r="C3" s="25">
        <f t="shared" ref="C3:C66" si="1">YEAR((A3))</f>
        <v>2023</v>
      </c>
      <c r="D3" s="71" t="s">
        <v>352</v>
      </c>
      <c r="E3" s="4" t="s">
        <v>93</v>
      </c>
      <c r="F3" s="4" t="s">
        <v>692</v>
      </c>
      <c r="G3" s="4"/>
      <c r="H3" s="7" t="s">
        <v>130</v>
      </c>
      <c r="I3" s="60"/>
      <c r="J3" s="118">
        <v>19500</v>
      </c>
      <c r="K3" s="118"/>
      <c r="L3" s="118"/>
      <c r="M3" s="118"/>
      <c r="N3" s="127"/>
      <c r="O3" s="26"/>
      <c r="Q3" s="53" t="str">
        <f>'Base Libro Caja'!Q3</f>
        <v>Pago cliente</v>
      </c>
      <c r="R3" s="53" t="s">
        <v>92</v>
      </c>
      <c r="S3" s="53" t="s">
        <v>131</v>
      </c>
    </row>
    <row r="4" spans="1:19" x14ac:dyDescent="0.25">
      <c r="A4" s="54">
        <v>45133</v>
      </c>
      <c r="B4" s="25">
        <f t="shared" si="0"/>
        <v>7</v>
      </c>
      <c r="C4" s="25">
        <f t="shared" si="1"/>
        <v>2023</v>
      </c>
      <c r="D4" s="7" t="s">
        <v>89</v>
      </c>
      <c r="E4" s="4" t="s">
        <v>93</v>
      </c>
      <c r="F4" s="7" t="s">
        <v>137</v>
      </c>
      <c r="G4" s="7"/>
      <c r="H4" s="23" t="s">
        <v>130</v>
      </c>
      <c r="I4" s="60"/>
      <c r="J4" s="49">
        <v>54400</v>
      </c>
      <c r="K4" s="118"/>
      <c r="L4" s="118"/>
      <c r="M4" s="118"/>
      <c r="N4" s="127"/>
      <c r="O4" s="26"/>
      <c r="Q4" s="53" t="str">
        <f>'Base Libro Caja'!Q4</f>
        <v>Impuestos Municipales</v>
      </c>
      <c r="R4" s="53" t="s">
        <v>93</v>
      </c>
      <c r="S4" s="53" t="s">
        <v>130</v>
      </c>
    </row>
    <row r="5" spans="1:19" x14ac:dyDescent="0.25">
      <c r="A5" s="54">
        <v>45134</v>
      </c>
      <c r="B5" s="25">
        <f t="shared" si="0"/>
        <v>7</v>
      </c>
      <c r="C5" s="25">
        <f t="shared" si="1"/>
        <v>2023</v>
      </c>
      <c r="D5" s="7" t="s">
        <v>89</v>
      </c>
      <c r="E5" s="4" t="s">
        <v>93</v>
      </c>
      <c r="F5" s="7" t="s">
        <v>132</v>
      </c>
      <c r="G5" s="7"/>
      <c r="H5" s="23" t="s">
        <v>130</v>
      </c>
      <c r="I5" s="23"/>
      <c r="J5" s="49">
        <v>73100</v>
      </c>
      <c r="K5" s="118"/>
      <c r="L5" s="118"/>
      <c r="M5" s="118"/>
      <c r="N5" s="127"/>
      <c r="O5" s="26"/>
      <c r="Q5" s="53" t="str">
        <f>'Base Libro Caja'!Q5</f>
        <v>Saldo inicial</v>
      </c>
      <c r="R5" s="53"/>
      <c r="S5" s="53" t="s">
        <v>544</v>
      </c>
    </row>
    <row r="6" spans="1:19" x14ac:dyDescent="0.25">
      <c r="A6" s="54">
        <v>45134</v>
      </c>
      <c r="B6" s="25">
        <f t="shared" si="0"/>
        <v>7</v>
      </c>
      <c r="C6" s="25">
        <f t="shared" si="1"/>
        <v>2023</v>
      </c>
      <c r="D6" s="7" t="s">
        <v>89</v>
      </c>
      <c r="E6" s="4" t="s">
        <v>93</v>
      </c>
      <c r="F6" s="60" t="s">
        <v>134</v>
      </c>
      <c r="G6" s="7"/>
      <c r="H6" s="23" t="s">
        <v>131</v>
      </c>
      <c r="I6" s="60">
        <v>1575924</v>
      </c>
      <c r="J6" s="49">
        <v>115000</v>
      </c>
      <c r="K6" s="118"/>
      <c r="L6" s="118"/>
      <c r="M6" s="118"/>
      <c r="N6" s="127"/>
      <c r="O6" s="26"/>
      <c r="Q6" s="53" t="str">
        <f>'Base Libro Caja'!Q6</f>
        <v>Pago cliente casual</v>
      </c>
      <c r="R6" s="53"/>
      <c r="S6" s="53" t="s">
        <v>92</v>
      </c>
    </row>
    <row r="7" spans="1:19" x14ac:dyDescent="0.25">
      <c r="A7" s="54">
        <v>45134</v>
      </c>
      <c r="B7" s="25">
        <f t="shared" si="0"/>
        <v>7</v>
      </c>
      <c r="C7" s="25">
        <f t="shared" si="1"/>
        <v>2023</v>
      </c>
      <c r="D7" s="7" t="s">
        <v>89</v>
      </c>
      <c r="E7" s="4" t="s">
        <v>93</v>
      </c>
      <c r="F7" s="7" t="s">
        <v>136</v>
      </c>
      <c r="G7" s="7"/>
      <c r="H7" s="23" t="s">
        <v>130</v>
      </c>
      <c r="I7" s="60"/>
      <c r="J7" s="49">
        <v>80700</v>
      </c>
      <c r="K7" s="118"/>
      <c r="L7" s="118"/>
      <c r="M7" s="118"/>
      <c r="N7" s="127"/>
      <c r="O7" s="26"/>
      <c r="Q7" s="53" t="str">
        <f>'Base Libro Caja'!Q7</f>
        <v>Librería</v>
      </c>
      <c r="R7" s="53"/>
      <c r="S7" s="53" t="s">
        <v>874</v>
      </c>
    </row>
    <row r="8" spans="1:19" x14ac:dyDescent="0.25">
      <c r="A8" s="54">
        <v>45135</v>
      </c>
      <c r="B8" s="25">
        <f t="shared" si="0"/>
        <v>7</v>
      </c>
      <c r="C8" s="25">
        <f t="shared" si="1"/>
        <v>2023</v>
      </c>
      <c r="D8" s="7" t="s">
        <v>89</v>
      </c>
      <c r="E8" s="4" t="s">
        <v>93</v>
      </c>
      <c r="F8" s="7" t="s">
        <v>141</v>
      </c>
      <c r="G8" s="7"/>
      <c r="H8" s="23" t="s">
        <v>130</v>
      </c>
      <c r="I8" s="60"/>
      <c r="J8" s="49">
        <v>68150</v>
      </c>
      <c r="K8" s="118"/>
      <c r="L8" s="118"/>
      <c r="M8" s="118"/>
      <c r="N8" s="127"/>
      <c r="O8" s="26"/>
      <c r="Q8" s="53" t="str">
        <f>'Base Libro Caja'!Q8</f>
        <v>Articulos de limpieza</v>
      </c>
      <c r="R8" s="53"/>
      <c r="S8" s="53" t="s">
        <v>1087</v>
      </c>
    </row>
    <row r="9" spans="1:19" x14ac:dyDescent="0.25">
      <c r="A9" s="54">
        <v>45136</v>
      </c>
      <c r="B9" s="25">
        <f t="shared" si="0"/>
        <v>7</v>
      </c>
      <c r="C9" s="25">
        <f t="shared" si="1"/>
        <v>2023</v>
      </c>
      <c r="D9" s="7" t="s">
        <v>89</v>
      </c>
      <c r="E9" s="4" t="s">
        <v>93</v>
      </c>
      <c r="F9" s="7" t="s">
        <v>144</v>
      </c>
      <c r="G9" s="7"/>
      <c r="H9" s="23" t="s">
        <v>130</v>
      </c>
      <c r="I9" s="60"/>
      <c r="J9" s="49">
        <v>50500</v>
      </c>
      <c r="K9" s="118"/>
      <c r="L9" s="118"/>
      <c r="M9" s="118"/>
      <c r="N9" s="127"/>
      <c r="O9" s="26"/>
      <c r="Q9" s="53" t="str">
        <f>'Base Libro Caja'!Q9</f>
        <v>Combustible</v>
      </c>
      <c r="R9" s="53"/>
      <c r="S9" s="53"/>
    </row>
    <row r="10" spans="1:19" x14ac:dyDescent="0.25">
      <c r="A10" s="54">
        <v>45138</v>
      </c>
      <c r="B10" s="25">
        <f t="shared" si="0"/>
        <v>7</v>
      </c>
      <c r="C10" s="25">
        <f t="shared" si="1"/>
        <v>2023</v>
      </c>
      <c r="D10" s="7" t="s">
        <v>89</v>
      </c>
      <c r="E10" s="4" t="s">
        <v>93</v>
      </c>
      <c r="F10" s="7" t="s">
        <v>143</v>
      </c>
      <c r="G10" s="7"/>
      <c r="H10" s="23" t="s">
        <v>130</v>
      </c>
      <c r="I10" s="60"/>
      <c r="J10" s="49">
        <v>124220</v>
      </c>
      <c r="K10" s="118"/>
      <c r="L10" s="118"/>
      <c r="M10" s="118"/>
      <c r="N10" s="127"/>
      <c r="O10" s="26"/>
      <c r="Q10" s="53" t="str">
        <f>'Base Libro Caja'!Q10</f>
        <v>Ingreso a Caja grande</v>
      </c>
      <c r="R10" s="53"/>
      <c r="S10" s="53"/>
    </row>
    <row r="11" spans="1:19" x14ac:dyDescent="0.25">
      <c r="A11" s="54">
        <v>45139</v>
      </c>
      <c r="B11" s="25">
        <f t="shared" si="0"/>
        <v>8</v>
      </c>
      <c r="C11" s="25">
        <f t="shared" si="1"/>
        <v>2023</v>
      </c>
      <c r="D11" s="7" t="s">
        <v>89</v>
      </c>
      <c r="E11" s="4" t="s">
        <v>93</v>
      </c>
      <c r="F11" s="7" t="s">
        <v>150</v>
      </c>
      <c r="G11" s="7"/>
      <c r="H11" s="23" t="s">
        <v>131</v>
      </c>
      <c r="I11" s="60"/>
      <c r="J11" s="49">
        <v>100000</v>
      </c>
      <c r="K11" s="118"/>
      <c r="L11" s="118"/>
      <c r="M11" s="118"/>
      <c r="N11" s="127"/>
      <c r="O11" s="26"/>
      <c r="Q11" s="53" t="str">
        <f>'Base Libro Caja'!Q11</f>
        <v>Ingreso a Caja chica</v>
      </c>
      <c r="R11" s="53"/>
      <c r="S11" s="53"/>
    </row>
    <row r="12" spans="1:19" x14ac:dyDescent="0.25">
      <c r="A12" s="54">
        <v>45139</v>
      </c>
      <c r="B12" s="25">
        <f t="shared" si="0"/>
        <v>8</v>
      </c>
      <c r="C12" s="25">
        <f t="shared" si="1"/>
        <v>2023</v>
      </c>
      <c r="D12" s="7" t="s">
        <v>89</v>
      </c>
      <c r="E12" s="4" t="s">
        <v>93</v>
      </c>
      <c r="F12" s="7" t="s">
        <v>150</v>
      </c>
      <c r="G12" s="7"/>
      <c r="H12" s="23" t="s">
        <v>131</v>
      </c>
      <c r="I12" s="60"/>
      <c r="J12" s="49">
        <v>18792</v>
      </c>
      <c r="K12" s="118"/>
      <c r="L12" s="118"/>
      <c r="M12" s="118"/>
      <c r="N12" s="127"/>
      <c r="O12" s="26"/>
      <c r="Q12" s="53" t="str">
        <f>'Base Libro Caja'!Q12</f>
        <v>Pago proveedor</v>
      </c>
      <c r="R12" s="53"/>
      <c r="S12" s="53"/>
    </row>
    <row r="13" spans="1:19" x14ac:dyDescent="0.25">
      <c r="A13" s="54">
        <v>45141</v>
      </c>
      <c r="B13" s="25">
        <f t="shared" si="0"/>
        <v>8</v>
      </c>
      <c r="C13" s="25">
        <f t="shared" si="1"/>
        <v>2023</v>
      </c>
      <c r="D13" s="7" t="s">
        <v>89</v>
      </c>
      <c r="E13" s="4" t="s">
        <v>93</v>
      </c>
      <c r="F13" s="7" t="s">
        <v>155</v>
      </c>
      <c r="G13" s="7"/>
      <c r="H13" s="23" t="s">
        <v>130</v>
      </c>
      <c r="I13" s="60"/>
      <c r="J13" s="49">
        <v>50000</v>
      </c>
      <c r="K13" s="118"/>
      <c r="L13" s="118"/>
      <c r="M13" s="118"/>
      <c r="N13" s="127"/>
      <c r="O13" s="26"/>
      <c r="Q13" s="53" t="str">
        <f>'Base Libro Caja'!Q13</f>
        <v>Personal</v>
      </c>
      <c r="R13" s="53"/>
      <c r="S13" s="53"/>
    </row>
    <row r="14" spans="1:19" x14ac:dyDescent="0.25">
      <c r="A14" s="54">
        <v>45141</v>
      </c>
      <c r="B14" s="25">
        <f t="shared" si="0"/>
        <v>8</v>
      </c>
      <c r="C14" s="25">
        <f t="shared" si="1"/>
        <v>2023</v>
      </c>
      <c r="D14" s="7" t="s">
        <v>89</v>
      </c>
      <c r="E14" s="4" t="s">
        <v>93</v>
      </c>
      <c r="F14" s="7" t="s">
        <v>161</v>
      </c>
      <c r="G14" s="7"/>
      <c r="H14" s="23" t="s">
        <v>130</v>
      </c>
      <c r="I14" s="60"/>
      <c r="J14" s="49">
        <v>51600</v>
      </c>
      <c r="K14" s="118"/>
      <c r="L14" s="118"/>
      <c r="M14" s="118"/>
      <c r="N14" s="127"/>
      <c r="O14" s="26"/>
      <c r="Q14" s="53" t="str">
        <f>'Base Libro Caja'!Q14</f>
        <v>Gastos generales</v>
      </c>
      <c r="R14" s="53"/>
      <c r="S14" s="53"/>
    </row>
    <row r="15" spans="1:19" x14ac:dyDescent="0.25">
      <c r="A15" s="54">
        <v>45142</v>
      </c>
      <c r="B15" s="25">
        <f t="shared" si="0"/>
        <v>8</v>
      </c>
      <c r="C15" s="25">
        <f t="shared" si="1"/>
        <v>2023</v>
      </c>
      <c r="D15" s="7" t="s">
        <v>89</v>
      </c>
      <c r="E15" s="4" t="s">
        <v>93</v>
      </c>
      <c r="F15" s="7" t="s">
        <v>164</v>
      </c>
      <c r="G15" s="7"/>
      <c r="H15" s="23" t="s">
        <v>130</v>
      </c>
      <c r="I15" s="60"/>
      <c r="J15" s="49">
        <v>22000</v>
      </c>
      <c r="K15" s="118"/>
      <c r="L15" s="118"/>
      <c r="M15" s="118"/>
      <c r="N15" s="127"/>
      <c r="O15" s="26"/>
      <c r="Q15" s="53" t="str">
        <f>'Base Libro Caja'!Q15</f>
        <v>Comisiones</v>
      </c>
      <c r="R15" s="53"/>
      <c r="S15" s="53"/>
    </row>
    <row r="16" spans="1:19" x14ac:dyDescent="0.25">
      <c r="A16" s="54">
        <v>45142</v>
      </c>
      <c r="B16" s="25">
        <f t="shared" si="0"/>
        <v>8</v>
      </c>
      <c r="C16" s="25">
        <f t="shared" si="1"/>
        <v>2023</v>
      </c>
      <c r="D16" s="7" t="s">
        <v>89</v>
      </c>
      <c r="E16" s="4" t="s">
        <v>93</v>
      </c>
      <c r="F16" s="7" t="s">
        <v>165</v>
      </c>
      <c r="G16" s="7"/>
      <c r="H16" s="23" t="s">
        <v>131</v>
      </c>
      <c r="I16" s="60"/>
      <c r="J16" s="49">
        <v>30000</v>
      </c>
      <c r="K16" s="118"/>
      <c r="L16" s="118"/>
      <c r="M16" s="118"/>
      <c r="N16" s="127"/>
      <c r="O16" s="26"/>
      <c r="Q16" s="53" t="str">
        <f>'Base Libro Caja'!Q16</f>
        <v>Vuelto cliente</v>
      </c>
      <c r="R16" s="53"/>
      <c r="S16" s="53"/>
    </row>
    <row r="17" spans="1:19" x14ac:dyDescent="0.25">
      <c r="A17" s="54">
        <v>45146</v>
      </c>
      <c r="B17" s="25">
        <f t="shared" si="0"/>
        <v>8</v>
      </c>
      <c r="C17" s="25">
        <f t="shared" si="1"/>
        <v>2023</v>
      </c>
      <c r="D17" s="7" t="s">
        <v>92</v>
      </c>
      <c r="E17" s="4" t="s">
        <v>92</v>
      </c>
      <c r="F17" s="7" t="s">
        <v>178</v>
      </c>
      <c r="G17" s="7"/>
      <c r="H17" s="23" t="s">
        <v>130</v>
      </c>
      <c r="I17" s="60"/>
      <c r="J17" s="49"/>
      <c r="K17" s="118">
        <v>107970</v>
      </c>
      <c r="L17" s="118"/>
      <c r="M17" s="118"/>
      <c r="N17" s="127"/>
      <c r="O17" s="26"/>
      <c r="Q17" s="53" t="s">
        <v>147</v>
      </c>
      <c r="R17" s="53"/>
      <c r="S17" s="53"/>
    </row>
    <row r="18" spans="1:19" x14ac:dyDescent="0.25">
      <c r="A18" s="54">
        <v>45146</v>
      </c>
      <c r="B18" s="25">
        <f t="shared" si="0"/>
        <v>8</v>
      </c>
      <c r="C18" s="25">
        <f t="shared" si="1"/>
        <v>2023</v>
      </c>
      <c r="D18" s="7" t="s">
        <v>89</v>
      </c>
      <c r="E18" s="4" t="s">
        <v>93</v>
      </c>
      <c r="F18" s="7" t="s">
        <v>179</v>
      </c>
      <c r="G18" s="7"/>
      <c r="H18" s="23" t="s">
        <v>131</v>
      </c>
      <c r="I18" s="60"/>
      <c r="J18" s="49">
        <v>87120</v>
      </c>
      <c r="K18" s="118"/>
      <c r="L18" s="118"/>
      <c r="M18" s="118"/>
      <c r="N18" s="127"/>
      <c r="O18" s="26"/>
      <c r="Q18" s="53" t="s">
        <v>5</v>
      </c>
      <c r="R18" s="53"/>
      <c r="S18" s="53"/>
    </row>
    <row r="19" spans="1:19" x14ac:dyDescent="0.25">
      <c r="A19" s="54">
        <v>45146</v>
      </c>
      <c r="B19" s="25">
        <f t="shared" si="0"/>
        <v>8</v>
      </c>
      <c r="C19" s="25">
        <f t="shared" si="1"/>
        <v>2023</v>
      </c>
      <c r="D19" s="7" t="s">
        <v>89</v>
      </c>
      <c r="E19" s="4" t="s">
        <v>93</v>
      </c>
      <c r="F19" s="7" t="s">
        <v>179</v>
      </c>
      <c r="G19" s="7"/>
      <c r="H19" s="23" t="s">
        <v>131</v>
      </c>
      <c r="I19" s="60"/>
      <c r="J19" s="49">
        <v>87120</v>
      </c>
      <c r="K19" s="118"/>
      <c r="L19" s="118"/>
      <c r="M19" s="118"/>
      <c r="N19" s="127"/>
      <c r="O19" s="26"/>
      <c r="Q19" s="84" t="s">
        <v>55</v>
      </c>
      <c r="R19" s="53"/>
      <c r="S19" s="53"/>
    </row>
    <row r="20" spans="1:19" x14ac:dyDescent="0.25">
      <c r="A20" s="54">
        <v>45146</v>
      </c>
      <c r="B20" s="25">
        <f t="shared" si="0"/>
        <v>8</v>
      </c>
      <c r="C20" s="25">
        <f t="shared" si="1"/>
        <v>2023</v>
      </c>
      <c r="D20" s="7" t="s">
        <v>89</v>
      </c>
      <c r="E20" s="4" t="s">
        <v>93</v>
      </c>
      <c r="F20" s="7" t="s">
        <v>179</v>
      </c>
      <c r="G20" s="7"/>
      <c r="H20" s="23" t="s">
        <v>131</v>
      </c>
      <c r="I20" s="60"/>
      <c r="J20" s="49">
        <v>87120</v>
      </c>
      <c r="K20" s="118"/>
      <c r="L20" s="118"/>
      <c r="M20" s="118"/>
      <c r="N20" s="127"/>
      <c r="O20" s="26"/>
      <c r="Q20" s="84" t="s">
        <v>500</v>
      </c>
      <c r="R20" s="53"/>
      <c r="S20" s="53"/>
    </row>
    <row r="21" spans="1:19" x14ac:dyDescent="0.25">
      <c r="A21" s="54">
        <v>45147</v>
      </c>
      <c r="B21" s="25">
        <f t="shared" si="0"/>
        <v>8</v>
      </c>
      <c r="C21" s="25">
        <f t="shared" si="1"/>
        <v>2023</v>
      </c>
      <c r="D21" s="7" t="s">
        <v>89</v>
      </c>
      <c r="E21" s="4" t="s">
        <v>93</v>
      </c>
      <c r="F21" s="7" t="s">
        <v>180</v>
      </c>
      <c r="G21" s="7"/>
      <c r="H21" s="23" t="s">
        <v>130</v>
      </c>
      <c r="I21" s="60"/>
      <c r="J21" s="49">
        <v>121900</v>
      </c>
      <c r="K21" s="118"/>
      <c r="L21" s="118"/>
      <c r="M21" s="118"/>
      <c r="N21" s="127"/>
      <c r="O21" s="26"/>
      <c r="Q21" s="84" t="s">
        <v>501</v>
      </c>
      <c r="R21" s="53"/>
      <c r="S21" s="53"/>
    </row>
    <row r="22" spans="1:19" x14ac:dyDescent="0.25">
      <c r="A22" s="54">
        <v>45147</v>
      </c>
      <c r="B22" s="25">
        <f t="shared" si="0"/>
        <v>8</v>
      </c>
      <c r="C22" s="25">
        <f t="shared" si="1"/>
        <v>2023</v>
      </c>
      <c r="D22" s="7" t="s">
        <v>89</v>
      </c>
      <c r="E22" s="4" t="s">
        <v>93</v>
      </c>
      <c r="F22" s="7" t="s">
        <v>181</v>
      </c>
      <c r="G22" s="7"/>
      <c r="H22" s="23" t="s">
        <v>130</v>
      </c>
      <c r="I22" s="60"/>
      <c r="J22" s="49">
        <v>17693</v>
      </c>
      <c r="K22" s="118"/>
      <c r="L22" s="118"/>
      <c r="M22" s="118"/>
      <c r="N22" s="127"/>
      <c r="O22" s="26"/>
      <c r="Q22" s="84" t="s">
        <v>502</v>
      </c>
      <c r="R22" s="53"/>
      <c r="S22" s="53"/>
    </row>
    <row r="23" spans="1:19" x14ac:dyDescent="0.25">
      <c r="A23" s="54">
        <v>45147</v>
      </c>
      <c r="B23" s="25">
        <f t="shared" si="0"/>
        <v>8</v>
      </c>
      <c r="C23" s="25">
        <f t="shared" si="1"/>
        <v>2023</v>
      </c>
      <c r="D23" s="7" t="s">
        <v>89</v>
      </c>
      <c r="E23" s="4" t="s">
        <v>93</v>
      </c>
      <c r="F23" s="7" t="s">
        <v>182</v>
      </c>
      <c r="G23" s="7"/>
      <c r="H23" s="23" t="s">
        <v>130</v>
      </c>
      <c r="I23" s="60"/>
      <c r="J23" s="49">
        <v>10500</v>
      </c>
      <c r="K23" s="118"/>
      <c r="L23" s="118"/>
      <c r="M23" s="118"/>
      <c r="N23" s="127"/>
      <c r="O23" s="26"/>
      <c r="Q23" s="84" t="s">
        <v>503</v>
      </c>
      <c r="R23" s="53"/>
      <c r="S23" s="53"/>
    </row>
    <row r="24" spans="1:19" x14ac:dyDescent="0.25">
      <c r="A24" s="54">
        <v>45147</v>
      </c>
      <c r="B24" s="25">
        <f t="shared" si="0"/>
        <v>8</v>
      </c>
      <c r="C24" s="25">
        <f t="shared" si="1"/>
        <v>2023</v>
      </c>
      <c r="D24" s="7" t="s">
        <v>89</v>
      </c>
      <c r="E24" s="4" t="s">
        <v>93</v>
      </c>
      <c r="F24" s="7" t="s">
        <v>183</v>
      </c>
      <c r="G24" s="7"/>
      <c r="H24" s="23" t="s">
        <v>130</v>
      </c>
      <c r="I24" s="60"/>
      <c r="J24" s="49">
        <v>52900</v>
      </c>
      <c r="K24" s="118"/>
      <c r="L24" s="118"/>
      <c r="M24" s="118"/>
      <c r="N24" s="127"/>
      <c r="O24" s="26"/>
      <c r="Q24" s="84" t="s">
        <v>504</v>
      </c>
      <c r="R24" s="53"/>
      <c r="S24" s="53"/>
    </row>
    <row r="25" spans="1:19" x14ac:dyDescent="0.25">
      <c r="A25" s="54">
        <v>45148</v>
      </c>
      <c r="B25" s="25">
        <f t="shared" si="0"/>
        <v>8</v>
      </c>
      <c r="C25" s="25">
        <f t="shared" si="1"/>
        <v>2023</v>
      </c>
      <c r="D25" s="7" t="s">
        <v>89</v>
      </c>
      <c r="E25" s="4" t="s">
        <v>93</v>
      </c>
      <c r="F25" s="7" t="s">
        <v>185</v>
      </c>
      <c r="G25" s="7"/>
      <c r="H25" s="23" t="s">
        <v>130</v>
      </c>
      <c r="I25" s="60"/>
      <c r="J25" s="49">
        <v>21800</v>
      </c>
      <c r="K25" s="118"/>
      <c r="L25" s="118"/>
      <c r="M25" s="118"/>
      <c r="N25" s="127"/>
      <c r="O25" s="26"/>
      <c r="Q25" s="84" t="s">
        <v>505</v>
      </c>
      <c r="R25" s="53"/>
      <c r="S25" s="53"/>
    </row>
    <row r="26" spans="1:19" x14ac:dyDescent="0.25">
      <c r="A26" s="54">
        <v>45149</v>
      </c>
      <c r="B26" s="25">
        <f t="shared" si="0"/>
        <v>8</v>
      </c>
      <c r="C26" s="25">
        <f t="shared" si="1"/>
        <v>2023</v>
      </c>
      <c r="D26" s="7" t="s">
        <v>89</v>
      </c>
      <c r="E26" s="4" t="s">
        <v>93</v>
      </c>
      <c r="F26" s="7" t="s">
        <v>186</v>
      </c>
      <c r="G26" s="7"/>
      <c r="H26" s="23" t="s">
        <v>130</v>
      </c>
      <c r="I26" s="60"/>
      <c r="J26" s="49">
        <v>53762.5</v>
      </c>
      <c r="K26" s="118"/>
      <c r="L26" s="118"/>
      <c r="M26" s="118"/>
      <c r="N26" s="127"/>
      <c r="O26" s="26"/>
      <c r="Q26" s="84" t="s">
        <v>28</v>
      </c>
      <c r="R26" s="53"/>
      <c r="S26" s="53"/>
    </row>
    <row r="27" spans="1:19" x14ac:dyDescent="0.25">
      <c r="A27" s="54">
        <v>45153</v>
      </c>
      <c r="B27" s="25">
        <f t="shared" si="0"/>
        <v>8</v>
      </c>
      <c r="C27" s="25">
        <f t="shared" si="1"/>
        <v>2023</v>
      </c>
      <c r="D27" s="7" t="s">
        <v>89</v>
      </c>
      <c r="E27" s="4" t="s">
        <v>93</v>
      </c>
      <c r="F27" s="7" t="s">
        <v>192</v>
      </c>
      <c r="G27" s="7"/>
      <c r="H27" s="23" t="s">
        <v>130</v>
      </c>
      <c r="I27" s="60"/>
      <c r="J27" s="49">
        <v>36800</v>
      </c>
      <c r="K27" s="118"/>
      <c r="L27" s="118"/>
      <c r="M27" s="118"/>
      <c r="N27" s="127"/>
      <c r="O27" s="26"/>
      <c r="Q27" s="84" t="s">
        <v>506</v>
      </c>
      <c r="R27" s="53"/>
      <c r="S27" s="53"/>
    </row>
    <row r="28" spans="1:19" x14ac:dyDescent="0.25">
      <c r="A28" s="54">
        <v>45153</v>
      </c>
      <c r="B28" s="25">
        <f t="shared" si="0"/>
        <v>8</v>
      </c>
      <c r="C28" s="25">
        <f t="shared" si="1"/>
        <v>2023</v>
      </c>
      <c r="D28" s="7" t="s">
        <v>89</v>
      </c>
      <c r="E28" s="4" t="s">
        <v>93</v>
      </c>
      <c r="F28" s="7" t="s">
        <v>150</v>
      </c>
      <c r="G28" s="7"/>
      <c r="H28" s="23" t="s">
        <v>131</v>
      </c>
      <c r="I28" s="60"/>
      <c r="J28" s="49">
        <v>35000</v>
      </c>
      <c r="K28" s="118"/>
      <c r="L28" s="118"/>
      <c r="M28" s="118"/>
      <c r="N28" s="127"/>
      <c r="O28" s="26"/>
      <c r="Q28" s="53" t="s">
        <v>507</v>
      </c>
      <c r="R28" s="53"/>
      <c r="S28" s="53"/>
    </row>
    <row r="29" spans="1:19" x14ac:dyDescent="0.25">
      <c r="A29" s="54">
        <v>45153</v>
      </c>
      <c r="B29" s="25">
        <f t="shared" si="0"/>
        <v>8</v>
      </c>
      <c r="C29" s="25">
        <f t="shared" si="1"/>
        <v>2023</v>
      </c>
      <c r="D29" s="7" t="s">
        <v>89</v>
      </c>
      <c r="E29" s="4" t="s">
        <v>93</v>
      </c>
      <c r="F29" s="7" t="s">
        <v>150</v>
      </c>
      <c r="G29" s="7"/>
      <c r="H29" s="23" t="s">
        <v>131</v>
      </c>
      <c r="I29" s="60"/>
      <c r="J29" s="49">
        <v>28000</v>
      </c>
      <c r="K29" s="118"/>
      <c r="L29" s="118"/>
      <c r="M29" s="118"/>
      <c r="N29" s="127"/>
      <c r="O29" s="26"/>
      <c r="Q29" s="53" t="s">
        <v>645</v>
      </c>
      <c r="R29" s="53"/>
      <c r="S29" s="53"/>
    </row>
    <row r="30" spans="1:19" x14ac:dyDescent="0.25">
      <c r="A30" s="54">
        <v>45153</v>
      </c>
      <c r="B30" s="25">
        <f t="shared" si="0"/>
        <v>8</v>
      </c>
      <c r="C30" s="25">
        <f t="shared" si="1"/>
        <v>2023</v>
      </c>
      <c r="D30" s="7" t="s">
        <v>89</v>
      </c>
      <c r="E30" s="4" t="s">
        <v>93</v>
      </c>
      <c r="F30" s="7" t="s">
        <v>194</v>
      </c>
      <c r="G30" s="7"/>
      <c r="H30" s="23" t="s">
        <v>130</v>
      </c>
      <c r="I30" s="60"/>
      <c r="J30" s="49">
        <v>76750</v>
      </c>
      <c r="K30" s="118"/>
      <c r="L30" s="118"/>
      <c r="M30" s="118"/>
      <c r="N30" s="127"/>
      <c r="O30" s="26"/>
      <c r="Q30" s="53" t="s">
        <v>52</v>
      </c>
      <c r="R30" s="53"/>
      <c r="S30" s="53"/>
    </row>
    <row r="31" spans="1:19" x14ac:dyDescent="0.25">
      <c r="A31" s="54">
        <v>45153</v>
      </c>
      <c r="B31" s="25">
        <f t="shared" si="0"/>
        <v>8</v>
      </c>
      <c r="C31" s="25">
        <f t="shared" si="1"/>
        <v>2023</v>
      </c>
      <c r="D31" s="7" t="s">
        <v>89</v>
      </c>
      <c r="E31" s="4" t="s">
        <v>93</v>
      </c>
      <c r="F31" s="7" t="s">
        <v>195</v>
      </c>
      <c r="G31" s="7"/>
      <c r="H31" s="23" t="s">
        <v>131</v>
      </c>
      <c r="I31" s="60"/>
      <c r="J31" s="49">
        <v>102615</v>
      </c>
      <c r="K31" s="118"/>
      <c r="L31" s="118"/>
      <c r="M31" s="118"/>
      <c r="N31" s="127"/>
      <c r="O31" s="26"/>
      <c r="Q31" s="53"/>
      <c r="R31" s="53"/>
      <c r="S31" s="53"/>
    </row>
    <row r="32" spans="1:19" x14ac:dyDescent="0.25">
      <c r="A32" s="54">
        <v>45154</v>
      </c>
      <c r="B32" s="25">
        <f t="shared" si="0"/>
        <v>8</v>
      </c>
      <c r="C32" s="25">
        <f t="shared" si="1"/>
        <v>2023</v>
      </c>
      <c r="D32" s="7" t="s">
        <v>89</v>
      </c>
      <c r="E32" s="4" t="s">
        <v>93</v>
      </c>
      <c r="F32" s="7" t="s">
        <v>197</v>
      </c>
      <c r="G32" s="7"/>
      <c r="H32" s="23" t="s">
        <v>130</v>
      </c>
      <c r="I32" s="60"/>
      <c r="J32" s="49">
        <v>25000</v>
      </c>
      <c r="K32" s="118"/>
      <c r="L32" s="118"/>
      <c r="M32" s="118"/>
      <c r="N32" s="127"/>
      <c r="O32" s="26"/>
      <c r="Q32" s="53"/>
      <c r="R32" s="53"/>
      <c r="S32" s="53"/>
    </row>
    <row r="33" spans="1:19" x14ac:dyDescent="0.25">
      <c r="A33" s="54">
        <v>45155</v>
      </c>
      <c r="B33" s="25">
        <f t="shared" si="0"/>
        <v>8</v>
      </c>
      <c r="C33" s="25">
        <f t="shared" si="1"/>
        <v>2023</v>
      </c>
      <c r="D33" s="7" t="s">
        <v>89</v>
      </c>
      <c r="E33" s="4" t="s">
        <v>93</v>
      </c>
      <c r="F33" s="7" t="s">
        <v>198</v>
      </c>
      <c r="G33" s="7"/>
      <c r="H33" s="23" t="s">
        <v>131</v>
      </c>
      <c r="I33" s="60"/>
      <c r="J33" s="49">
        <v>75000</v>
      </c>
      <c r="K33" s="118"/>
      <c r="L33" s="118"/>
      <c r="M33" s="118"/>
      <c r="N33" s="127"/>
      <c r="O33" s="26"/>
      <c r="Q33" s="53"/>
      <c r="R33" s="53"/>
      <c r="S33" s="53"/>
    </row>
    <row r="34" spans="1:19" x14ac:dyDescent="0.25">
      <c r="A34" s="54">
        <v>45155</v>
      </c>
      <c r="B34" s="25">
        <f t="shared" si="0"/>
        <v>8</v>
      </c>
      <c r="C34" s="25">
        <f t="shared" si="1"/>
        <v>2023</v>
      </c>
      <c r="D34" s="7" t="s">
        <v>89</v>
      </c>
      <c r="E34" s="4" t="s">
        <v>93</v>
      </c>
      <c r="F34" s="7" t="s">
        <v>198</v>
      </c>
      <c r="G34" s="7"/>
      <c r="H34" s="23" t="s">
        <v>131</v>
      </c>
      <c r="I34" s="60"/>
      <c r="J34" s="49">
        <v>60000</v>
      </c>
      <c r="K34" s="118"/>
      <c r="L34" s="118"/>
      <c r="M34" s="118"/>
      <c r="N34" s="127"/>
      <c r="O34" s="26"/>
      <c r="Q34" s="53"/>
      <c r="R34" s="53"/>
      <c r="S34" s="53"/>
    </row>
    <row r="35" spans="1:19" x14ac:dyDescent="0.25">
      <c r="A35" s="54">
        <v>45155</v>
      </c>
      <c r="B35" s="25">
        <f t="shared" si="0"/>
        <v>8</v>
      </c>
      <c r="C35" s="25">
        <f t="shared" si="1"/>
        <v>2023</v>
      </c>
      <c r="D35" s="7" t="s">
        <v>89</v>
      </c>
      <c r="E35" s="4" t="s">
        <v>93</v>
      </c>
      <c r="F35" s="7" t="s">
        <v>200</v>
      </c>
      <c r="G35" s="7"/>
      <c r="H35" s="23" t="s">
        <v>131</v>
      </c>
      <c r="I35" s="60"/>
      <c r="J35" s="49">
        <v>29460</v>
      </c>
      <c r="K35" s="118"/>
      <c r="L35" s="118"/>
      <c r="M35" s="118"/>
      <c r="N35" s="127"/>
      <c r="O35" s="26"/>
      <c r="Q35" s="53"/>
      <c r="R35" s="53"/>
      <c r="S35" s="53"/>
    </row>
    <row r="36" spans="1:19" x14ac:dyDescent="0.25">
      <c r="A36" s="54">
        <v>45155</v>
      </c>
      <c r="B36" s="25">
        <f t="shared" si="0"/>
        <v>8</v>
      </c>
      <c r="C36" s="25">
        <f t="shared" si="1"/>
        <v>2023</v>
      </c>
      <c r="D36" s="7" t="s">
        <v>124</v>
      </c>
      <c r="E36" s="4" t="s">
        <v>93</v>
      </c>
      <c r="F36" s="7"/>
      <c r="G36" s="7" t="s">
        <v>554</v>
      </c>
      <c r="H36" s="23" t="s">
        <v>131</v>
      </c>
      <c r="I36" s="60"/>
      <c r="J36" s="49"/>
      <c r="K36" s="118">
        <v>102615</v>
      </c>
      <c r="L36" s="118"/>
      <c r="M36" s="118"/>
      <c r="N36" s="127"/>
      <c r="O36" s="26"/>
      <c r="Q36" s="53"/>
      <c r="R36" s="53"/>
      <c r="S36" s="53"/>
    </row>
    <row r="37" spans="1:19" x14ac:dyDescent="0.25">
      <c r="A37" s="54">
        <v>45155</v>
      </c>
      <c r="B37" s="25">
        <f t="shared" si="0"/>
        <v>8</v>
      </c>
      <c r="C37" s="25">
        <f t="shared" si="1"/>
        <v>2023</v>
      </c>
      <c r="D37" s="7" t="s">
        <v>89</v>
      </c>
      <c r="E37" s="4" t="s">
        <v>93</v>
      </c>
      <c r="F37" s="7" t="s">
        <v>202</v>
      </c>
      <c r="G37" s="7"/>
      <c r="H37" s="23" t="s">
        <v>130</v>
      </c>
      <c r="I37" s="60"/>
      <c r="J37" s="49">
        <v>84580</v>
      </c>
      <c r="K37" s="118"/>
      <c r="L37" s="118"/>
      <c r="M37" s="118"/>
      <c r="N37" s="127"/>
      <c r="O37" s="26"/>
      <c r="Q37" s="53"/>
      <c r="R37" s="53"/>
      <c r="S37" s="53"/>
    </row>
    <row r="38" spans="1:19" x14ac:dyDescent="0.25">
      <c r="A38" s="54">
        <v>45156</v>
      </c>
      <c r="B38" s="25">
        <f t="shared" si="0"/>
        <v>8</v>
      </c>
      <c r="C38" s="25">
        <f t="shared" si="1"/>
        <v>2023</v>
      </c>
      <c r="D38" s="7" t="s">
        <v>89</v>
      </c>
      <c r="E38" s="4" t="s">
        <v>93</v>
      </c>
      <c r="F38" s="7" t="s">
        <v>197</v>
      </c>
      <c r="G38" s="7"/>
      <c r="H38" s="23" t="s">
        <v>130</v>
      </c>
      <c r="I38" s="60"/>
      <c r="J38" s="49">
        <v>57600</v>
      </c>
      <c r="K38" s="118"/>
      <c r="L38" s="118"/>
      <c r="M38" s="118"/>
      <c r="N38" s="127"/>
      <c r="O38" s="26"/>
      <c r="Q38" s="53"/>
      <c r="R38" s="53"/>
      <c r="S38" s="53"/>
    </row>
    <row r="39" spans="1:19" x14ac:dyDescent="0.25">
      <c r="A39" s="54">
        <v>45156</v>
      </c>
      <c r="B39" s="25">
        <f t="shared" si="0"/>
        <v>8</v>
      </c>
      <c r="C39" s="25">
        <f t="shared" si="1"/>
        <v>2023</v>
      </c>
      <c r="D39" s="7" t="s">
        <v>89</v>
      </c>
      <c r="E39" s="4" t="s">
        <v>93</v>
      </c>
      <c r="F39" s="7" t="s">
        <v>210</v>
      </c>
      <c r="G39" s="7"/>
      <c r="H39" s="23" t="s">
        <v>131</v>
      </c>
      <c r="I39" s="60"/>
      <c r="J39" s="49">
        <v>7000</v>
      </c>
      <c r="K39" s="118"/>
      <c r="L39" s="118"/>
      <c r="M39" s="118"/>
      <c r="N39" s="127"/>
      <c r="O39" s="26"/>
      <c r="Q39" s="53"/>
      <c r="R39" s="53"/>
      <c r="S39" s="53"/>
    </row>
    <row r="40" spans="1:19" x14ac:dyDescent="0.25">
      <c r="A40" s="54">
        <v>45156</v>
      </c>
      <c r="B40" s="25">
        <f t="shared" si="0"/>
        <v>8</v>
      </c>
      <c r="C40" s="25">
        <f t="shared" si="1"/>
        <v>2023</v>
      </c>
      <c r="D40" s="7" t="s">
        <v>89</v>
      </c>
      <c r="E40" s="4" t="s">
        <v>93</v>
      </c>
      <c r="F40" s="7" t="s">
        <v>210</v>
      </c>
      <c r="G40" s="7"/>
      <c r="H40" s="23" t="s">
        <v>131</v>
      </c>
      <c r="I40" s="60"/>
      <c r="J40" s="49">
        <v>6500</v>
      </c>
      <c r="K40" s="118"/>
      <c r="L40" s="118"/>
      <c r="M40" s="118"/>
      <c r="N40" s="127"/>
      <c r="O40" s="26"/>
      <c r="Q40" s="53"/>
      <c r="R40" s="53"/>
      <c r="S40" s="53"/>
    </row>
    <row r="41" spans="1:19" x14ac:dyDescent="0.25">
      <c r="A41" s="54">
        <v>45160</v>
      </c>
      <c r="B41" s="25">
        <f t="shared" si="0"/>
        <v>8</v>
      </c>
      <c r="C41" s="25">
        <f t="shared" si="1"/>
        <v>2023</v>
      </c>
      <c r="D41" s="7" t="s">
        <v>89</v>
      </c>
      <c r="E41" s="4" t="s">
        <v>93</v>
      </c>
      <c r="F41" s="7" t="s">
        <v>214</v>
      </c>
      <c r="G41" s="7"/>
      <c r="H41" s="23" t="s">
        <v>130</v>
      </c>
      <c r="I41" s="60"/>
      <c r="J41" s="49">
        <v>95200</v>
      </c>
      <c r="K41" s="118"/>
      <c r="L41" s="118"/>
      <c r="M41" s="118"/>
      <c r="N41" s="127"/>
      <c r="O41" s="26"/>
      <c r="Q41" s="53"/>
      <c r="R41" s="53"/>
      <c r="S41" s="53"/>
    </row>
    <row r="42" spans="1:19" x14ac:dyDescent="0.25">
      <c r="A42" s="54">
        <v>45160</v>
      </c>
      <c r="B42" s="25">
        <f t="shared" si="0"/>
        <v>8</v>
      </c>
      <c r="C42" s="25">
        <f t="shared" si="1"/>
        <v>2023</v>
      </c>
      <c r="D42" s="7" t="s">
        <v>89</v>
      </c>
      <c r="E42" s="4" t="s">
        <v>93</v>
      </c>
      <c r="F42" s="7" t="s">
        <v>215</v>
      </c>
      <c r="G42" s="7"/>
      <c r="H42" s="23" t="s">
        <v>131</v>
      </c>
      <c r="I42" s="60"/>
      <c r="J42" s="49">
        <v>107000</v>
      </c>
      <c r="K42" s="118"/>
      <c r="L42" s="118"/>
      <c r="M42" s="118"/>
      <c r="N42" s="127"/>
      <c r="O42" s="26"/>
      <c r="Q42" s="53"/>
      <c r="R42" s="53"/>
      <c r="S42" s="53"/>
    </row>
    <row r="43" spans="1:19" x14ac:dyDescent="0.25">
      <c r="A43" s="54">
        <v>45160</v>
      </c>
      <c r="B43" s="25">
        <f t="shared" si="0"/>
        <v>8</v>
      </c>
      <c r="C43" s="25">
        <f t="shared" si="1"/>
        <v>2023</v>
      </c>
      <c r="D43" s="7" t="s">
        <v>89</v>
      </c>
      <c r="E43" s="4" t="s">
        <v>93</v>
      </c>
      <c r="F43" s="7" t="s">
        <v>204</v>
      </c>
      <c r="G43" s="7"/>
      <c r="H43" s="23" t="s">
        <v>131</v>
      </c>
      <c r="I43" s="60"/>
      <c r="J43" s="49">
        <v>30000</v>
      </c>
      <c r="K43" s="118"/>
      <c r="L43" s="118"/>
      <c r="M43" s="118"/>
      <c r="N43" s="127"/>
      <c r="O43" s="26"/>
      <c r="Q43" s="53"/>
      <c r="R43" s="53"/>
      <c r="S43" s="53"/>
    </row>
    <row r="44" spans="1:19" x14ac:dyDescent="0.25">
      <c r="A44" s="54">
        <v>45160</v>
      </c>
      <c r="B44" s="25">
        <f t="shared" si="0"/>
        <v>8</v>
      </c>
      <c r="C44" s="25">
        <f t="shared" si="1"/>
        <v>2023</v>
      </c>
      <c r="D44" s="7" t="s">
        <v>89</v>
      </c>
      <c r="E44" s="4" t="s">
        <v>93</v>
      </c>
      <c r="F44" s="7" t="s">
        <v>204</v>
      </c>
      <c r="G44" s="7"/>
      <c r="H44" s="23" t="s">
        <v>131</v>
      </c>
      <c r="I44" s="60"/>
      <c r="J44" s="49">
        <v>35000</v>
      </c>
      <c r="K44" s="118"/>
      <c r="L44" s="118"/>
      <c r="M44" s="118"/>
      <c r="N44" s="127"/>
      <c r="O44" s="26"/>
      <c r="Q44" s="53"/>
      <c r="R44" s="53"/>
      <c r="S44" s="53"/>
    </row>
    <row r="45" spans="1:19" x14ac:dyDescent="0.25">
      <c r="A45" s="54">
        <v>45160</v>
      </c>
      <c r="B45" s="25">
        <f t="shared" si="0"/>
        <v>8</v>
      </c>
      <c r="C45" s="25">
        <f t="shared" si="1"/>
        <v>2023</v>
      </c>
      <c r="D45" s="7" t="s">
        <v>89</v>
      </c>
      <c r="E45" s="4" t="s">
        <v>93</v>
      </c>
      <c r="F45" s="7" t="s">
        <v>217</v>
      </c>
      <c r="G45" s="7"/>
      <c r="H45" s="23" t="s">
        <v>131</v>
      </c>
      <c r="I45" s="60"/>
      <c r="J45" s="49">
        <v>46375</v>
      </c>
      <c r="K45" s="118"/>
      <c r="L45" s="118"/>
      <c r="M45" s="118"/>
      <c r="N45" s="127"/>
      <c r="O45" s="26"/>
      <c r="Q45" s="53"/>
      <c r="R45" s="53"/>
      <c r="S45" s="53"/>
    </row>
    <row r="46" spans="1:19" x14ac:dyDescent="0.25">
      <c r="A46" s="54">
        <v>45160</v>
      </c>
      <c r="B46" s="25">
        <f t="shared" si="0"/>
        <v>8</v>
      </c>
      <c r="C46" s="25">
        <f t="shared" si="1"/>
        <v>2023</v>
      </c>
      <c r="D46" s="7" t="s">
        <v>89</v>
      </c>
      <c r="E46" s="4" t="s">
        <v>93</v>
      </c>
      <c r="F46" s="7" t="s">
        <v>217</v>
      </c>
      <c r="G46" s="7"/>
      <c r="H46" s="23" t="s">
        <v>131</v>
      </c>
      <c r="I46" s="60"/>
      <c r="J46" s="49">
        <v>51000</v>
      </c>
      <c r="K46" s="118"/>
      <c r="L46" s="118"/>
      <c r="M46" s="118"/>
      <c r="N46" s="127"/>
      <c r="O46" s="26"/>
      <c r="Q46" s="53"/>
      <c r="R46" s="53"/>
      <c r="S46" s="53"/>
    </row>
    <row r="47" spans="1:19" x14ac:dyDescent="0.25">
      <c r="A47" s="54">
        <v>45161</v>
      </c>
      <c r="B47" s="25">
        <f t="shared" si="0"/>
        <v>8</v>
      </c>
      <c r="C47" s="25">
        <f t="shared" si="1"/>
        <v>2023</v>
      </c>
      <c r="D47" s="7" t="s">
        <v>124</v>
      </c>
      <c r="E47" s="4" t="s">
        <v>93</v>
      </c>
      <c r="F47" s="7"/>
      <c r="G47" s="7" t="s">
        <v>107</v>
      </c>
      <c r="H47" s="23" t="s">
        <v>131</v>
      </c>
      <c r="I47" s="60"/>
      <c r="J47" s="49"/>
      <c r="K47" s="118">
        <v>115000</v>
      </c>
      <c r="L47" s="118"/>
      <c r="M47" s="118"/>
      <c r="N47" s="127"/>
      <c r="O47" s="26"/>
      <c r="Q47" s="53"/>
      <c r="R47" s="53"/>
      <c r="S47" s="53"/>
    </row>
    <row r="48" spans="1:19" x14ac:dyDescent="0.25">
      <c r="A48" s="54">
        <v>45161</v>
      </c>
      <c r="B48" s="25">
        <f t="shared" si="0"/>
        <v>8</v>
      </c>
      <c r="C48" s="25">
        <f t="shared" si="1"/>
        <v>2023</v>
      </c>
      <c r="D48" s="7" t="s">
        <v>124</v>
      </c>
      <c r="E48" s="4" t="s">
        <v>93</v>
      </c>
      <c r="F48" s="7"/>
      <c r="G48" s="7" t="s">
        <v>107</v>
      </c>
      <c r="H48" s="23" t="s">
        <v>131</v>
      </c>
      <c r="I48" s="60"/>
      <c r="J48" s="49"/>
      <c r="K48" s="118">
        <v>28000</v>
      </c>
      <c r="L48" s="118"/>
      <c r="M48" s="118"/>
      <c r="N48" s="127"/>
      <c r="O48" s="26"/>
      <c r="Q48" s="53"/>
      <c r="R48" s="53"/>
      <c r="S48" s="53"/>
    </row>
    <row r="49" spans="1:19" x14ac:dyDescent="0.25">
      <c r="A49" s="54">
        <v>45161</v>
      </c>
      <c r="B49" s="25">
        <f t="shared" si="0"/>
        <v>8</v>
      </c>
      <c r="C49" s="25">
        <f t="shared" si="1"/>
        <v>2023</v>
      </c>
      <c r="D49" s="7" t="s">
        <v>124</v>
      </c>
      <c r="E49" s="4" t="s">
        <v>93</v>
      </c>
      <c r="F49" s="7"/>
      <c r="G49" s="7" t="s">
        <v>107</v>
      </c>
      <c r="H49" s="23" t="s">
        <v>131</v>
      </c>
      <c r="I49" s="60"/>
      <c r="J49" s="49"/>
      <c r="K49" s="118">
        <v>35000</v>
      </c>
      <c r="L49" s="118"/>
      <c r="M49" s="118"/>
      <c r="N49" s="127"/>
      <c r="O49" s="26"/>
      <c r="Q49" s="53"/>
      <c r="R49" s="53"/>
      <c r="S49" s="53"/>
    </row>
    <row r="50" spans="1:19" x14ac:dyDescent="0.25">
      <c r="A50" s="54">
        <v>45161</v>
      </c>
      <c r="B50" s="25">
        <f t="shared" si="0"/>
        <v>8</v>
      </c>
      <c r="C50" s="25">
        <f t="shared" si="1"/>
        <v>2023</v>
      </c>
      <c r="D50" s="7" t="s">
        <v>124</v>
      </c>
      <c r="E50" s="4" t="s">
        <v>93</v>
      </c>
      <c r="F50" s="7"/>
      <c r="G50" s="7" t="s">
        <v>107</v>
      </c>
      <c r="H50" s="23" t="s">
        <v>131</v>
      </c>
      <c r="I50" s="60"/>
      <c r="J50" s="49"/>
      <c r="K50" s="118">
        <v>6500</v>
      </c>
      <c r="L50" s="118"/>
      <c r="M50" s="118"/>
      <c r="N50" s="127"/>
      <c r="O50" s="26"/>
      <c r="Q50" s="53"/>
      <c r="R50" s="53"/>
      <c r="S50" s="53"/>
    </row>
    <row r="51" spans="1:19" x14ac:dyDescent="0.25">
      <c r="A51" s="54">
        <v>45161</v>
      </c>
      <c r="B51" s="25">
        <f t="shared" si="0"/>
        <v>8</v>
      </c>
      <c r="C51" s="25">
        <f t="shared" si="1"/>
        <v>2023</v>
      </c>
      <c r="D51" s="7" t="s">
        <v>124</v>
      </c>
      <c r="E51" s="4" t="s">
        <v>93</v>
      </c>
      <c r="F51" s="7"/>
      <c r="G51" s="7" t="s">
        <v>107</v>
      </c>
      <c r="H51" s="23" t="s">
        <v>131</v>
      </c>
      <c r="I51" s="60"/>
      <c r="J51" s="49"/>
      <c r="K51" s="118">
        <v>7000</v>
      </c>
      <c r="L51" s="118"/>
      <c r="M51" s="118"/>
      <c r="N51" s="127"/>
      <c r="O51" s="26"/>
      <c r="Q51" s="53"/>
      <c r="R51" s="53"/>
      <c r="S51" s="53"/>
    </row>
    <row r="52" spans="1:19" x14ac:dyDescent="0.25">
      <c r="A52" s="54">
        <v>45161</v>
      </c>
      <c r="B52" s="25">
        <f t="shared" si="0"/>
        <v>8</v>
      </c>
      <c r="C52" s="25">
        <f t="shared" si="1"/>
        <v>2023</v>
      </c>
      <c r="D52" s="7" t="s">
        <v>124</v>
      </c>
      <c r="E52" s="4" t="s">
        <v>93</v>
      </c>
      <c r="F52" s="7"/>
      <c r="G52" s="7" t="s">
        <v>107</v>
      </c>
      <c r="H52" s="23" t="s">
        <v>131</v>
      </c>
      <c r="I52" s="60"/>
      <c r="J52" s="49"/>
      <c r="K52" s="118">
        <v>51000</v>
      </c>
      <c r="L52" s="118"/>
      <c r="M52" s="118"/>
      <c r="N52" s="127"/>
      <c r="O52" s="26"/>
      <c r="Q52" s="53"/>
      <c r="R52" s="53"/>
      <c r="S52" s="53"/>
    </row>
    <row r="53" spans="1:19" x14ac:dyDescent="0.25">
      <c r="A53" s="54">
        <v>45161</v>
      </c>
      <c r="B53" s="25">
        <f t="shared" si="0"/>
        <v>8</v>
      </c>
      <c r="C53" s="25">
        <f t="shared" si="1"/>
        <v>2023</v>
      </c>
      <c r="D53" s="7" t="s">
        <v>124</v>
      </c>
      <c r="E53" s="4" t="s">
        <v>93</v>
      </c>
      <c r="F53" s="7"/>
      <c r="G53" s="7" t="s">
        <v>107</v>
      </c>
      <c r="H53" s="23" t="s">
        <v>131</v>
      </c>
      <c r="I53" s="60"/>
      <c r="J53" s="49"/>
      <c r="K53" s="118">
        <v>46375</v>
      </c>
      <c r="L53" s="118"/>
      <c r="M53" s="118"/>
      <c r="N53" s="127"/>
      <c r="O53" s="26"/>
      <c r="Q53" s="53"/>
      <c r="R53" s="53"/>
      <c r="S53" s="53"/>
    </row>
    <row r="54" spans="1:19" x14ac:dyDescent="0.25">
      <c r="A54" s="54">
        <v>45161</v>
      </c>
      <c r="B54" s="25">
        <f t="shared" si="0"/>
        <v>8</v>
      </c>
      <c r="C54" s="25">
        <f t="shared" si="1"/>
        <v>2023</v>
      </c>
      <c r="D54" s="7" t="s">
        <v>124</v>
      </c>
      <c r="E54" s="4" t="s">
        <v>93</v>
      </c>
      <c r="F54" s="7"/>
      <c r="G54" s="7" t="s">
        <v>107</v>
      </c>
      <c r="H54" s="23" t="s">
        <v>131</v>
      </c>
      <c r="I54" s="60"/>
      <c r="J54" s="49"/>
      <c r="K54" s="118">
        <v>30000</v>
      </c>
      <c r="L54" s="118"/>
      <c r="M54" s="118"/>
      <c r="N54" s="127"/>
      <c r="O54" s="26"/>
      <c r="Q54" s="53"/>
      <c r="R54" s="53"/>
      <c r="S54" s="53"/>
    </row>
    <row r="55" spans="1:19" x14ac:dyDescent="0.25">
      <c r="A55" s="54">
        <v>45161</v>
      </c>
      <c r="B55" s="25">
        <f t="shared" si="0"/>
        <v>8</v>
      </c>
      <c r="C55" s="25">
        <f t="shared" si="1"/>
        <v>2023</v>
      </c>
      <c r="D55" s="7" t="s">
        <v>124</v>
      </c>
      <c r="E55" s="4" t="s">
        <v>93</v>
      </c>
      <c r="F55" s="7"/>
      <c r="G55" s="7" t="s">
        <v>107</v>
      </c>
      <c r="H55" s="23" t="s">
        <v>131</v>
      </c>
      <c r="I55" s="60"/>
      <c r="J55" s="49"/>
      <c r="K55" s="118">
        <v>35000</v>
      </c>
      <c r="L55" s="118"/>
      <c r="M55" s="118"/>
      <c r="N55" s="127"/>
      <c r="O55" s="26"/>
      <c r="Q55" s="53"/>
      <c r="R55" s="53"/>
      <c r="S55" s="53"/>
    </row>
    <row r="56" spans="1:19" x14ac:dyDescent="0.25">
      <c r="A56" s="54">
        <v>45161</v>
      </c>
      <c r="B56" s="25">
        <f t="shared" si="0"/>
        <v>8</v>
      </c>
      <c r="C56" s="25">
        <f t="shared" si="1"/>
        <v>2023</v>
      </c>
      <c r="D56" s="7" t="s">
        <v>89</v>
      </c>
      <c r="E56" s="4" t="s">
        <v>93</v>
      </c>
      <c r="F56" s="7" t="s">
        <v>199</v>
      </c>
      <c r="G56" s="7"/>
      <c r="H56" s="23" t="s">
        <v>130</v>
      </c>
      <c r="I56" s="60"/>
      <c r="J56" s="49">
        <v>150000</v>
      </c>
      <c r="K56" s="118"/>
      <c r="L56" s="118"/>
      <c r="M56" s="118"/>
      <c r="N56" s="127"/>
      <c r="O56" s="26"/>
      <c r="Q56" s="53"/>
      <c r="R56" s="53"/>
      <c r="S56" s="53"/>
    </row>
    <row r="57" spans="1:19" x14ac:dyDescent="0.25">
      <c r="A57" s="54">
        <v>45166</v>
      </c>
      <c r="B57" s="25">
        <f t="shared" si="0"/>
        <v>8</v>
      </c>
      <c r="C57" s="25">
        <f t="shared" si="1"/>
        <v>2023</v>
      </c>
      <c r="D57" s="7" t="s">
        <v>89</v>
      </c>
      <c r="E57" s="4" t="s">
        <v>93</v>
      </c>
      <c r="F57" s="7" t="s">
        <v>235</v>
      </c>
      <c r="G57" s="7"/>
      <c r="H57" s="23" t="s">
        <v>131</v>
      </c>
      <c r="I57" s="60"/>
      <c r="J57" s="49">
        <v>10900</v>
      </c>
      <c r="K57" s="118"/>
      <c r="L57" s="118"/>
      <c r="M57" s="118"/>
      <c r="N57" s="127"/>
      <c r="O57" s="26"/>
      <c r="Q57" s="53"/>
      <c r="R57" s="53"/>
      <c r="S57" s="53"/>
    </row>
    <row r="58" spans="1:19" x14ac:dyDescent="0.25">
      <c r="A58" s="54">
        <v>45167</v>
      </c>
      <c r="B58" s="25">
        <f t="shared" si="0"/>
        <v>8</v>
      </c>
      <c r="C58" s="25">
        <f t="shared" si="1"/>
        <v>2023</v>
      </c>
      <c r="D58" s="7" t="s">
        <v>89</v>
      </c>
      <c r="E58" s="4" t="s">
        <v>93</v>
      </c>
      <c r="F58" s="7" t="s">
        <v>236</v>
      </c>
      <c r="G58" s="7"/>
      <c r="H58" s="23" t="s">
        <v>130</v>
      </c>
      <c r="I58" s="60"/>
      <c r="J58" s="49">
        <v>74690</v>
      </c>
      <c r="K58" s="118"/>
      <c r="L58" s="118"/>
      <c r="M58" s="118"/>
      <c r="N58" s="127"/>
      <c r="O58" s="26"/>
      <c r="Q58" s="53"/>
      <c r="R58" s="53"/>
      <c r="S58" s="53"/>
    </row>
    <row r="59" spans="1:19" x14ac:dyDescent="0.25">
      <c r="A59" s="54">
        <v>45167</v>
      </c>
      <c r="B59" s="25">
        <f t="shared" si="0"/>
        <v>8</v>
      </c>
      <c r="C59" s="25">
        <f t="shared" si="1"/>
        <v>2023</v>
      </c>
      <c r="D59" s="7" t="s">
        <v>89</v>
      </c>
      <c r="E59" s="4" t="s">
        <v>93</v>
      </c>
      <c r="F59" s="7" t="s">
        <v>237</v>
      </c>
      <c r="G59" s="7"/>
      <c r="H59" s="23" t="s">
        <v>130</v>
      </c>
      <c r="I59" s="60"/>
      <c r="J59" s="49">
        <v>76250</v>
      </c>
      <c r="K59" s="118"/>
      <c r="L59" s="118"/>
      <c r="M59" s="118"/>
      <c r="N59" s="127"/>
      <c r="O59" s="26"/>
      <c r="Q59" s="53"/>
      <c r="R59" s="53"/>
      <c r="S59" s="53"/>
    </row>
    <row r="60" spans="1:19" x14ac:dyDescent="0.25">
      <c r="A60" s="54">
        <v>45167</v>
      </c>
      <c r="B60" s="25">
        <f t="shared" si="0"/>
        <v>8</v>
      </c>
      <c r="C60" s="25">
        <f t="shared" si="1"/>
        <v>2023</v>
      </c>
      <c r="D60" s="7" t="s">
        <v>89</v>
      </c>
      <c r="E60" s="4" t="s">
        <v>93</v>
      </c>
      <c r="F60" s="7" t="s">
        <v>241</v>
      </c>
      <c r="G60" s="7"/>
      <c r="H60" s="23" t="s">
        <v>130</v>
      </c>
      <c r="I60" s="60"/>
      <c r="J60" s="49">
        <v>50000</v>
      </c>
      <c r="K60" s="118"/>
      <c r="L60" s="118"/>
      <c r="M60" s="118"/>
      <c r="N60" s="127"/>
      <c r="O60" s="26"/>
      <c r="Q60" s="53"/>
      <c r="R60" s="53"/>
      <c r="S60" s="53"/>
    </row>
    <row r="61" spans="1:19" x14ac:dyDescent="0.25">
      <c r="A61" s="54">
        <v>45167</v>
      </c>
      <c r="B61" s="25">
        <f t="shared" si="0"/>
        <v>8</v>
      </c>
      <c r="C61" s="25">
        <f t="shared" si="1"/>
        <v>2023</v>
      </c>
      <c r="D61" s="7" t="s">
        <v>124</v>
      </c>
      <c r="E61" s="4" t="s">
        <v>93</v>
      </c>
      <c r="F61" s="7"/>
      <c r="G61" s="7" t="s">
        <v>385</v>
      </c>
      <c r="H61" s="23" t="s">
        <v>131</v>
      </c>
      <c r="I61" s="60"/>
      <c r="J61" s="49"/>
      <c r="K61" s="118">
        <v>87120</v>
      </c>
      <c r="L61" s="118"/>
      <c r="M61" s="118"/>
      <c r="N61" s="127"/>
      <c r="O61" s="26"/>
      <c r="Q61" s="53"/>
      <c r="R61" s="53"/>
      <c r="S61" s="53"/>
    </row>
    <row r="62" spans="1:19" ht="15" customHeight="1" x14ac:dyDescent="0.25">
      <c r="A62" s="54">
        <v>45167</v>
      </c>
      <c r="B62" s="25">
        <f t="shared" si="0"/>
        <v>8</v>
      </c>
      <c r="C62" s="25">
        <f t="shared" si="1"/>
        <v>2023</v>
      </c>
      <c r="D62" s="71" t="s">
        <v>124</v>
      </c>
      <c r="E62" s="4" t="s">
        <v>93</v>
      </c>
      <c r="F62" s="4"/>
      <c r="G62" s="7" t="s">
        <v>385</v>
      </c>
      <c r="H62" s="7" t="s">
        <v>131</v>
      </c>
      <c r="I62" s="60"/>
      <c r="J62" s="118"/>
      <c r="K62" s="118">
        <v>87120</v>
      </c>
      <c r="L62" s="118"/>
      <c r="M62" s="118"/>
      <c r="N62" s="127"/>
      <c r="O62" s="26"/>
      <c r="Q62" s="53"/>
      <c r="R62" s="53"/>
    </row>
    <row r="63" spans="1:19" ht="15" customHeight="1" x14ac:dyDescent="0.25">
      <c r="A63" s="54">
        <v>45167</v>
      </c>
      <c r="B63" s="25">
        <f t="shared" si="0"/>
        <v>8</v>
      </c>
      <c r="C63" s="25">
        <f t="shared" si="1"/>
        <v>2023</v>
      </c>
      <c r="D63" s="71" t="s">
        <v>124</v>
      </c>
      <c r="E63" s="4" t="s">
        <v>93</v>
      </c>
      <c r="F63" s="4"/>
      <c r="G63" s="7" t="s">
        <v>385</v>
      </c>
      <c r="H63" s="7" t="s">
        <v>131</v>
      </c>
      <c r="I63" s="60"/>
      <c r="J63" s="118"/>
      <c r="K63" s="118">
        <v>107000</v>
      </c>
      <c r="L63" s="118"/>
      <c r="M63" s="118"/>
      <c r="N63" s="127"/>
      <c r="O63" s="26"/>
      <c r="Q63" s="53"/>
      <c r="R63" s="53"/>
    </row>
    <row r="64" spans="1:19" ht="15" customHeight="1" x14ac:dyDescent="0.25">
      <c r="A64" s="65">
        <v>45169</v>
      </c>
      <c r="B64" s="25">
        <f t="shared" si="0"/>
        <v>8</v>
      </c>
      <c r="C64" s="25">
        <f t="shared" si="1"/>
        <v>2023</v>
      </c>
      <c r="D64" s="72" t="s">
        <v>89</v>
      </c>
      <c r="E64" s="4" t="s">
        <v>93</v>
      </c>
      <c r="F64" s="9" t="s">
        <v>249</v>
      </c>
      <c r="G64" s="9"/>
      <c r="H64" s="10" t="s">
        <v>131</v>
      </c>
      <c r="I64" s="60"/>
      <c r="J64" s="152">
        <v>50000</v>
      </c>
      <c r="K64" s="118"/>
      <c r="L64" s="118"/>
      <c r="M64" s="118"/>
      <c r="N64" s="127"/>
      <c r="O64" s="26"/>
      <c r="Q64" s="53"/>
      <c r="R64" s="53"/>
    </row>
    <row r="65" spans="1:18" ht="15" customHeight="1" x14ac:dyDescent="0.25">
      <c r="A65" s="54">
        <v>45169</v>
      </c>
      <c r="B65" s="25">
        <f t="shared" si="0"/>
        <v>8</v>
      </c>
      <c r="C65" s="25">
        <f t="shared" si="1"/>
        <v>2023</v>
      </c>
      <c r="D65" s="71" t="s">
        <v>89</v>
      </c>
      <c r="E65" s="4" t="s">
        <v>93</v>
      </c>
      <c r="F65" s="4" t="s">
        <v>249</v>
      </c>
      <c r="G65" s="4"/>
      <c r="H65" s="7" t="s">
        <v>131</v>
      </c>
      <c r="I65" s="60"/>
      <c r="J65" s="118">
        <v>63440</v>
      </c>
      <c r="K65" s="118"/>
      <c r="L65" s="118"/>
      <c r="M65" s="118"/>
      <c r="N65" s="127"/>
      <c r="O65" s="26"/>
      <c r="Q65" s="53"/>
      <c r="R65" s="53"/>
    </row>
    <row r="66" spans="1:18" ht="14.1" customHeight="1" x14ac:dyDescent="0.25">
      <c r="A66" s="54">
        <v>45169</v>
      </c>
      <c r="B66" s="25">
        <f t="shared" si="0"/>
        <v>8</v>
      </c>
      <c r="C66" s="25">
        <f t="shared" si="1"/>
        <v>2023</v>
      </c>
      <c r="D66" s="71" t="s">
        <v>89</v>
      </c>
      <c r="E66" s="4" t="s">
        <v>93</v>
      </c>
      <c r="F66" s="7" t="s">
        <v>254</v>
      </c>
      <c r="G66" s="7"/>
      <c r="H66" s="7" t="s">
        <v>130</v>
      </c>
      <c r="I66" s="60"/>
      <c r="J66" s="118">
        <v>50000</v>
      </c>
      <c r="K66" s="145"/>
      <c r="L66" s="145"/>
      <c r="M66" s="145"/>
      <c r="N66" s="127"/>
      <c r="O66" s="26"/>
      <c r="Q66" s="53"/>
      <c r="R66" s="53"/>
    </row>
    <row r="67" spans="1:18" ht="15" customHeight="1" x14ac:dyDescent="0.25">
      <c r="A67" s="55">
        <v>45169</v>
      </c>
      <c r="B67" s="25">
        <f t="shared" ref="B67:B130" si="2">MONTH(A67)</f>
        <v>8</v>
      </c>
      <c r="C67" s="25">
        <f t="shared" ref="C67:C130" si="3">YEAR((A67))</f>
        <v>2023</v>
      </c>
      <c r="D67" s="73" t="s">
        <v>89</v>
      </c>
      <c r="E67" s="4" t="s">
        <v>93</v>
      </c>
      <c r="F67" s="20" t="s">
        <v>369</v>
      </c>
      <c r="G67" s="20"/>
      <c r="H67" s="21" t="s">
        <v>131</v>
      </c>
      <c r="I67" s="60"/>
      <c r="J67" s="148">
        <v>42350</v>
      </c>
      <c r="K67" s="146"/>
      <c r="L67" s="146"/>
      <c r="M67" s="146"/>
      <c r="N67" s="127"/>
      <c r="O67" s="26"/>
      <c r="Q67" s="53"/>
      <c r="R67" s="53"/>
    </row>
    <row r="68" spans="1:18" ht="15" customHeight="1" x14ac:dyDescent="0.25">
      <c r="A68" s="54">
        <v>45169</v>
      </c>
      <c r="B68" s="25">
        <f t="shared" si="2"/>
        <v>8</v>
      </c>
      <c r="C68" s="25">
        <f t="shared" si="3"/>
        <v>2023</v>
      </c>
      <c r="D68" s="74" t="s">
        <v>89</v>
      </c>
      <c r="E68" s="4" t="s">
        <v>93</v>
      </c>
      <c r="F68" s="13" t="s">
        <v>551</v>
      </c>
      <c r="G68" s="13"/>
      <c r="H68" s="14" t="s">
        <v>130</v>
      </c>
      <c r="I68" s="60"/>
      <c r="J68" s="118">
        <v>213100</v>
      </c>
      <c r="K68" s="118"/>
      <c r="L68" s="118"/>
      <c r="M68" s="118"/>
      <c r="N68" s="127"/>
      <c r="O68" s="26"/>
      <c r="Q68" s="53"/>
      <c r="R68" s="53"/>
    </row>
    <row r="69" spans="1:18" ht="15" customHeight="1" x14ac:dyDescent="0.25">
      <c r="A69" s="54">
        <v>45169</v>
      </c>
      <c r="B69" s="25">
        <f t="shared" si="2"/>
        <v>8</v>
      </c>
      <c r="C69" s="25">
        <f t="shared" si="3"/>
        <v>2023</v>
      </c>
      <c r="D69" s="74" t="s">
        <v>124</v>
      </c>
      <c r="E69" s="4" t="s">
        <v>93</v>
      </c>
      <c r="F69" s="13"/>
      <c r="G69" s="13" t="s">
        <v>553</v>
      </c>
      <c r="H69" s="14" t="s">
        <v>131</v>
      </c>
      <c r="I69" s="60"/>
      <c r="J69" s="118"/>
      <c r="K69" s="118">
        <v>213100</v>
      </c>
      <c r="L69" s="118"/>
      <c r="M69" s="118"/>
      <c r="N69" s="127"/>
      <c r="O69" s="26"/>
      <c r="Q69" s="53"/>
      <c r="R69" s="53"/>
    </row>
    <row r="70" spans="1:18" ht="15" customHeight="1" x14ac:dyDescent="0.25">
      <c r="A70" s="54">
        <v>45170</v>
      </c>
      <c r="B70" s="25">
        <f t="shared" si="2"/>
        <v>9</v>
      </c>
      <c r="C70" s="25">
        <f t="shared" si="3"/>
        <v>2023</v>
      </c>
      <c r="D70" s="74" t="s">
        <v>124</v>
      </c>
      <c r="E70" s="4" t="s">
        <v>93</v>
      </c>
      <c r="F70" s="4"/>
      <c r="G70" s="13" t="s">
        <v>553</v>
      </c>
      <c r="H70" s="14" t="s">
        <v>131</v>
      </c>
      <c r="I70" s="60"/>
      <c r="J70" s="118"/>
      <c r="K70" s="147">
        <v>42350</v>
      </c>
      <c r="L70" s="147"/>
      <c r="M70" s="147"/>
      <c r="N70" s="127"/>
      <c r="O70" s="26"/>
      <c r="Q70" s="53"/>
      <c r="R70" s="53"/>
    </row>
    <row r="71" spans="1:18" ht="15" customHeight="1" x14ac:dyDescent="0.25">
      <c r="A71" s="54">
        <v>45170</v>
      </c>
      <c r="B71" s="25">
        <f t="shared" si="2"/>
        <v>9</v>
      </c>
      <c r="C71" s="25">
        <f t="shared" si="3"/>
        <v>2023</v>
      </c>
      <c r="D71" s="74" t="s">
        <v>124</v>
      </c>
      <c r="E71" s="4" t="s">
        <v>93</v>
      </c>
      <c r="F71" s="13"/>
      <c r="G71" s="13" t="s">
        <v>553</v>
      </c>
      <c r="H71" s="14" t="s">
        <v>131</v>
      </c>
      <c r="I71" s="60"/>
      <c r="J71" s="118"/>
      <c r="K71" s="118">
        <v>50000</v>
      </c>
      <c r="L71" s="118"/>
      <c r="M71" s="118"/>
      <c r="N71" s="127"/>
      <c r="O71" s="26"/>
      <c r="Q71" s="53"/>
      <c r="R71" s="53"/>
    </row>
    <row r="72" spans="1:18" ht="15" customHeight="1" x14ac:dyDescent="0.25">
      <c r="A72" s="54">
        <v>45170</v>
      </c>
      <c r="B72" s="25">
        <f t="shared" si="2"/>
        <v>9</v>
      </c>
      <c r="C72" s="25">
        <f t="shared" si="3"/>
        <v>2023</v>
      </c>
      <c r="D72" s="74" t="s">
        <v>124</v>
      </c>
      <c r="E72" s="4" t="s">
        <v>93</v>
      </c>
      <c r="F72" s="13"/>
      <c r="G72" s="13" t="s">
        <v>553</v>
      </c>
      <c r="H72" s="14" t="s">
        <v>131</v>
      </c>
      <c r="I72" s="60"/>
      <c r="J72" s="118"/>
      <c r="K72" s="118">
        <v>63440</v>
      </c>
      <c r="L72" s="118"/>
      <c r="M72" s="118"/>
      <c r="N72" s="127"/>
      <c r="O72" s="26"/>
      <c r="Q72" s="53"/>
      <c r="R72" s="53"/>
    </row>
    <row r="73" spans="1:18" ht="15" customHeight="1" x14ac:dyDescent="0.25">
      <c r="A73" s="54">
        <v>45170</v>
      </c>
      <c r="B73" s="25">
        <f t="shared" si="2"/>
        <v>9</v>
      </c>
      <c r="C73" s="25">
        <f t="shared" si="3"/>
        <v>2023</v>
      </c>
      <c r="D73" s="74" t="s">
        <v>124</v>
      </c>
      <c r="E73" s="4" t="s">
        <v>93</v>
      </c>
      <c r="F73" s="13"/>
      <c r="G73" s="13" t="s">
        <v>553</v>
      </c>
      <c r="H73" s="14" t="s">
        <v>131</v>
      </c>
      <c r="I73" s="60"/>
      <c r="J73" s="118"/>
      <c r="K73" s="147">
        <v>10900</v>
      </c>
      <c r="L73" s="147"/>
      <c r="M73" s="147"/>
      <c r="N73" s="127"/>
      <c r="O73" s="26"/>
      <c r="Q73" s="53"/>
      <c r="R73" s="53"/>
    </row>
    <row r="74" spans="1:18" ht="15" customHeight="1" x14ac:dyDescent="0.25">
      <c r="A74" s="54">
        <v>45170</v>
      </c>
      <c r="B74" s="25">
        <f t="shared" si="2"/>
        <v>9</v>
      </c>
      <c r="C74" s="25">
        <f t="shared" si="3"/>
        <v>2023</v>
      </c>
      <c r="D74" s="74" t="s">
        <v>124</v>
      </c>
      <c r="E74" s="4" t="s">
        <v>93</v>
      </c>
      <c r="F74" s="13"/>
      <c r="G74" s="13" t="s">
        <v>553</v>
      </c>
      <c r="H74" s="14" t="s">
        <v>131</v>
      </c>
      <c r="I74" s="60"/>
      <c r="J74" s="118"/>
      <c r="K74" s="147">
        <v>60000</v>
      </c>
      <c r="L74" s="147"/>
      <c r="M74" s="147"/>
      <c r="N74" s="127"/>
      <c r="O74" s="26"/>
      <c r="Q74" s="53"/>
      <c r="R74" s="53"/>
    </row>
    <row r="75" spans="1:18" ht="15" customHeight="1" x14ac:dyDescent="0.25">
      <c r="A75" s="54">
        <v>45170</v>
      </c>
      <c r="B75" s="25">
        <f t="shared" si="2"/>
        <v>9</v>
      </c>
      <c r="C75" s="25">
        <f t="shared" si="3"/>
        <v>2023</v>
      </c>
      <c r="D75" s="74" t="s">
        <v>124</v>
      </c>
      <c r="E75" s="4" t="s">
        <v>93</v>
      </c>
      <c r="F75" s="4"/>
      <c r="G75" s="13" t="s">
        <v>553</v>
      </c>
      <c r="H75" s="14" t="s">
        <v>131</v>
      </c>
      <c r="I75" s="60"/>
      <c r="J75" s="118"/>
      <c r="K75" s="147">
        <v>29460</v>
      </c>
      <c r="L75" s="147"/>
      <c r="M75" s="147"/>
      <c r="N75" s="127"/>
      <c r="O75" s="26"/>
      <c r="Q75" s="53"/>
      <c r="R75" s="53"/>
    </row>
    <row r="76" spans="1:18" ht="15" customHeight="1" x14ac:dyDescent="0.25">
      <c r="A76" s="54">
        <v>45170</v>
      </c>
      <c r="B76" s="25">
        <f t="shared" si="2"/>
        <v>9</v>
      </c>
      <c r="C76" s="25">
        <f t="shared" si="3"/>
        <v>2023</v>
      </c>
      <c r="D76" s="74" t="s">
        <v>124</v>
      </c>
      <c r="E76" s="4" t="s">
        <v>93</v>
      </c>
      <c r="F76" s="13"/>
      <c r="G76" s="13" t="s">
        <v>553</v>
      </c>
      <c r="H76" s="14" t="s">
        <v>131</v>
      </c>
      <c r="I76" s="60"/>
      <c r="J76" s="118"/>
      <c r="K76" s="147">
        <v>75000</v>
      </c>
      <c r="L76" s="147"/>
      <c r="M76" s="147"/>
      <c r="N76" s="127"/>
      <c r="O76" s="26"/>
      <c r="Q76" s="53"/>
      <c r="R76" s="53"/>
    </row>
    <row r="77" spans="1:18" ht="15" customHeight="1" x14ac:dyDescent="0.25">
      <c r="A77" s="54">
        <v>45170</v>
      </c>
      <c r="B77" s="25">
        <f t="shared" si="2"/>
        <v>9</v>
      </c>
      <c r="C77" s="25">
        <f t="shared" si="3"/>
        <v>2023</v>
      </c>
      <c r="D77" s="74" t="s">
        <v>89</v>
      </c>
      <c r="E77" s="4" t="s">
        <v>93</v>
      </c>
      <c r="F77" s="4" t="s">
        <v>260</v>
      </c>
      <c r="G77" s="4"/>
      <c r="H77" s="14" t="s">
        <v>130</v>
      </c>
      <c r="I77" s="60"/>
      <c r="J77" s="118">
        <v>133750</v>
      </c>
      <c r="K77" s="147"/>
      <c r="L77" s="147"/>
      <c r="M77" s="147"/>
      <c r="N77" s="127"/>
      <c r="O77" s="26"/>
      <c r="Q77" s="53"/>
      <c r="R77" s="53"/>
    </row>
    <row r="78" spans="1:18" ht="15" customHeight="1" x14ac:dyDescent="0.25">
      <c r="A78" s="54">
        <v>45173</v>
      </c>
      <c r="B78" s="25">
        <f t="shared" si="2"/>
        <v>9</v>
      </c>
      <c r="C78" s="25">
        <f t="shared" si="3"/>
        <v>2023</v>
      </c>
      <c r="D78" s="74" t="s">
        <v>610</v>
      </c>
      <c r="E78" s="4" t="s">
        <v>93</v>
      </c>
      <c r="F78" s="4" t="s">
        <v>264</v>
      </c>
      <c r="G78" s="4"/>
      <c r="H78" s="14"/>
      <c r="I78" s="60"/>
      <c r="J78" s="118"/>
      <c r="K78" s="147">
        <v>70583.59</v>
      </c>
      <c r="L78" s="147"/>
      <c r="M78" s="147"/>
      <c r="N78" s="127"/>
      <c r="O78" s="26"/>
      <c r="Q78" s="53"/>
      <c r="R78" s="53"/>
    </row>
    <row r="79" spans="1:18" ht="15" customHeight="1" x14ac:dyDescent="0.25">
      <c r="A79" s="54">
        <v>45173</v>
      </c>
      <c r="B79" s="25">
        <f t="shared" si="2"/>
        <v>9</v>
      </c>
      <c r="C79" s="25">
        <f t="shared" si="3"/>
        <v>2023</v>
      </c>
      <c r="D79" s="74" t="s">
        <v>89</v>
      </c>
      <c r="E79" s="4" t="s">
        <v>93</v>
      </c>
      <c r="F79" s="4" t="s">
        <v>555</v>
      </c>
      <c r="G79" s="4"/>
      <c r="H79" s="14" t="s">
        <v>130</v>
      </c>
      <c r="I79" s="60"/>
      <c r="J79" s="118">
        <v>12100</v>
      </c>
      <c r="K79" s="147"/>
      <c r="L79" s="147"/>
      <c r="M79" s="147"/>
      <c r="N79" s="127"/>
      <c r="O79" s="26"/>
      <c r="Q79" s="53"/>
      <c r="R79" s="53"/>
    </row>
    <row r="80" spans="1:18" ht="15" customHeight="1" x14ac:dyDescent="0.25">
      <c r="A80" s="54">
        <v>45174</v>
      </c>
      <c r="B80" s="25">
        <f t="shared" si="2"/>
        <v>9</v>
      </c>
      <c r="C80" s="25">
        <f t="shared" si="3"/>
        <v>2023</v>
      </c>
      <c r="D80" s="74" t="s">
        <v>89</v>
      </c>
      <c r="E80" s="4" t="s">
        <v>93</v>
      </c>
      <c r="F80" s="4" t="s">
        <v>267</v>
      </c>
      <c r="G80" s="4"/>
      <c r="H80" s="14" t="s">
        <v>130</v>
      </c>
      <c r="I80" s="60"/>
      <c r="J80" s="118">
        <v>26800</v>
      </c>
      <c r="K80" s="147"/>
      <c r="L80" s="147"/>
      <c r="M80" s="147"/>
      <c r="N80" s="127"/>
      <c r="O80" s="26"/>
      <c r="Q80" s="53"/>
      <c r="R80" s="53"/>
    </row>
    <row r="81" spans="1:18" ht="15" customHeight="1" x14ac:dyDescent="0.25">
      <c r="A81" s="54">
        <v>45174</v>
      </c>
      <c r="B81" s="25">
        <f t="shared" si="2"/>
        <v>9</v>
      </c>
      <c r="C81" s="25">
        <f t="shared" si="3"/>
        <v>2023</v>
      </c>
      <c r="D81" s="74" t="s">
        <v>89</v>
      </c>
      <c r="E81" s="4" t="s">
        <v>93</v>
      </c>
      <c r="F81" s="13" t="s">
        <v>271</v>
      </c>
      <c r="G81" s="13"/>
      <c r="H81" s="7" t="s">
        <v>130</v>
      </c>
      <c r="I81" s="60"/>
      <c r="J81" s="118">
        <v>68400</v>
      </c>
      <c r="K81" s="147"/>
      <c r="L81" s="147"/>
      <c r="M81" s="147"/>
      <c r="N81" s="127"/>
      <c r="O81" s="26"/>
      <c r="Q81" s="53"/>
      <c r="R81" s="53"/>
    </row>
    <row r="82" spans="1:18" ht="15" customHeight="1" x14ac:dyDescent="0.25">
      <c r="A82" s="54">
        <v>45175</v>
      </c>
      <c r="B82" s="25">
        <f t="shared" si="2"/>
        <v>9</v>
      </c>
      <c r="C82" s="25">
        <f t="shared" si="3"/>
        <v>2023</v>
      </c>
      <c r="D82" s="74" t="s">
        <v>109</v>
      </c>
      <c r="E82" s="4" t="s">
        <v>93</v>
      </c>
      <c r="F82" s="4" t="s">
        <v>55</v>
      </c>
      <c r="G82" s="4"/>
      <c r="H82" s="14" t="s">
        <v>130</v>
      </c>
      <c r="I82" s="60"/>
      <c r="J82" s="118"/>
      <c r="K82" s="147">
        <v>100000</v>
      </c>
      <c r="L82" s="147"/>
      <c r="M82" s="147"/>
      <c r="N82" s="127"/>
      <c r="O82" s="26"/>
      <c r="Q82" s="53"/>
      <c r="R82" s="53"/>
    </row>
    <row r="83" spans="1:18" ht="15" customHeight="1" x14ac:dyDescent="0.25">
      <c r="A83" s="54">
        <v>45175</v>
      </c>
      <c r="B83" s="25">
        <f t="shared" si="2"/>
        <v>9</v>
      </c>
      <c r="C83" s="25">
        <f t="shared" si="3"/>
        <v>2023</v>
      </c>
      <c r="D83" s="74" t="s">
        <v>89</v>
      </c>
      <c r="E83" s="4" t="s">
        <v>93</v>
      </c>
      <c r="F83" s="13" t="s">
        <v>210</v>
      </c>
      <c r="G83" s="13"/>
      <c r="H83" s="14" t="s">
        <v>131</v>
      </c>
      <c r="I83" s="60"/>
      <c r="J83" s="118">
        <v>15000</v>
      </c>
      <c r="K83" s="147"/>
      <c r="L83" s="147"/>
      <c r="M83" s="147"/>
      <c r="N83" s="127"/>
      <c r="O83" s="26"/>
      <c r="Q83" s="53"/>
      <c r="R83" s="53"/>
    </row>
    <row r="84" spans="1:18" ht="15" customHeight="1" x14ac:dyDescent="0.25">
      <c r="A84" s="54">
        <v>45175</v>
      </c>
      <c r="B84" s="25">
        <f t="shared" si="2"/>
        <v>9</v>
      </c>
      <c r="C84" s="25">
        <f t="shared" si="3"/>
        <v>2023</v>
      </c>
      <c r="D84" s="74" t="s">
        <v>89</v>
      </c>
      <c r="E84" s="4" t="s">
        <v>93</v>
      </c>
      <c r="F84" s="13" t="s">
        <v>210</v>
      </c>
      <c r="G84" s="13"/>
      <c r="H84" s="13" t="s">
        <v>131</v>
      </c>
      <c r="I84" s="60"/>
      <c r="J84" s="118">
        <v>13265.39</v>
      </c>
      <c r="K84" s="147"/>
      <c r="L84" s="147"/>
      <c r="M84" s="147"/>
      <c r="N84" s="127"/>
      <c r="O84" s="26"/>
      <c r="Q84" s="53"/>
      <c r="R84" s="53"/>
    </row>
    <row r="85" spans="1:18" ht="15" customHeight="1" x14ac:dyDescent="0.25">
      <c r="A85" s="54">
        <v>45176</v>
      </c>
      <c r="B85" s="25">
        <f t="shared" si="2"/>
        <v>9</v>
      </c>
      <c r="C85" s="25">
        <f t="shared" si="3"/>
        <v>2023</v>
      </c>
      <c r="D85" s="74" t="s">
        <v>89</v>
      </c>
      <c r="E85" s="4" t="s">
        <v>93</v>
      </c>
      <c r="F85" s="13" t="s">
        <v>275</v>
      </c>
      <c r="G85" s="13"/>
      <c r="H85" s="14" t="s">
        <v>130</v>
      </c>
      <c r="I85" s="60"/>
      <c r="J85" s="118">
        <v>65850</v>
      </c>
      <c r="K85" s="147"/>
      <c r="L85" s="147"/>
      <c r="M85" s="147"/>
      <c r="N85" s="127"/>
      <c r="O85" s="26"/>
      <c r="Q85" s="53"/>
      <c r="R85" s="53"/>
    </row>
    <row r="86" spans="1:18" ht="15" customHeight="1" x14ac:dyDescent="0.25">
      <c r="A86" s="54">
        <v>45176</v>
      </c>
      <c r="B86" s="25">
        <f t="shared" si="2"/>
        <v>9</v>
      </c>
      <c r="C86" s="25">
        <f t="shared" si="3"/>
        <v>2023</v>
      </c>
      <c r="D86" s="74" t="s">
        <v>124</v>
      </c>
      <c r="E86" s="4" t="s">
        <v>93</v>
      </c>
      <c r="F86" s="13"/>
      <c r="G86" s="13" t="s">
        <v>553</v>
      </c>
      <c r="H86" s="14" t="s">
        <v>130</v>
      </c>
      <c r="I86" s="60"/>
      <c r="J86" s="118"/>
      <c r="K86" s="147">
        <v>65850</v>
      </c>
      <c r="L86" s="147"/>
      <c r="M86" s="147"/>
      <c r="N86" s="127"/>
      <c r="O86" s="26"/>
      <c r="Q86" s="53"/>
      <c r="R86" s="53"/>
    </row>
    <row r="87" spans="1:18" ht="15" customHeight="1" x14ac:dyDescent="0.25">
      <c r="A87" s="54">
        <v>45176</v>
      </c>
      <c r="B87" s="25">
        <f t="shared" si="2"/>
        <v>9</v>
      </c>
      <c r="C87" s="25">
        <f t="shared" si="3"/>
        <v>2023</v>
      </c>
      <c r="D87" s="74" t="s">
        <v>89</v>
      </c>
      <c r="E87" s="4" t="s">
        <v>93</v>
      </c>
      <c r="F87" s="13" t="s">
        <v>249</v>
      </c>
      <c r="G87" s="13"/>
      <c r="H87" s="14" t="s">
        <v>130</v>
      </c>
      <c r="I87" s="60"/>
      <c r="J87" s="118">
        <v>100000</v>
      </c>
      <c r="K87" s="118"/>
      <c r="L87" s="118"/>
      <c r="M87" s="118"/>
      <c r="N87" s="127"/>
      <c r="O87" s="26"/>
      <c r="Q87" s="53"/>
      <c r="R87" s="53"/>
    </row>
    <row r="88" spans="1:18" ht="15" customHeight="1" x14ac:dyDescent="0.25">
      <c r="A88" s="54">
        <v>45177</v>
      </c>
      <c r="B88" s="25">
        <f t="shared" si="2"/>
        <v>9</v>
      </c>
      <c r="C88" s="25">
        <f t="shared" si="3"/>
        <v>2023</v>
      </c>
      <c r="D88" s="74" t="s">
        <v>89</v>
      </c>
      <c r="E88" s="4" t="s">
        <v>93</v>
      </c>
      <c r="F88" s="4" t="s">
        <v>278</v>
      </c>
      <c r="G88" s="4"/>
      <c r="H88" s="14" t="s">
        <v>130</v>
      </c>
      <c r="I88" s="60"/>
      <c r="J88" s="118">
        <v>245000</v>
      </c>
      <c r="K88" s="147"/>
      <c r="L88" s="147"/>
      <c r="M88" s="147"/>
      <c r="N88" s="127"/>
      <c r="O88" s="26"/>
      <c r="Q88" s="53"/>
      <c r="R88" s="53"/>
    </row>
    <row r="89" spans="1:18" ht="15" customHeight="1" x14ac:dyDescent="0.25">
      <c r="A89" s="54">
        <v>45177</v>
      </c>
      <c r="B89" s="25">
        <f t="shared" si="2"/>
        <v>9</v>
      </c>
      <c r="C89" s="25">
        <f t="shared" si="3"/>
        <v>2023</v>
      </c>
      <c r="D89" s="74" t="s">
        <v>124</v>
      </c>
      <c r="E89" s="4" t="s">
        <v>93</v>
      </c>
      <c r="F89" s="4"/>
      <c r="G89" s="4" t="s">
        <v>553</v>
      </c>
      <c r="H89" s="14" t="s">
        <v>130</v>
      </c>
      <c r="I89" s="60"/>
      <c r="J89" s="118"/>
      <c r="K89" s="147">
        <v>245000</v>
      </c>
      <c r="L89" s="147"/>
      <c r="M89" s="147"/>
      <c r="N89" s="127"/>
      <c r="O89" s="26"/>
      <c r="Q89" s="53"/>
      <c r="R89" s="53"/>
    </row>
    <row r="90" spans="1:18" ht="15" customHeight="1" x14ac:dyDescent="0.25">
      <c r="A90" s="54">
        <v>45177</v>
      </c>
      <c r="B90" s="25">
        <f t="shared" si="2"/>
        <v>9</v>
      </c>
      <c r="C90" s="25">
        <f t="shared" si="3"/>
        <v>2023</v>
      </c>
      <c r="D90" s="74" t="s">
        <v>89</v>
      </c>
      <c r="E90" s="4" t="s">
        <v>93</v>
      </c>
      <c r="F90" s="4" t="s">
        <v>556</v>
      </c>
      <c r="G90" s="4"/>
      <c r="H90" s="14" t="s">
        <v>130</v>
      </c>
      <c r="I90" s="60"/>
      <c r="J90" s="118">
        <v>356000</v>
      </c>
      <c r="K90" s="118"/>
      <c r="L90" s="118"/>
      <c r="M90" s="118"/>
      <c r="N90" s="127"/>
      <c r="O90" s="26"/>
      <c r="Q90" s="53"/>
      <c r="R90" s="53"/>
    </row>
    <row r="91" spans="1:18" ht="15" customHeight="1" x14ac:dyDescent="0.25">
      <c r="A91" s="54">
        <v>45177</v>
      </c>
      <c r="B91" s="25">
        <f t="shared" si="2"/>
        <v>9</v>
      </c>
      <c r="C91" s="25">
        <f t="shared" si="3"/>
        <v>2023</v>
      </c>
      <c r="D91" s="74" t="s">
        <v>124</v>
      </c>
      <c r="E91" s="4" t="s">
        <v>93</v>
      </c>
      <c r="F91" s="4"/>
      <c r="G91" s="4" t="s">
        <v>553</v>
      </c>
      <c r="H91" s="14" t="s">
        <v>130</v>
      </c>
      <c r="I91" s="60"/>
      <c r="J91" s="118"/>
      <c r="K91" s="118">
        <v>356000</v>
      </c>
      <c r="L91" s="118"/>
      <c r="M91" s="118"/>
      <c r="N91" s="127"/>
      <c r="O91" s="26"/>
      <c r="Q91" s="53"/>
      <c r="R91" s="53"/>
    </row>
    <row r="92" spans="1:18" ht="15" customHeight="1" x14ac:dyDescent="0.25">
      <c r="A92" s="54">
        <v>45178</v>
      </c>
      <c r="B92" s="25">
        <f t="shared" si="2"/>
        <v>9</v>
      </c>
      <c r="C92" s="25">
        <f t="shared" si="3"/>
        <v>2023</v>
      </c>
      <c r="D92" s="74" t="s">
        <v>124</v>
      </c>
      <c r="E92" s="4" t="s">
        <v>93</v>
      </c>
      <c r="F92" s="4"/>
      <c r="G92" s="4" t="s">
        <v>385</v>
      </c>
      <c r="H92" s="14" t="s">
        <v>130</v>
      </c>
      <c r="I92" s="60"/>
      <c r="J92" s="118"/>
      <c r="K92" s="118">
        <v>235800</v>
      </c>
      <c r="L92" s="118"/>
      <c r="M92" s="118"/>
      <c r="N92" s="127"/>
      <c r="O92" s="26"/>
      <c r="Q92" s="53"/>
      <c r="R92" s="53"/>
    </row>
    <row r="93" spans="1:18" ht="15" customHeight="1" x14ac:dyDescent="0.25">
      <c r="A93" s="54">
        <v>45178</v>
      </c>
      <c r="B93" s="25">
        <f t="shared" si="2"/>
        <v>9</v>
      </c>
      <c r="C93" s="25">
        <f t="shared" si="3"/>
        <v>2023</v>
      </c>
      <c r="D93" s="74" t="s">
        <v>124</v>
      </c>
      <c r="E93" s="4" t="s">
        <v>93</v>
      </c>
      <c r="F93" s="13"/>
      <c r="G93" s="13" t="s">
        <v>279</v>
      </c>
      <c r="H93" s="14" t="s">
        <v>130</v>
      </c>
      <c r="I93" s="60"/>
      <c r="J93" s="118"/>
      <c r="K93" s="118">
        <v>53562.48</v>
      </c>
      <c r="L93" s="118"/>
      <c r="M93" s="118"/>
      <c r="N93" s="127"/>
      <c r="O93" s="26"/>
      <c r="Q93" s="53"/>
      <c r="R93" s="53"/>
    </row>
    <row r="94" spans="1:18" ht="15" customHeight="1" x14ac:dyDescent="0.25">
      <c r="A94" s="54">
        <v>45180</v>
      </c>
      <c r="B94" s="25">
        <f t="shared" si="2"/>
        <v>9</v>
      </c>
      <c r="C94" s="25">
        <f t="shared" si="3"/>
        <v>2023</v>
      </c>
      <c r="D94" s="74" t="s">
        <v>89</v>
      </c>
      <c r="E94" s="4" t="s">
        <v>93</v>
      </c>
      <c r="F94" s="4" t="s">
        <v>516</v>
      </c>
      <c r="G94" s="4"/>
      <c r="H94" s="7" t="s">
        <v>131</v>
      </c>
      <c r="I94" s="60"/>
      <c r="J94" s="118">
        <v>117571.63</v>
      </c>
      <c r="K94" s="118"/>
      <c r="L94" s="118"/>
      <c r="M94" s="118"/>
      <c r="N94" s="127"/>
      <c r="O94" s="26"/>
      <c r="Q94" s="53"/>
      <c r="R94" s="53"/>
    </row>
    <row r="95" spans="1:18" ht="15" customHeight="1" x14ac:dyDescent="0.25">
      <c r="A95" s="54">
        <v>45180</v>
      </c>
      <c r="B95" s="25">
        <f t="shared" si="2"/>
        <v>9</v>
      </c>
      <c r="C95" s="25">
        <f t="shared" si="3"/>
        <v>2023</v>
      </c>
      <c r="D95" s="74" t="s">
        <v>89</v>
      </c>
      <c r="E95" s="4" t="s">
        <v>93</v>
      </c>
      <c r="F95" s="4" t="s">
        <v>516</v>
      </c>
      <c r="G95" s="4"/>
      <c r="H95" s="14" t="s">
        <v>131</v>
      </c>
      <c r="I95" s="60"/>
      <c r="J95" s="118">
        <v>117571.63</v>
      </c>
      <c r="K95" s="118"/>
      <c r="L95" s="118"/>
      <c r="M95" s="118"/>
      <c r="N95" s="127"/>
      <c r="O95" s="26"/>
      <c r="Q95" s="53"/>
      <c r="R95" s="53"/>
    </row>
    <row r="96" spans="1:18" ht="15" customHeight="1" x14ac:dyDescent="0.25">
      <c r="A96" s="54">
        <v>45180</v>
      </c>
      <c r="B96" s="25">
        <f t="shared" si="2"/>
        <v>9</v>
      </c>
      <c r="C96" s="25">
        <f t="shared" si="3"/>
        <v>2023</v>
      </c>
      <c r="D96" s="74" t="s">
        <v>89</v>
      </c>
      <c r="E96" s="4" t="s">
        <v>93</v>
      </c>
      <c r="F96" s="4" t="s">
        <v>516</v>
      </c>
      <c r="G96" s="13"/>
      <c r="H96" s="14" t="s">
        <v>131</v>
      </c>
      <c r="I96" s="60"/>
      <c r="J96" s="118">
        <v>117571.63</v>
      </c>
      <c r="K96" s="118"/>
      <c r="L96" s="118"/>
      <c r="M96" s="118"/>
      <c r="N96" s="127"/>
      <c r="O96" s="26"/>
      <c r="Q96" s="53"/>
      <c r="R96" s="53"/>
    </row>
    <row r="97" spans="1:18" ht="15" customHeight="1" x14ac:dyDescent="0.25">
      <c r="A97" s="54">
        <v>45180</v>
      </c>
      <c r="B97" s="25">
        <f t="shared" si="2"/>
        <v>9</v>
      </c>
      <c r="C97" s="25">
        <f t="shared" si="3"/>
        <v>2023</v>
      </c>
      <c r="D97" s="74" t="s">
        <v>89</v>
      </c>
      <c r="E97" s="4" t="s">
        <v>93</v>
      </c>
      <c r="F97" s="4" t="s">
        <v>284</v>
      </c>
      <c r="G97" s="4"/>
      <c r="H97" s="14" t="s">
        <v>130</v>
      </c>
      <c r="I97" s="60"/>
      <c r="J97" s="118">
        <v>69920</v>
      </c>
      <c r="K97" s="118"/>
      <c r="L97" s="118"/>
      <c r="M97" s="118"/>
      <c r="N97" s="127"/>
      <c r="O97" s="26"/>
      <c r="Q97" s="53"/>
      <c r="R97" s="53"/>
    </row>
    <row r="98" spans="1:18" ht="15" customHeight="1" x14ac:dyDescent="0.25">
      <c r="A98" s="54">
        <v>45180</v>
      </c>
      <c r="B98" s="25">
        <f t="shared" si="2"/>
        <v>9</v>
      </c>
      <c r="C98" s="25">
        <f t="shared" si="3"/>
        <v>2023</v>
      </c>
      <c r="D98" s="74" t="s">
        <v>89</v>
      </c>
      <c r="E98" s="4" t="s">
        <v>93</v>
      </c>
      <c r="F98" s="4" t="s">
        <v>285</v>
      </c>
      <c r="G98" s="4"/>
      <c r="H98" s="14" t="s">
        <v>130</v>
      </c>
      <c r="I98" s="60"/>
      <c r="J98" s="118">
        <v>76800</v>
      </c>
      <c r="K98" s="147"/>
      <c r="L98" s="147"/>
      <c r="M98" s="147"/>
      <c r="N98" s="127"/>
      <c r="O98" s="26"/>
      <c r="Q98" s="53"/>
      <c r="R98" s="53"/>
    </row>
    <row r="99" spans="1:18" ht="15" customHeight="1" x14ac:dyDescent="0.25">
      <c r="A99" s="54">
        <v>45180</v>
      </c>
      <c r="B99" s="25">
        <f t="shared" si="2"/>
        <v>9</v>
      </c>
      <c r="C99" s="25">
        <f t="shared" si="3"/>
        <v>2023</v>
      </c>
      <c r="D99" s="74" t="s">
        <v>124</v>
      </c>
      <c r="E99" s="4" t="s">
        <v>93</v>
      </c>
      <c r="F99" s="4"/>
      <c r="G99" s="4" t="s">
        <v>553</v>
      </c>
      <c r="H99" s="14" t="s">
        <v>130</v>
      </c>
      <c r="I99" s="60"/>
      <c r="J99" s="118"/>
      <c r="K99" s="118">
        <v>76800</v>
      </c>
      <c r="L99" s="118"/>
      <c r="M99" s="118"/>
      <c r="N99" s="127"/>
      <c r="O99" s="26"/>
      <c r="Q99" s="53"/>
      <c r="R99" s="53"/>
    </row>
    <row r="100" spans="1:18" ht="15" customHeight="1" x14ac:dyDescent="0.25">
      <c r="A100" s="54">
        <v>45181</v>
      </c>
      <c r="B100" s="25">
        <f t="shared" si="2"/>
        <v>9</v>
      </c>
      <c r="C100" s="25">
        <f t="shared" si="3"/>
        <v>2023</v>
      </c>
      <c r="D100" s="74" t="s">
        <v>89</v>
      </c>
      <c r="E100" s="4" t="s">
        <v>93</v>
      </c>
      <c r="F100" s="4" t="s">
        <v>287</v>
      </c>
      <c r="G100" s="4"/>
      <c r="H100" s="14" t="s">
        <v>130</v>
      </c>
      <c r="I100" s="60"/>
      <c r="J100" s="118">
        <v>100000</v>
      </c>
      <c r="K100" s="118"/>
      <c r="L100" s="118"/>
      <c r="M100" s="118"/>
      <c r="N100" s="127"/>
      <c r="O100" s="26"/>
      <c r="Q100" s="53"/>
      <c r="R100" s="53"/>
    </row>
    <row r="101" spans="1:18" ht="15" customHeight="1" x14ac:dyDescent="0.25">
      <c r="A101" s="54">
        <v>45181</v>
      </c>
      <c r="B101" s="25">
        <f t="shared" si="2"/>
        <v>9</v>
      </c>
      <c r="C101" s="25">
        <f t="shared" si="3"/>
        <v>2023</v>
      </c>
      <c r="D101" s="74" t="s">
        <v>89</v>
      </c>
      <c r="E101" s="4" t="s">
        <v>93</v>
      </c>
      <c r="F101" s="13" t="s">
        <v>289</v>
      </c>
      <c r="G101" s="13"/>
      <c r="H101" s="14" t="s">
        <v>131</v>
      </c>
      <c r="I101" s="60"/>
      <c r="J101" s="118">
        <v>281468</v>
      </c>
      <c r="K101" s="118"/>
      <c r="L101" s="118"/>
      <c r="M101" s="118"/>
      <c r="N101" s="127"/>
      <c r="O101" s="26"/>
      <c r="Q101" s="53"/>
      <c r="R101" s="53"/>
    </row>
    <row r="102" spans="1:18" ht="15" customHeight="1" x14ac:dyDescent="0.25">
      <c r="A102" s="54">
        <v>45181</v>
      </c>
      <c r="B102" s="25">
        <f t="shared" si="2"/>
        <v>9</v>
      </c>
      <c r="C102" s="25">
        <f t="shared" si="3"/>
        <v>2023</v>
      </c>
      <c r="D102" s="74" t="s">
        <v>89</v>
      </c>
      <c r="E102" s="4" t="s">
        <v>93</v>
      </c>
      <c r="F102" s="13" t="s">
        <v>291</v>
      </c>
      <c r="G102" s="13"/>
      <c r="H102" s="14" t="s">
        <v>130</v>
      </c>
      <c r="I102" s="60"/>
      <c r="J102" s="118">
        <v>21800</v>
      </c>
      <c r="K102" s="147"/>
      <c r="L102" s="147"/>
      <c r="M102" s="147"/>
      <c r="N102" s="127"/>
      <c r="O102" s="26"/>
      <c r="Q102" s="53"/>
      <c r="R102" s="53"/>
    </row>
    <row r="103" spans="1:18" ht="15" customHeight="1" x14ac:dyDescent="0.25">
      <c r="A103" s="54">
        <v>45181</v>
      </c>
      <c r="B103" s="25">
        <f t="shared" si="2"/>
        <v>9</v>
      </c>
      <c r="C103" s="25">
        <f t="shared" si="3"/>
        <v>2023</v>
      </c>
      <c r="D103" s="74" t="s">
        <v>89</v>
      </c>
      <c r="E103" s="4" t="s">
        <v>93</v>
      </c>
      <c r="F103" s="4" t="s">
        <v>292</v>
      </c>
      <c r="G103" s="4"/>
      <c r="H103" s="14" t="s">
        <v>131</v>
      </c>
      <c r="I103" s="60"/>
      <c r="J103" s="118">
        <v>200000</v>
      </c>
      <c r="K103" s="147"/>
      <c r="L103" s="147"/>
      <c r="M103" s="147"/>
      <c r="N103" s="127"/>
      <c r="O103" s="26"/>
      <c r="Q103" s="53"/>
      <c r="R103" s="53"/>
    </row>
    <row r="104" spans="1:18" ht="15" customHeight="1" x14ac:dyDescent="0.25">
      <c r="A104" s="54">
        <v>45181</v>
      </c>
      <c r="B104" s="25">
        <f t="shared" si="2"/>
        <v>9</v>
      </c>
      <c r="C104" s="25">
        <f t="shared" si="3"/>
        <v>2023</v>
      </c>
      <c r="D104" s="74" t="s">
        <v>89</v>
      </c>
      <c r="E104" s="4" t="s">
        <v>93</v>
      </c>
      <c r="F104" s="4" t="s">
        <v>292</v>
      </c>
      <c r="G104" s="4"/>
      <c r="H104" s="14" t="s">
        <v>131</v>
      </c>
      <c r="I104" s="60"/>
      <c r="J104" s="118">
        <v>100000</v>
      </c>
      <c r="K104" s="147"/>
      <c r="L104" s="147"/>
      <c r="M104" s="147"/>
      <c r="N104" s="127"/>
      <c r="O104" s="26"/>
      <c r="Q104" s="53"/>
      <c r="R104" s="53"/>
    </row>
    <row r="105" spans="1:18" ht="15" customHeight="1" x14ac:dyDescent="0.25">
      <c r="A105" s="54">
        <v>45181</v>
      </c>
      <c r="B105" s="25">
        <f t="shared" si="2"/>
        <v>9</v>
      </c>
      <c r="C105" s="25">
        <f t="shared" si="3"/>
        <v>2023</v>
      </c>
      <c r="D105" s="74" t="s">
        <v>89</v>
      </c>
      <c r="E105" s="4" t="s">
        <v>93</v>
      </c>
      <c r="F105" s="13" t="s">
        <v>294</v>
      </c>
      <c r="G105" s="13"/>
      <c r="H105" s="7" t="s">
        <v>130</v>
      </c>
      <c r="I105" s="60"/>
      <c r="J105" s="118">
        <v>114800</v>
      </c>
      <c r="K105" s="118"/>
      <c r="L105" s="118"/>
      <c r="M105" s="118"/>
      <c r="N105" s="127"/>
      <c r="O105" s="26"/>
      <c r="Q105" s="53"/>
      <c r="R105" s="53"/>
    </row>
    <row r="106" spans="1:18" ht="15" customHeight="1" x14ac:dyDescent="0.25">
      <c r="A106" s="54">
        <v>45182</v>
      </c>
      <c r="B106" s="25">
        <f t="shared" si="2"/>
        <v>9</v>
      </c>
      <c r="C106" s="25">
        <f t="shared" si="3"/>
        <v>2023</v>
      </c>
      <c r="D106" s="7" t="s">
        <v>92</v>
      </c>
      <c r="E106" s="4" t="s">
        <v>92</v>
      </c>
      <c r="F106" s="13" t="s">
        <v>296</v>
      </c>
      <c r="G106" s="13"/>
      <c r="H106" s="14" t="s">
        <v>130</v>
      </c>
      <c r="I106" s="60"/>
      <c r="J106" s="118"/>
      <c r="K106" s="147">
        <v>116760</v>
      </c>
      <c r="L106" s="147"/>
      <c r="M106" s="147"/>
      <c r="N106" s="127"/>
      <c r="O106" s="26"/>
      <c r="Q106" s="53"/>
      <c r="R106" s="53"/>
    </row>
    <row r="107" spans="1:18" ht="15" customHeight="1" x14ac:dyDescent="0.25">
      <c r="A107" s="54">
        <v>45182</v>
      </c>
      <c r="B107" s="25">
        <f t="shared" si="2"/>
        <v>9</v>
      </c>
      <c r="C107" s="25">
        <f t="shared" si="3"/>
        <v>2023</v>
      </c>
      <c r="D107" s="74" t="s">
        <v>124</v>
      </c>
      <c r="E107" s="4" t="s">
        <v>93</v>
      </c>
      <c r="F107" s="13"/>
      <c r="G107" s="13" t="s">
        <v>557</v>
      </c>
      <c r="H107" s="14" t="s">
        <v>131</v>
      </c>
      <c r="I107" s="60"/>
      <c r="J107" s="118"/>
      <c r="K107" s="147">
        <v>100000</v>
      </c>
      <c r="L107" s="147"/>
      <c r="M107" s="147"/>
      <c r="N107" s="127"/>
      <c r="O107" s="26"/>
      <c r="Q107" s="53"/>
      <c r="R107" s="53"/>
    </row>
    <row r="108" spans="1:18" ht="15" customHeight="1" x14ac:dyDescent="0.25">
      <c r="A108" s="54">
        <v>45182</v>
      </c>
      <c r="B108" s="25">
        <f t="shared" si="2"/>
        <v>9</v>
      </c>
      <c r="C108" s="25">
        <f t="shared" si="3"/>
        <v>2023</v>
      </c>
      <c r="D108" s="74" t="s">
        <v>124</v>
      </c>
      <c r="E108" s="4" t="s">
        <v>93</v>
      </c>
      <c r="F108" s="13"/>
      <c r="G108" s="13" t="s">
        <v>557</v>
      </c>
      <c r="H108" s="14" t="s">
        <v>131</v>
      </c>
      <c r="I108" s="60"/>
      <c r="J108" s="118"/>
      <c r="K108" s="147">
        <v>13265.39</v>
      </c>
      <c r="L108" s="147"/>
      <c r="M108" s="147"/>
      <c r="N108" s="127"/>
      <c r="O108" s="26"/>
      <c r="Q108" s="53"/>
      <c r="R108" s="53"/>
    </row>
    <row r="109" spans="1:18" ht="15" customHeight="1" x14ac:dyDescent="0.25">
      <c r="A109" s="54">
        <v>45182</v>
      </c>
      <c r="B109" s="25">
        <f t="shared" si="2"/>
        <v>9</v>
      </c>
      <c r="C109" s="25">
        <f t="shared" si="3"/>
        <v>2023</v>
      </c>
      <c r="D109" s="74" t="s">
        <v>124</v>
      </c>
      <c r="E109" s="4" t="s">
        <v>93</v>
      </c>
      <c r="F109" s="13"/>
      <c r="G109" s="13" t="s">
        <v>557</v>
      </c>
      <c r="H109" s="14" t="s">
        <v>131</v>
      </c>
      <c r="I109" s="60"/>
      <c r="J109" s="118"/>
      <c r="K109" s="147">
        <v>15000</v>
      </c>
      <c r="L109" s="147"/>
      <c r="M109" s="147"/>
      <c r="N109" s="127"/>
      <c r="O109" s="26"/>
      <c r="Q109" s="53"/>
      <c r="R109" s="53"/>
    </row>
    <row r="110" spans="1:18" ht="15" customHeight="1" x14ac:dyDescent="0.25">
      <c r="A110" s="54">
        <v>45182</v>
      </c>
      <c r="B110" s="25">
        <f t="shared" si="2"/>
        <v>9</v>
      </c>
      <c r="C110" s="25">
        <f t="shared" si="3"/>
        <v>2023</v>
      </c>
      <c r="D110" s="74" t="s">
        <v>124</v>
      </c>
      <c r="E110" s="4" t="s">
        <v>93</v>
      </c>
      <c r="F110" s="13"/>
      <c r="G110" s="13" t="s">
        <v>557</v>
      </c>
      <c r="H110" s="14" t="s">
        <v>131</v>
      </c>
      <c r="I110" s="60"/>
      <c r="J110" s="118"/>
      <c r="K110" s="147">
        <v>23084.61</v>
      </c>
      <c r="L110" s="147"/>
      <c r="M110" s="147"/>
      <c r="N110" s="127"/>
      <c r="O110" s="26"/>
      <c r="Q110" s="53"/>
      <c r="R110" s="53"/>
    </row>
    <row r="111" spans="1:18" ht="15" customHeight="1" x14ac:dyDescent="0.25">
      <c r="A111" s="54">
        <v>45183</v>
      </c>
      <c r="B111" s="25">
        <f t="shared" si="2"/>
        <v>9</v>
      </c>
      <c r="C111" s="25">
        <f t="shared" si="3"/>
        <v>2023</v>
      </c>
      <c r="D111" s="74" t="s">
        <v>89</v>
      </c>
      <c r="E111" s="4" t="s">
        <v>93</v>
      </c>
      <c r="F111" s="4" t="s">
        <v>298</v>
      </c>
      <c r="G111" s="4"/>
      <c r="H111" s="14" t="s">
        <v>131</v>
      </c>
      <c r="I111" s="60"/>
      <c r="J111" s="118">
        <v>17100</v>
      </c>
      <c r="K111" s="147"/>
      <c r="L111" s="147"/>
      <c r="M111" s="147"/>
      <c r="N111" s="127"/>
      <c r="O111" s="26"/>
    </row>
    <row r="112" spans="1:18" ht="15" customHeight="1" x14ac:dyDescent="0.25">
      <c r="A112" s="54">
        <v>45183</v>
      </c>
      <c r="B112" s="25">
        <f t="shared" si="2"/>
        <v>9</v>
      </c>
      <c r="C112" s="25">
        <f t="shared" si="3"/>
        <v>2023</v>
      </c>
      <c r="D112" s="71" t="s">
        <v>89</v>
      </c>
      <c r="E112" s="4" t="s">
        <v>93</v>
      </c>
      <c r="F112" s="4" t="s">
        <v>204</v>
      </c>
      <c r="G112" s="4"/>
      <c r="H112" s="7" t="s">
        <v>131</v>
      </c>
      <c r="I112" s="60"/>
      <c r="J112" s="118">
        <v>5600</v>
      </c>
      <c r="K112" s="147"/>
      <c r="L112" s="147"/>
      <c r="M112" s="147"/>
      <c r="N112" s="127"/>
      <c r="O112" s="26"/>
    </row>
    <row r="113" spans="1:15" ht="15" customHeight="1" x14ac:dyDescent="0.25">
      <c r="A113" s="54">
        <v>45183</v>
      </c>
      <c r="B113" s="25">
        <f t="shared" si="2"/>
        <v>9</v>
      </c>
      <c r="C113" s="25">
        <f t="shared" si="3"/>
        <v>2023</v>
      </c>
      <c r="D113" s="71" t="s">
        <v>89</v>
      </c>
      <c r="E113" s="4" t="s">
        <v>93</v>
      </c>
      <c r="F113" s="4" t="s">
        <v>204</v>
      </c>
      <c r="G113" s="4"/>
      <c r="H113" s="7" t="s">
        <v>131</v>
      </c>
      <c r="I113" s="60"/>
      <c r="J113" s="118">
        <v>49000</v>
      </c>
      <c r="K113" s="147"/>
      <c r="L113" s="147"/>
      <c r="M113" s="147"/>
      <c r="N113" s="127"/>
      <c r="O113" s="26"/>
    </row>
    <row r="114" spans="1:15" ht="15" customHeight="1" x14ac:dyDescent="0.25">
      <c r="A114" s="54">
        <v>45183</v>
      </c>
      <c r="B114" s="25">
        <f t="shared" si="2"/>
        <v>9</v>
      </c>
      <c r="C114" s="25">
        <f t="shared" si="3"/>
        <v>2023</v>
      </c>
      <c r="D114" s="71" t="s">
        <v>89</v>
      </c>
      <c r="E114" s="4" t="s">
        <v>93</v>
      </c>
      <c r="F114" s="4" t="s">
        <v>204</v>
      </c>
      <c r="G114" s="4"/>
      <c r="H114" s="7" t="s">
        <v>131</v>
      </c>
      <c r="I114" s="60"/>
      <c r="J114" s="118">
        <v>6300</v>
      </c>
      <c r="K114" s="147"/>
      <c r="L114" s="147"/>
      <c r="M114" s="147"/>
      <c r="N114" s="127"/>
      <c r="O114" s="26"/>
    </row>
    <row r="115" spans="1:15" ht="15" customHeight="1" x14ac:dyDescent="0.25">
      <c r="A115" s="54">
        <v>45183</v>
      </c>
      <c r="B115" s="25">
        <f t="shared" si="2"/>
        <v>9</v>
      </c>
      <c r="C115" s="25">
        <f t="shared" si="3"/>
        <v>2023</v>
      </c>
      <c r="D115" s="71" t="s">
        <v>89</v>
      </c>
      <c r="E115" s="4" t="s">
        <v>93</v>
      </c>
      <c r="F115" s="4" t="s">
        <v>300</v>
      </c>
      <c r="G115" s="4"/>
      <c r="H115" s="7" t="s">
        <v>131</v>
      </c>
      <c r="I115" s="60"/>
      <c r="J115" s="118">
        <v>100000</v>
      </c>
      <c r="K115" s="147"/>
      <c r="L115" s="147"/>
      <c r="M115" s="147"/>
      <c r="N115" s="127"/>
      <c r="O115" s="26"/>
    </row>
    <row r="116" spans="1:15" ht="15" customHeight="1" x14ac:dyDescent="0.25">
      <c r="A116" s="54">
        <v>45184</v>
      </c>
      <c r="B116" s="25">
        <f t="shared" si="2"/>
        <v>9</v>
      </c>
      <c r="C116" s="25">
        <f t="shared" si="3"/>
        <v>2023</v>
      </c>
      <c r="D116" s="71" t="s">
        <v>89</v>
      </c>
      <c r="E116" s="4" t="s">
        <v>93</v>
      </c>
      <c r="F116" s="4" t="s">
        <v>159</v>
      </c>
      <c r="G116" s="4"/>
      <c r="H116" s="7" t="s">
        <v>131</v>
      </c>
      <c r="I116" s="60"/>
      <c r="J116" s="118">
        <v>123000</v>
      </c>
      <c r="K116" s="118"/>
      <c r="L116" s="118"/>
      <c r="M116" s="118"/>
      <c r="N116" s="127"/>
      <c r="O116" s="26"/>
    </row>
    <row r="117" spans="1:15" ht="15" customHeight="1" x14ac:dyDescent="0.25">
      <c r="A117" s="54">
        <v>45184</v>
      </c>
      <c r="B117" s="25">
        <f t="shared" si="2"/>
        <v>9</v>
      </c>
      <c r="C117" s="25">
        <f t="shared" si="3"/>
        <v>2023</v>
      </c>
      <c r="D117" s="71" t="s">
        <v>89</v>
      </c>
      <c r="E117" s="4" t="s">
        <v>93</v>
      </c>
      <c r="F117" s="4" t="s">
        <v>159</v>
      </c>
      <c r="G117" s="4"/>
      <c r="H117" s="7" t="s">
        <v>131</v>
      </c>
      <c r="I117" s="60"/>
      <c r="J117" s="118">
        <v>27812</v>
      </c>
      <c r="K117" s="118"/>
      <c r="L117" s="118"/>
      <c r="M117" s="118"/>
      <c r="N117" s="127"/>
      <c r="O117" s="26"/>
    </row>
    <row r="118" spans="1:15" ht="15" customHeight="1" x14ac:dyDescent="0.25">
      <c r="A118" s="55">
        <v>45184</v>
      </c>
      <c r="B118" s="25">
        <f t="shared" si="2"/>
        <v>9</v>
      </c>
      <c r="C118" s="25">
        <f t="shared" si="3"/>
        <v>2023</v>
      </c>
      <c r="D118" s="75" t="s">
        <v>124</v>
      </c>
      <c r="E118" s="4" t="s">
        <v>93</v>
      </c>
      <c r="F118" s="8"/>
      <c r="G118" s="8" t="s">
        <v>333</v>
      </c>
      <c r="H118" s="22" t="s">
        <v>131</v>
      </c>
      <c r="I118" s="60"/>
      <c r="J118" s="148"/>
      <c r="K118" s="148">
        <v>85940</v>
      </c>
      <c r="L118" s="148"/>
      <c r="M118" s="148"/>
      <c r="N118" s="127"/>
      <c r="O118" s="26"/>
    </row>
    <row r="119" spans="1:15" ht="15" customHeight="1" x14ac:dyDescent="0.25">
      <c r="A119" s="54">
        <v>45184</v>
      </c>
      <c r="B119" s="25">
        <f t="shared" si="2"/>
        <v>9</v>
      </c>
      <c r="C119" s="25">
        <f t="shared" si="3"/>
        <v>2023</v>
      </c>
      <c r="D119" s="71" t="s">
        <v>124</v>
      </c>
      <c r="E119" s="4" t="s">
        <v>93</v>
      </c>
      <c r="F119" s="11"/>
      <c r="G119" s="8" t="s">
        <v>333</v>
      </c>
      <c r="H119" s="7" t="s">
        <v>131</v>
      </c>
      <c r="I119" s="60"/>
      <c r="J119" s="118"/>
      <c r="K119" s="118">
        <v>6300</v>
      </c>
      <c r="L119" s="118"/>
      <c r="M119" s="118"/>
      <c r="N119" s="127"/>
      <c r="O119" s="26"/>
    </row>
    <row r="120" spans="1:15" ht="15" customHeight="1" x14ac:dyDescent="0.25">
      <c r="A120" s="54">
        <v>45184</v>
      </c>
      <c r="B120" s="25">
        <f t="shared" si="2"/>
        <v>9</v>
      </c>
      <c r="C120" s="25">
        <f t="shared" si="3"/>
        <v>2023</v>
      </c>
      <c r="D120" s="71" t="s">
        <v>124</v>
      </c>
      <c r="E120" s="4" t="s">
        <v>93</v>
      </c>
      <c r="F120" s="4"/>
      <c r="G120" s="8" t="s">
        <v>333</v>
      </c>
      <c r="H120" s="7" t="s">
        <v>131</v>
      </c>
      <c r="I120" s="60"/>
      <c r="J120" s="118"/>
      <c r="K120" s="118">
        <v>5600</v>
      </c>
      <c r="L120" s="118"/>
      <c r="M120" s="118"/>
      <c r="N120" s="127"/>
      <c r="O120" s="26"/>
    </row>
    <row r="121" spans="1:15" ht="15" customHeight="1" x14ac:dyDescent="0.25">
      <c r="A121" s="54">
        <v>45184</v>
      </c>
      <c r="B121" s="25">
        <f t="shared" si="2"/>
        <v>9</v>
      </c>
      <c r="C121" s="25">
        <f t="shared" si="3"/>
        <v>2023</v>
      </c>
      <c r="D121" s="71" t="s">
        <v>124</v>
      </c>
      <c r="E121" s="4" t="s">
        <v>93</v>
      </c>
      <c r="F121" s="4"/>
      <c r="G121" s="8" t="s">
        <v>333</v>
      </c>
      <c r="H121" s="7" t="s">
        <v>131</v>
      </c>
      <c r="I121" s="60"/>
      <c r="J121" s="118"/>
      <c r="K121" s="118">
        <v>17100</v>
      </c>
      <c r="L121" s="118"/>
      <c r="M121" s="118"/>
      <c r="N121" s="127"/>
      <c r="O121" s="26"/>
    </row>
    <row r="122" spans="1:15" ht="15" customHeight="1" x14ac:dyDescent="0.25">
      <c r="A122" s="54">
        <v>45184</v>
      </c>
      <c r="B122" s="25">
        <f t="shared" si="2"/>
        <v>9</v>
      </c>
      <c r="C122" s="25">
        <f t="shared" si="3"/>
        <v>2023</v>
      </c>
      <c r="D122" s="71" t="s">
        <v>89</v>
      </c>
      <c r="E122" s="4" t="s">
        <v>93</v>
      </c>
      <c r="F122" s="4" t="s">
        <v>306</v>
      </c>
      <c r="G122" s="4"/>
      <c r="H122" s="7" t="s">
        <v>130</v>
      </c>
      <c r="I122" s="60"/>
      <c r="J122" s="118">
        <v>62450</v>
      </c>
      <c r="K122" s="118"/>
      <c r="L122" s="118"/>
      <c r="M122" s="118"/>
      <c r="N122" s="127"/>
      <c r="O122" s="26"/>
    </row>
    <row r="123" spans="1:15" ht="15" customHeight="1" x14ac:dyDescent="0.25">
      <c r="A123" s="54">
        <v>45184</v>
      </c>
      <c r="B123" s="25">
        <f t="shared" si="2"/>
        <v>9</v>
      </c>
      <c r="C123" s="25">
        <f t="shared" si="3"/>
        <v>2023</v>
      </c>
      <c r="D123" s="71" t="s">
        <v>109</v>
      </c>
      <c r="E123" s="4" t="s">
        <v>93</v>
      </c>
      <c r="F123" s="4" t="s">
        <v>307</v>
      </c>
      <c r="G123" s="4"/>
      <c r="H123" s="7" t="s">
        <v>130</v>
      </c>
      <c r="I123" s="60"/>
      <c r="J123" s="118"/>
      <c r="K123" s="118">
        <v>41500</v>
      </c>
      <c r="L123" s="118"/>
      <c r="M123" s="118"/>
      <c r="N123" s="127"/>
      <c r="O123" s="26"/>
    </row>
    <row r="124" spans="1:15" ht="15" customHeight="1" x14ac:dyDescent="0.25">
      <c r="A124" s="54">
        <v>45184</v>
      </c>
      <c r="B124" s="25">
        <f t="shared" si="2"/>
        <v>9</v>
      </c>
      <c r="C124" s="25">
        <f t="shared" si="3"/>
        <v>2023</v>
      </c>
      <c r="D124" s="71" t="s">
        <v>89</v>
      </c>
      <c r="E124" s="4" t="s">
        <v>93</v>
      </c>
      <c r="F124" s="4" t="s">
        <v>308</v>
      </c>
      <c r="G124" s="4"/>
      <c r="H124" s="7" t="s">
        <v>130</v>
      </c>
      <c r="I124" s="60"/>
      <c r="J124" s="118">
        <v>46400</v>
      </c>
      <c r="K124" s="118"/>
      <c r="L124" s="118"/>
      <c r="M124" s="118"/>
      <c r="N124" s="127"/>
      <c r="O124" s="26"/>
    </row>
    <row r="125" spans="1:15" ht="15" customHeight="1" x14ac:dyDescent="0.25">
      <c r="A125" s="54">
        <v>45184</v>
      </c>
      <c r="B125" s="25">
        <f t="shared" si="2"/>
        <v>9</v>
      </c>
      <c r="C125" s="25">
        <f t="shared" si="3"/>
        <v>2023</v>
      </c>
      <c r="D125" s="71" t="s">
        <v>89</v>
      </c>
      <c r="E125" s="4" t="s">
        <v>93</v>
      </c>
      <c r="F125" s="4" t="s">
        <v>312</v>
      </c>
      <c r="G125" s="4"/>
      <c r="H125" s="7" t="s">
        <v>130</v>
      </c>
      <c r="I125" s="60"/>
      <c r="J125" s="118">
        <v>70000</v>
      </c>
      <c r="K125" s="118"/>
      <c r="L125" s="118"/>
      <c r="M125" s="118"/>
      <c r="N125" s="127"/>
      <c r="O125" s="26"/>
    </row>
    <row r="126" spans="1:15" ht="15" customHeight="1" x14ac:dyDescent="0.25">
      <c r="A126" s="54">
        <v>45184</v>
      </c>
      <c r="B126" s="25">
        <f t="shared" si="2"/>
        <v>9</v>
      </c>
      <c r="C126" s="25">
        <f t="shared" si="3"/>
        <v>2023</v>
      </c>
      <c r="D126" s="71" t="s">
        <v>124</v>
      </c>
      <c r="E126" s="4" t="s">
        <v>93</v>
      </c>
      <c r="F126" s="4"/>
      <c r="G126" s="4" t="s">
        <v>553</v>
      </c>
      <c r="H126" s="7" t="s">
        <v>130</v>
      </c>
      <c r="I126" s="60"/>
      <c r="J126" s="118"/>
      <c r="K126" s="118">
        <v>70000</v>
      </c>
      <c r="L126" s="118"/>
      <c r="M126" s="118"/>
      <c r="N126" s="127"/>
      <c r="O126" s="26"/>
    </row>
    <row r="127" spans="1:15" ht="15" customHeight="1" x14ac:dyDescent="0.25">
      <c r="A127" s="54">
        <v>45184</v>
      </c>
      <c r="B127" s="25">
        <f t="shared" si="2"/>
        <v>9</v>
      </c>
      <c r="C127" s="25">
        <f t="shared" si="3"/>
        <v>2023</v>
      </c>
      <c r="D127" s="71" t="s">
        <v>89</v>
      </c>
      <c r="E127" s="4" t="s">
        <v>93</v>
      </c>
      <c r="F127" s="4" t="s">
        <v>314</v>
      </c>
      <c r="G127" s="4"/>
      <c r="H127" s="7" t="s">
        <v>130</v>
      </c>
      <c r="I127" s="60"/>
      <c r="J127" s="118">
        <v>140500</v>
      </c>
      <c r="K127" s="118"/>
      <c r="L127" s="118"/>
      <c r="M127" s="118"/>
      <c r="N127" s="127"/>
      <c r="O127" s="26"/>
    </row>
    <row r="128" spans="1:15" ht="15" customHeight="1" x14ac:dyDescent="0.25">
      <c r="A128" s="54">
        <v>45184</v>
      </c>
      <c r="B128" s="25">
        <f t="shared" si="2"/>
        <v>9</v>
      </c>
      <c r="C128" s="25">
        <f t="shared" si="3"/>
        <v>2023</v>
      </c>
      <c r="D128" s="71" t="s">
        <v>89</v>
      </c>
      <c r="E128" s="4" t="s">
        <v>93</v>
      </c>
      <c r="F128" s="4" t="s">
        <v>316</v>
      </c>
      <c r="G128" s="4"/>
      <c r="H128" s="7" t="s">
        <v>130</v>
      </c>
      <c r="I128" s="60"/>
      <c r="J128" s="118">
        <v>277500</v>
      </c>
      <c r="K128" s="118"/>
      <c r="L128" s="118"/>
      <c r="M128" s="118"/>
      <c r="N128" s="127"/>
      <c r="O128" s="26"/>
    </row>
    <row r="129" spans="1:15" ht="15" customHeight="1" x14ac:dyDescent="0.25">
      <c r="A129" s="54">
        <v>45184</v>
      </c>
      <c r="B129" s="25">
        <f t="shared" si="2"/>
        <v>9</v>
      </c>
      <c r="C129" s="25">
        <f t="shared" si="3"/>
        <v>2023</v>
      </c>
      <c r="D129" s="71" t="s">
        <v>124</v>
      </c>
      <c r="E129" s="4" t="s">
        <v>93</v>
      </c>
      <c r="F129" s="4"/>
      <c r="G129" s="4" t="s">
        <v>553</v>
      </c>
      <c r="H129" s="7" t="s">
        <v>130</v>
      </c>
      <c r="I129" s="60"/>
      <c r="J129" s="118"/>
      <c r="K129" s="118">
        <v>277500</v>
      </c>
      <c r="L129" s="118"/>
      <c r="M129" s="118"/>
      <c r="N129" s="127"/>
      <c r="O129" s="26"/>
    </row>
    <row r="130" spans="1:15" ht="15" customHeight="1" x14ac:dyDescent="0.25">
      <c r="A130" s="54">
        <v>45184</v>
      </c>
      <c r="B130" s="25">
        <f t="shared" si="2"/>
        <v>9</v>
      </c>
      <c r="C130" s="25">
        <f t="shared" si="3"/>
        <v>2023</v>
      </c>
      <c r="D130" s="71" t="s">
        <v>89</v>
      </c>
      <c r="E130" s="4" t="s">
        <v>93</v>
      </c>
      <c r="F130" s="4" t="s">
        <v>216</v>
      </c>
      <c r="G130" s="4"/>
      <c r="H130" s="7" t="s">
        <v>130</v>
      </c>
      <c r="I130" s="60"/>
      <c r="J130" s="118">
        <v>29000</v>
      </c>
      <c r="K130" s="118"/>
      <c r="L130" s="118"/>
      <c r="M130" s="118"/>
      <c r="N130" s="127"/>
      <c r="O130" s="26"/>
    </row>
    <row r="131" spans="1:15" ht="15" customHeight="1" x14ac:dyDescent="0.25">
      <c r="A131" s="54">
        <v>45188</v>
      </c>
      <c r="B131" s="25">
        <f t="shared" ref="B131:B194" si="4">MONTH(A131)</f>
        <v>9</v>
      </c>
      <c r="C131" s="25">
        <f t="shared" ref="C131:C194" si="5">YEAR((A131))</f>
        <v>2023</v>
      </c>
      <c r="D131" s="71" t="s">
        <v>89</v>
      </c>
      <c r="E131" s="4" t="s">
        <v>93</v>
      </c>
      <c r="F131" s="4" t="s">
        <v>324</v>
      </c>
      <c r="G131" s="4"/>
      <c r="H131" s="7" t="s">
        <v>130</v>
      </c>
      <c r="I131" s="60"/>
      <c r="J131" s="118">
        <v>71990</v>
      </c>
      <c r="K131" s="118"/>
      <c r="L131" s="118"/>
      <c r="M131" s="118"/>
      <c r="N131" s="127"/>
      <c r="O131" s="26"/>
    </row>
    <row r="132" spans="1:15" ht="15" customHeight="1" x14ac:dyDescent="0.25">
      <c r="A132" s="54">
        <v>45190</v>
      </c>
      <c r="B132" s="25">
        <f t="shared" si="4"/>
        <v>9</v>
      </c>
      <c r="C132" s="25">
        <f t="shared" si="5"/>
        <v>2023</v>
      </c>
      <c r="D132" s="71" t="s">
        <v>124</v>
      </c>
      <c r="E132" s="4" t="s">
        <v>93</v>
      </c>
      <c r="F132" s="4"/>
      <c r="G132" s="4" t="s">
        <v>553</v>
      </c>
      <c r="H132" s="7" t="s">
        <v>130</v>
      </c>
      <c r="I132" s="60"/>
      <c r="J132" s="118"/>
      <c r="K132" s="118">
        <v>74500</v>
      </c>
      <c r="L132" s="118"/>
      <c r="M132" s="118"/>
      <c r="N132" s="127"/>
      <c r="O132" s="26"/>
    </row>
    <row r="133" spans="1:15" ht="15" customHeight="1" x14ac:dyDescent="0.25">
      <c r="A133" s="54">
        <v>45190</v>
      </c>
      <c r="B133" s="25">
        <f t="shared" si="4"/>
        <v>9</v>
      </c>
      <c r="C133" s="25">
        <f t="shared" si="5"/>
        <v>2023</v>
      </c>
      <c r="D133" s="71" t="s">
        <v>89</v>
      </c>
      <c r="E133" s="4" t="s">
        <v>93</v>
      </c>
      <c r="F133" s="4" t="s">
        <v>167</v>
      </c>
      <c r="G133" s="4"/>
      <c r="H133" s="7" t="s">
        <v>130</v>
      </c>
      <c r="I133" s="60"/>
      <c r="J133" s="118">
        <v>74500</v>
      </c>
      <c r="K133" s="118"/>
      <c r="L133" s="118"/>
      <c r="M133" s="118"/>
      <c r="N133" s="127"/>
      <c r="O133" s="26"/>
    </row>
    <row r="134" spans="1:15" ht="15" customHeight="1" x14ac:dyDescent="0.25">
      <c r="A134" s="54">
        <v>45191</v>
      </c>
      <c r="B134" s="25">
        <f t="shared" si="4"/>
        <v>9</v>
      </c>
      <c r="C134" s="25">
        <f t="shared" si="5"/>
        <v>2023</v>
      </c>
      <c r="D134" s="71" t="s">
        <v>109</v>
      </c>
      <c r="E134" s="4" t="s">
        <v>93</v>
      </c>
      <c r="F134" s="4" t="s">
        <v>331</v>
      </c>
      <c r="G134" s="4"/>
      <c r="H134" s="7" t="s">
        <v>130</v>
      </c>
      <c r="I134" s="60"/>
      <c r="J134" s="118"/>
      <c r="K134" s="118">
        <v>15000</v>
      </c>
      <c r="L134" s="118"/>
      <c r="M134" s="118"/>
      <c r="N134" s="127"/>
      <c r="O134" s="26"/>
    </row>
    <row r="135" spans="1:15" ht="15" customHeight="1" x14ac:dyDescent="0.25">
      <c r="A135" s="54">
        <v>45196</v>
      </c>
      <c r="B135" s="25">
        <f t="shared" si="4"/>
        <v>9</v>
      </c>
      <c r="C135" s="25">
        <f t="shared" si="5"/>
        <v>2023</v>
      </c>
      <c r="D135" s="71" t="s">
        <v>89</v>
      </c>
      <c r="E135" s="4" t="s">
        <v>93</v>
      </c>
      <c r="F135" s="4" t="s">
        <v>347</v>
      </c>
      <c r="G135" s="4"/>
      <c r="H135" s="7" t="s">
        <v>130</v>
      </c>
      <c r="I135" s="60"/>
      <c r="J135" s="118">
        <v>40000</v>
      </c>
      <c r="K135" s="118"/>
      <c r="L135" s="118"/>
      <c r="M135" s="118"/>
      <c r="N135" s="127"/>
      <c r="O135" s="26"/>
    </row>
    <row r="136" spans="1:15" ht="15" customHeight="1" x14ac:dyDescent="0.25">
      <c r="A136" s="54">
        <v>45196</v>
      </c>
      <c r="B136" s="25">
        <f t="shared" si="4"/>
        <v>9</v>
      </c>
      <c r="C136" s="25">
        <f t="shared" si="5"/>
        <v>2023</v>
      </c>
      <c r="D136" s="71" t="s">
        <v>124</v>
      </c>
      <c r="E136" s="4" t="s">
        <v>93</v>
      </c>
      <c r="F136" s="4"/>
      <c r="G136" s="4" t="s">
        <v>558</v>
      </c>
      <c r="H136" s="7" t="s">
        <v>131</v>
      </c>
      <c r="I136" s="60"/>
      <c r="J136" s="118"/>
      <c r="K136" s="118">
        <v>49000</v>
      </c>
      <c r="L136" s="118"/>
      <c r="M136" s="118"/>
      <c r="N136" s="127"/>
      <c r="O136" s="26"/>
    </row>
    <row r="137" spans="1:15" ht="15" customHeight="1" x14ac:dyDescent="0.25">
      <c r="A137" s="54">
        <v>45196</v>
      </c>
      <c r="B137" s="25">
        <f t="shared" si="4"/>
        <v>9</v>
      </c>
      <c r="C137" s="25">
        <f t="shared" si="5"/>
        <v>2023</v>
      </c>
      <c r="D137" s="71" t="s">
        <v>124</v>
      </c>
      <c r="E137" s="4" t="s">
        <v>93</v>
      </c>
      <c r="F137" s="4"/>
      <c r="G137" s="4" t="s">
        <v>558</v>
      </c>
      <c r="H137" s="7" t="s">
        <v>131</v>
      </c>
      <c r="I137" s="60"/>
      <c r="J137" s="118"/>
      <c r="K137" s="118">
        <v>22000</v>
      </c>
      <c r="L137" s="118"/>
      <c r="M137" s="118"/>
      <c r="N137" s="127"/>
      <c r="O137" s="26"/>
    </row>
    <row r="138" spans="1:15" ht="15" customHeight="1" x14ac:dyDescent="0.25">
      <c r="A138" s="54">
        <v>45197</v>
      </c>
      <c r="B138" s="25">
        <f t="shared" si="4"/>
        <v>9</v>
      </c>
      <c r="C138" s="25">
        <f t="shared" si="5"/>
        <v>2023</v>
      </c>
      <c r="D138" s="71" t="s">
        <v>89</v>
      </c>
      <c r="E138" s="4" t="s">
        <v>93</v>
      </c>
      <c r="F138" s="4" t="s">
        <v>356</v>
      </c>
      <c r="G138" s="4"/>
      <c r="H138" s="7" t="s">
        <v>131</v>
      </c>
      <c r="I138" s="60"/>
      <c r="J138" s="118">
        <v>100000</v>
      </c>
      <c r="K138" s="118"/>
      <c r="L138" s="118"/>
      <c r="M138" s="118"/>
      <c r="N138" s="127"/>
      <c r="O138" s="26"/>
    </row>
    <row r="139" spans="1:15" ht="15" customHeight="1" x14ac:dyDescent="0.25">
      <c r="A139" s="54">
        <v>45198</v>
      </c>
      <c r="B139" s="25">
        <f t="shared" si="4"/>
        <v>9</v>
      </c>
      <c r="C139" s="25">
        <f t="shared" si="5"/>
        <v>2023</v>
      </c>
      <c r="D139" s="71" t="s">
        <v>507</v>
      </c>
      <c r="E139" s="4" t="s">
        <v>93</v>
      </c>
      <c r="F139" s="4" t="s">
        <v>362</v>
      </c>
      <c r="G139" s="4"/>
      <c r="H139" s="7" t="s">
        <v>130</v>
      </c>
      <c r="I139" s="60"/>
      <c r="J139" s="118"/>
      <c r="K139" s="118">
        <v>4480</v>
      </c>
      <c r="L139" s="118"/>
      <c r="M139" s="118"/>
      <c r="N139" s="127"/>
      <c r="O139" s="26"/>
    </row>
    <row r="140" spans="1:15" ht="15" customHeight="1" x14ac:dyDescent="0.25">
      <c r="A140" s="54">
        <v>45198</v>
      </c>
      <c r="B140" s="25">
        <f t="shared" si="4"/>
        <v>9</v>
      </c>
      <c r="C140" s="25">
        <f t="shared" si="5"/>
        <v>2023</v>
      </c>
      <c r="D140" s="71" t="s">
        <v>89</v>
      </c>
      <c r="E140" s="4" t="s">
        <v>93</v>
      </c>
      <c r="F140" s="4" t="s">
        <v>150</v>
      </c>
      <c r="G140" s="4"/>
      <c r="H140" s="7" t="s">
        <v>131</v>
      </c>
      <c r="I140" s="60"/>
      <c r="J140" s="118">
        <v>15000</v>
      </c>
      <c r="K140" s="118"/>
      <c r="L140" s="118"/>
      <c r="M140" s="118"/>
      <c r="N140" s="127"/>
      <c r="O140" s="26"/>
    </row>
    <row r="141" spans="1:15" ht="15" customHeight="1" x14ac:dyDescent="0.25">
      <c r="A141" s="54">
        <v>45198</v>
      </c>
      <c r="B141" s="25">
        <f t="shared" si="4"/>
        <v>9</v>
      </c>
      <c r="C141" s="25">
        <f t="shared" si="5"/>
        <v>2023</v>
      </c>
      <c r="D141" s="71" t="s">
        <v>89</v>
      </c>
      <c r="E141" s="4" t="s">
        <v>93</v>
      </c>
      <c r="F141" s="4" t="s">
        <v>150</v>
      </c>
      <c r="G141" s="4"/>
      <c r="H141" s="7" t="s">
        <v>131</v>
      </c>
      <c r="I141" s="60"/>
      <c r="J141" s="118">
        <v>200000</v>
      </c>
      <c r="K141" s="118"/>
      <c r="L141" s="118"/>
      <c r="M141" s="118"/>
      <c r="N141" s="127"/>
      <c r="O141" s="26"/>
    </row>
    <row r="142" spans="1:15" ht="15" customHeight="1" x14ac:dyDescent="0.25">
      <c r="A142" s="54">
        <v>45198</v>
      </c>
      <c r="B142" s="25">
        <f t="shared" si="4"/>
        <v>9</v>
      </c>
      <c r="C142" s="25">
        <f t="shared" si="5"/>
        <v>2023</v>
      </c>
      <c r="D142" s="71" t="s">
        <v>89</v>
      </c>
      <c r="E142" s="4" t="s">
        <v>93</v>
      </c>
      <c r="F142" s="4" t="s">
        <v>364</v>
      </c>
      <c r="G142" s="4"/>
      <c r="H142" s="7" t="s">
        <v>131</v>
      </c>
      <c r="I142" s="60"/>
      <c r="J142" s="118">
        <v>125623</v>
      </c>
      <c r="K142" s="118"/>
      <c r="L142" s="118"/>
      <c r="M142" s="118"/>
      <c r="N142" s="127"/>
      <c r="O142" s="26"/>
    </row>
    <row r="143" spans="1:15" ht="15" customHeight="1" x14ac:dyDescent="0.25">
      <c r="A143" s="54">
        <v>45201</v>
      </c>
      <c r="B143" s="25">
        <f t="shared" si="4"/>
        <v>10</v>
      </c>
      <c r="C143" s="25">
        <f t="shared" si="5"/>
        <v>2023</v>
      </c>
      <c r="D143" s="71" t="s">
        <v>89</v>
      </c>
      <c r="E143" s="4" t="s">
        <v>93</v>
      </c>
      <c r="F143" s="4" t="s">
        <v>369</v>
      </c>
      <c r="G143" s="4"/>
      <c r="H143" s="7" t="s">
        <v>130</v>
      </c>
      <c r="I143" s="60"/>
      <c r="J143" s="118">
        <v>32205</v>
      </c>
      <c r="K143" s="118"/>
      <c r="L143" s="118"/>
      <c r="M143" s="118"/>
      <c r="N143" s="127"/>
      <c r="O143" s="26"/>
    </row>
    <row r="144" spans="1:15" ht="15" customHeight="1" x14ac:dyDescent="0.25">
      <c r="A144" s="54">
        <v>45201</v>
      </c>
      <c r="B144" s="25">
        <f t="shared" si="4"/>
        <v>10</v>
      </c>
      <c r="C144" s="25">
        <f t="shared" si="5"/>
        <v>2023</v>
      </c>
      <c r="D144" s="71" t="s">
        <v>89</v>
      </c>
      <c r="E144" s="4" t="s">
        <v>93</v>
      </c>
      <c r="F144" s="4" t="s">
        <v>375</v>
      </c>
      <c r="G144" s="4"/>
      <c r="H144" s="7" t="s">
        <v>130</v>
      </c>
      <c r="I144" s="60"/>
      <c r="J144" s="118">
        <v>160800</v>
      </c>
      <c r="K144" s="118"/>
      <c r="L144" s="118"/>
      <c r="M144" s="118"/>
      <c r="N144" s="127"/>
      <c r="O144" s="26"/>
    </row>
    <row r="145" spans="1:15" ht="15" customHeight="1" x14ac:dyDescent="0.25">
      <c r="A145" s="54">
        <v>45201</v>
      </c>
      <c r="B145" s="25">
        <f t="shared" si="4"/>
        <v>10</v>
      </c>
      <c r="C145" s="25">
        <f t="shared" si="5"/>
        <v>2023</v>
      </c>
      <c r="D145" s="71" t="s">
        <v>89</v>
      </c>
      <c r="E145" s="4" t="s">
        <v>93</v>
      </c>
      <c r="F145" s="4" t="s">
        <v>369</v>
      </c>
      <c r="G145" s="4"/>
      <c r="H145" s="7" t="s">
        <v>131</v>
      </c>
      <c r="I145" s="60"/>
      <c r="J145" s="118">
        <v>54450</v>
      </c>
      <c r="K145" s="118"/>
      <c r="L145" s="118"/>
      <c r="M145" s="118"/>
      <c r="N145" s="127"/>
      <c r="O145" s="26"/>
    </row>
    <row r="146" spans="1:15" ht="15" customHeight="1" x14ac:dyDescent="0.25">
      <c r="A146" s="54">
        <v>45201</v>
      </c>
      <c r="B146" s="25">
        <f t="shared" si="4"/>
        <v>10</v>
      </c>
      <c r="C146" s="25">
        <f t="shared" si="5"/>
        <v>2023</v>
      </c>
      <c r="D146" s="71" t="s">
        <v>89</v>
      </c>
      <c r="E146" s="4" t="s">
        <v>93</v>
      </c>
      <c r="F146" s="4" t="s">
        <v>369</v>
      </c>
      <c r="G146" s="4"/>
      <c r="H146" s="7" t="s">
        <v>131</v>
      </c>
      <c r="I146" s="60"/>
      <c r="J146" s="118">
        <v>63525</v>
      </c>
      <c r="K146" s="118"/>
      <c r="L146" s="118"/>
      <c r="M146" s="118"/>
      <c r="N146" s="127"/>
      <c r="O146" s="26"/>
    </row>
    <row r="147" spans="1:15" ht="15" customHeight="1" x14ac:dyDescent="0.25">
      <c r="A147" s="54">
        <v>45202</v>
      </c>
      <c r="B147" s="25">
        <f t="shared" si="4"/>
        <v>10</v>
      </c>
      <c r="C147" s="25">
        <f t="shared" si="5"/>
        <v>2023</v>
      </c>
      <c r="D147" s="71" t="s">
        <v>89</v>
      </c>
      <c r="E147" s="4" t="s">
        <v>93</v>
      </c>
      <c r="F147" s="4" t="s">
        <v>379</v>
      </c>
      <c r="G147" s="4"/>
      <c r="H147" s="7" t="s">
        <v>130</v>
      </c>
      <c r="I147" s="60"/>
      <c r="J147" s="118">
        <v>46300</v>
      </c>
      <c r="K147" s="118"/>
      <c r="L147" s="118"/>
      <c r="M147" s="118"/>
      <c r="N147" s="127"/>
      <c r="O147" s="26"/>
    </row>
    <row r="148" spans="1:15" ht="15" customHeight="1" x14ac:dyDescent="0.25">
      <c r="A148" s="54">
        <v>45202</v>
      </c>
      <c r="B148" s="25">
        <f t="shared" si="4"/>
        <v>10</v>
      </c>
      <c r="C148" s="25">
        <f t="shared" si="5"/>
        <v>2023</v>
      </c>
      <c r="D148" s="71" t="s">
        <v>89</v>
      </c>
      <c r="E148" s="4" t="s">
        <v>93</v>
      </c>
      <c r="F148" s="4" t="s">
        <v>380</v>
      </c>
      <c r="G148" s="4"/>
      <c r="H148" s="7" t="s">
        <v>130</v>
      </c>
      <c r="I148" s="60"/>
      <c r="J148" s="118">
        <v>135610</v>
      </c>
      <c r="K148" s="118"/>
      <c r="L148" s="118"/>
      <c r="M148" s="118"/>
      <c r="N148" s="127"/>
      <c r="O148" s="26"/>
    </row>
    <row r="149" spans="1:15" ht="15" customHeight="1" x14ac:dyDescent="0.25">
      <c r="A149" s="54">
        <v>45203</v>
      </c>
      <c r="B149" s="25">
        <f t="shared" si="4"/>
        <v>10</v>
      </c>
      <c r="C149" s="25">
        <f t="shared" si="5"/>
        <v>2023</v>
      </c>
      <c r="D149" s="71" t="s">
        <v>89</v>
      </c>
      <c r="E149" s="4" t="s">
        <v>93</v>
      </c>
      <c r="F149" s="4" t="s">
        <v>382</v>
      </c>
      <c r="G149" s="4"/>
      <c r="H149" s="7" t="s">
        <v>130</v>
      </c>
      <c r="I149" s="60"/>
      <c r="J149" s="118">
        <v>123700</v>
      </c>
      <c r="K149" s="118"/>
      <c r="L149" s="118"/>
      <c r="M149" s="118"/>
      <c r="N149" s="127"/>
      <c r="O149" s="26"/>
    </row>
    <row r="150" spans="1:15" ht="15" customHeight="1" x14ac:dyDescent="0.25">
      <c r="A150" s="54">
        <v>45203</v>
      </c>
      <c r="B150" s="25">
        <f t="shared" si="4"/>
        <v>10</v>
      </c>
      <c r="C150" s="25">
        <f t="shared" si="5"/>
        <v>2023</v>
      </c>
      <c r="D150" s="71" t="s">
        <v>89</v>
      </c>
      <c r="E150" s="4" t="s">
        <v>93</v>
      </c>
      <c r="F150" s="4" t="s">
        <v>383</v>
      </c>
      <c r="G150" s="4"/>
      <c r="H150" s="7" t="s">
        <v>130</v>
      </c>
      <c r="I150" s="60"/>
      <c r="J150" s="118">
        <v>70000</v>
      </c>
      <c r="K150" s="118"/>
      <c r="L150" s="118"/>
      <c r="M150" s="118"/>
      <c r="N150" s="127"/>
      <c r="O150" s="26"/>
    </row>
    <row r="151" spans="1:15" ht="15" customHeight="1" x14ac:dyDescent="0.25">
      <c r="A151" s="54">
        <v>45203</v>
      </c>
      <c r="B151" s="25">
        <f t="shared" si="4"/>
        <v>10</v>
      </c>
      <c r="C151" s="25">
        <f t="shared" si="5"/>
        <v>2023</v>
      </c>
      <c r="D151" s="71" t="s">
        <v>89</v>
      </c>
      <c r="E151" s="4" t="s">
        <v>93</v>
      </c>
      <c r="F151" s="4" t="s">
        <v>388</v>
      </c>
      <c r="G151" s="4"/>
      <c r="H151" s="7" t="s">
        <v>130</v>
      </c>
      <c r="I151" s="60"/>
      <c r="J151" s="118">
        <v>45000</v>
      </c>
      <c r="K151" s="118"/>
      <c r="L151" s="118"/>
      <c r="M151" s="118"/>
      <c r="N151" s="127"/>
      <c r="O151" s="26"/>
    </row>
    <row r="152" spans="1:15" ht="15" customHeight="1" x14ac:dyDescent="0.25">
      <c r="A152" s="54">
        <v>45204</v>
      </c>
      <c r="B152" s="25">
        <f t="shared" si="4"/>
        <v>10</v>
      </c>
      <c r="C152" s="25">
        <f t="shared" si="5"/>
        <v>2023</v>
      </c>
      <c r="D152" s="71" t="s">
        <v>124</v>
      </c>
      <c r="E152" s="4" t="s">
        <v>93</v>
      </c>
      <c r="F152" s="4"/>
      <c r="G152" s="4" t="s">
        <v>553</v>
      </c>
      <c r="H152" s="7" t="s">
        <v>131</v>
      </c>
      <c r="I152" s="60"/>
      <c r="J152" s="118"/>
      <c r="K152" s="118">
        <v>54450</v>
      </c>
      <c r="L152" s="118"/>
      <c r="M152" s="118"/>
      <c r="N152" s="127"/>
      <c r="O152" s="26"/>
    </row>
    <row r="153" spans="1:15" ht="15" customHeight="1" x14ac:dyDescent="0.25">
      <c r="A153" s="54">
        <v>45204</v>
      </c>
      <c r="B153" s="25">
        <f t="shared" si="4"/>
        <v>10</v>
      </c>
      <c r="C153" s="25">
        <f t="shared" si="5"/>
        <v>2023</v>
      </c>
      <c r="D153" s="71" t="s">
        <v>124</v>
      </c>
      <c r="E153" s="4" t="s">
        <v>93</v>
      </c>
      <c r="F153" s="4"/>
      <c r="G153" s="4" t="s">
        <v>553</v>
      </c>
      <c r="H153" s="7" t="s">
        <v>131</v>
      </c>
      <c r="I153" s="60"/>
      <c r="J153" s="118"/>
      <c r="K153" s="118">
        <v>63525</v>
      </c>
      <c r="L153" s="118"/>
      <c r="M153" s="118"/>
      <c r="N153" s="127"/>
      <c r="O153" s="26"/>
    </row>
    <row r="154" spans="1:15" ht="15" customHeight="1" x14ac:dyDescent="0.25">
      <c r="A154" s="54">
        <v>45204</v>
      </c>
      <c r="B154" s="25">
        <f t="shared" si="4"/>
        <v>10</v>
      </c>
      <c r="C154" s="25">
        <f t="shared" si="5"/>
        <v>2023</v>
      </c>
      <c r="D154" s="71" t="s">
        <v>124</v>
      </c>
      <c r="E154" s="4" t="s">
        <v>93</v>
      </c>
      <c r="F154" s="4"/>
      <c r="G154" s="4" t="s">
        <v>553</v>
      </c>
      <c r="H154" s="7" t="s">
        <v>131</v>
      </c>
      <c r="I154" s="60"/>
      <c r="J154" s="118"/>
      <c r="K154" s="118">
        <v>200000</v>
      </c>
      <c r="L154" s="118"/>
      <c r="M154" s="118"/>
      <c r="N154" s="127"/>
      <c r="O154" s="26"/>
    </row>
    <row r="155" spans="1:15" ht="15" customHeight="1" x14ac:dyDescent="0.25">
      <c r="A155" s="54">
        <v>45204</v>
      </c>
      <c r="B155" s="25">
        <f t="shared" si="4"/>
        <v>10</v>
      </c>
      <c r="C155" s="25">
        <f t="shared" si="5"/>
        <v>2023</v>
      </c>
      <c r="D155" s="71" t="s">
        <v>124</v>
      </c>
      <c r="E155" s="4" t="s">
        <v>93</v>
      </c>
      <c r="F155" s="4"/>
      <c r="G155" s="4" t="s">
        <v>553</v>
      </c>
      <c r="H155" s="7" t="s">
        <v>131</v>
      </c>
      <c r="I155" s="60"/>
      <c r="J155" s="118"/>
      <c r="K155" s="118">
        <v>281468</v>
      </c>
      <c r="L155" s="118"/>
      <c r="M155" s="118"/>
      <c r="N155" s="127"/>
      <c r="O155" s="26"/>
    </row>
    <row r="156" spans="1:15" ht="15" customHeight="1" x14ac:dyDescent="0.25">
      <c r="A156" s="54">
        <v>45204</v>
      </c>
      <c r="B156" s="25">
        <f t="shared" si="4"/>
        <v>10</v>
      </c>
      <c r="C156" s="25">
        <f t="shared" si="5"/>
        <v>2023</v>
      </c>
      <c r="D156" s="71" t="s">
        <v>124</v>
      </c>
      <c r="E156" s="4" t="s">
        <v>93</v>
      </c>
      <c r="F156" s="4"/>
      <c r="G156" s="4" t="s">
        <v>553</v>
      </c>
      <c r="H156" s="7" t="s">
        <v>131</v>
      </c>
      <c r="I156" s="60"/>
      <c r="J156" s="118"/>
      <c r="K156" s="118">
        <v>117571.63</v>
      </c>
      <c r="L156" s="118"/>
      <c r="M156" s="118"/>
      <c r="N156" s="127"/>
      <c r="O156" s="26"/>
    </row>
    <row r="157" spans="1:15" ht="15" customHeight="1" x14ac:dyDescent="0.25">
      <c r="A157" s="54">
        <v>45204</v>
      </c>
      <c r="B157" s="25">
        <f t="shared" si="4"/>
        <v>10</v>
      </c>
      <c r="C157" s="25">
        <f t="shared" si="5"/>
        <v>2023</v>
      </c>
      <c r="D157" s="71" t="s">
        <v>89</v>
      </c>
      <c r="E157" s="4" t="s">
        <v>93</v>
      </c>
      <c r="F157" s="4" t="s">
        <v>389</v>
      </c>
      <c r="G157" s="4"/>
      <c r="H157" s="7" t="s">
        <v>131</v>
      </c>
      <c r="I157" s="60"/>
      <c r="J157" s="118">
        <v>187400</v>
      </c>
      <c r="K157" s="118"/>
      <c r="L157" s="118"/>
      <c r="M157" s="118"/>
      <c r="N157" s="127"/>
      <c r="O157" s="26"/>
    </row>
    <row r="158" spans="1:15" ht="15" customHeight="1" x14ac:dyDescent="0.25">
      <c r="A158" s="54">
        <v>45204</v>
      </c>
      <c r="B158" s="25">
        <f t="shared" si="4"/>
        <v>10</v>
      </c>
      <c r="C158" s="25">
        <f t="shared" si="5"/>
        <v>2023</v>
      </c>
      <c r="D158" s="71" t="s">
        <v>89</v>
      </c>
      <c r="E158" s="4" t="s">
        <v>93</v>
      </c>
      <c r="F158" s="4" t="s">
        <v>390</v>
      </c>
      <c r="G158" s="4"/>
      <c r="H158" s="7" t="s">
        <v>131</v>
      </c>
      <c r="I158" s="60"/>
      <c r="J158" s="118">
        <v>100000</v>
      </c>
      <c r="K158" s="118"/>
      <c r="L158" s="118"/>
      <c r="M158" s="118"/>
      <c r="N158" s="127"/>
      <c r="O158" s="26"/>
    </row>
    <row r="159" spans="1:15" ht="15" customHeight="1" x14ac:dyDescent="0.25">
      <c r="A159" s="54">
        <v>45204</v>
      </c>
      <c r="B159" s="25">
        <f t="shared" si="4"/>
        <v>10</v>
      </c>
      <c r="C159" s="25">
        <f t="shared" si="5"/>
        <v>2023</v>
      </c>
      <c r="D159" s="71" t="s">
        <v>89</v>
      </c>
      <c r="E159" s="4" t="s">
        <v>93</v>
      </c>
      <c r="F159" s="4" t="s">
        <v>393</v>
      </c>
      <c r="G159" s="4"/>
      <c r="H159" s="7" t="s">
        <v>131</v>
      </c>
      <c r="I159" s="60"/>
      <c r="J159" s="118">
        <v>120250</v>
      </c>
      <c r="K159" s="118"/>
      <c r="L159" s="118"/>
      <c r="M159" s="118"/>
      <c r="N159" s="127"/>
      <c r="O159" s="26"/>
    </row>
    <row r="160" spans="1:15" ht="15" customHeight="1" x14ac:dyDescent="0.25">
      <c r="A160" s="54">
        <v>45205</v>
      </c>
      <c r="B160" s="25">
        <f t="shared" si="4"/>
        <v>10</v>
      </c>
      <c r="C160" s="25">
        <f t="shared" si="5"/>
        <v>2023</v>
      </c>
      <c r="D160" s="71" t="s">
        <v>124</v>
      </c>
      <c r="E160" s="4" t="s">
        <v>93</v>
      </c>
      <c r="F160" s="4"/>
      <c r="G160" s="4" t="s">
        <v>273</v>
      </c>
      <c r="H160" s="7" t="s">
        <v>131</v>
      </c>
      <c r="I160" s="60"/>
      <c r="J160" s="118"/>
      <c r="K160" s="118">
        <v>100000</v>
      </c>
      <c r="L160" s="118"/>
      <c r="M160" s="118"/>
      <c r="N160" s="127"/>
      <c r="O160" s="26"/>
    </row>
    <row r="161" spans="1:15" ht="15" customHeight="1" x14ac:dyDescent="0.25">
      <c r="A161" s="54">
        <v>45205</v>
      </c>
      <c r="B161" s="25">
        <f t="shared" si="4"/>
        <v>10</v>
      </c>
      <c r="C161" s="25">
        <f t="shared" si="5"/>
        <v>2023</v>
      </c>
      <c r="D161" s="71" t="s">
        <v>124</v>
      </c>
      <c r="E161" s="4" t="s">
        <v>93</v>
      </c>
      <c r="F161" s="4"/>
      <c r="G161" s="4" t="s">
        <v>273</v>
      </c>
      <c r="H161" s="7" t="s">
        <v>131</v>
      </c>
      <c r="I161" s="60"/>
      <c r="J161" s="118"/>
      <c r="K161" s="118">
        <v>100000</v>
      </c>
      <c r="L161" s="118"/>
      <c r="M161" s="118"/>
      <c r="N161" s="127"/>
      <c r="O161" s="26"/>
    </row>
    <row r="162" spans="1:15" ht="15" customHeight="1" x14ac:dyDescent="0.25">
      <c r="A162" s="54">
        <v>45205</v>
      </c>
      <c r="B162" s="25">
        <f t="shared" si="4"/>
        <v>10</v>
      </c>
      <c r="C162" s="25">
        <f t="shared" si="5"/>
        <v>2023</v>
      </c>
      <c r="D162" s="71" t="s">
        <v>89</v>
      </c>
      <c r="E162" s="4" t="s">
        <v>93</v>
      </c>
      <c r="F162" s="4" t="s">
        <v>397</v>
      </c>
      <c r="G162" s="4"/>
      <c r="H162" s="7" t="s">
        <v>131</v>
      </c>
      <c r="I162" s="60"/>
      <c r="J162" s="118">
        <v>134400</v>
      </c>
      <c r="K162" s="118"/>
      <c r="L162" s="118"/>
      <c r="M162" s="118"/>
      <c r="N162" s="127"/>
      <c r="O162" s="26"/>
    </row>
    <row r="163" spans="1:15" ht="15" customHeight="1" x14ac:dyDescent="0.25">
      <c r="A163" s="54">
        <v>45208</v>
      </c>
      <c r="B163" s="25">
        <f t="shared" si="4"/>
        <v>10</v>
      </c>
      <c r="C163" s="25">
        <f t="shared" si="5"/>
        <v>2023</v>
      </c>
      <c r="D163" s="71" t="s">
        <v>124</v>
      </c>
      <c r="E163" s="4" t="s">
        <v>93</v>
      </c>
      <c r="F163" s="4"/>
      <c r="G163" s="4" t="s">
        <v>559</v>
      </c>
      <c r="H163" s="7" t="s">
        <v>131</v>
      </c>
      <c r="I163" s="60"/>
      <c r="J163" s="118"/>
      <c r="K163" s="118">
        <v>134400</v>
      </c>
      <c r="L163" s="118"/>
      <c r="M163" s="118"/>
      <c r="N163" s="127"/>
      <c r="O163" s="26"/>
    </row>
    <row r="164" spans="1:15" ht="15" customHeight="1" x14ac:dyDescent="0.25">
      <c r="A164" s="54">
        <v>45208</v>
      </c>
      <c r="B164" s="25">
        <f t="shared" si="4"/>
        <v>10</v>
      </c>
      <c r="C164" s="25">
        <f t="shared" si="5"/>
        <v>2023</v>
      </c>
      <c r="D164" s="71" t="s">
        <v>89</v>
      </c>
      <c r="E164" s="4" t="s">
        <v>93</v>
      </c>
      <c r="F164" s="4" t="s">
        <v>403</v>
      </c>
      <c r="G164" s="4"/>
      <c r="H164" s="7" t="s">
        <v>131</v>
      </c>
      <c r="I164" s="60"/>
      <c r="J164" s="118">
        <v>203047.35</v>
      </c>
      <c r="K164" s="118"/>
      <c r="L164" s="118"/>
      <c r="M164" s="118"/>
      <c r="N164" s="127"/>
      <c r="O164" s="26"/>
    </row>
    <row r="165" spans="1:15" ht="15" customHeight="1" x14ac:dyDescent="0.25">
      <c r="A165" s="54">
        <v>45208</v>
      </c>
      <c r="B165" s="25">
        <f t="shared" si="4"/>
        <v>10</v>
      </c>
      <c r="C165" s="25">
        <f t="shared" si="5"/>
        <v>2023</v>
      </c>
      <c r="D165" s="71" t="s">
        <v>89</v>
      </c>
      <c r="E165" s="4" t="s">
        <v>93</v>
      </c>
      <c r="F165" s="4" t="s">
        <v>403</v>
      </c>
      <c r="G165" s="4"/>
      <c r="H165" s="7" t="s">
        <v>131</v>
      </c>
      <c r="I165" s="60"/>
      <c r="J165" s="118">
        <v>33502.65</v>
      </c>
      <c r="K165" s="118"/>
      <c r="L165" s="118"/>
      <c r="M165" s="118"/>
      <c r="N165" s="127"/>
      <c r="O165" s="26"/>
    </row>
    <row r="166" spans="1:15" ht="15" customHeight="1" x14ac:dyDescent="0.25">
      <c r="A166" s="54">
        <v>45209</v>
      </c>
      <c r="B166" s="25">
        <f t="shared" si="4"/>
        <v>10</v>
      </c>
      <c r="C166" s="25">
        <f t="shared" si="5"/>
        <v>2023</v>
      </c>
      <c r="D166" s="71" t="s">
        <v>124</v>
      </c>
      <c r="E166" s="4" t="s">
        <v>93</v>
      </c>
      <c r="F166" s="4"/>
      <c r="G166" s="4" t="s">
        <v>554</v>
      </c>
      <c r="H166" s="7" t="s">
        <v>131</v>
      </c>
      <c r="I166" s="60"/>
      <c r="J166" s="118"/>
      <c r="K166" s="118">
        <v>120250</v>
      </c>
      <c r="L166" s="118"/>
      <c r="M166" s="118"/>
      <c r="N166" s="127"/>
      <c r="O166" s="26"/>
    </row>
    <row r="167" spans="1:15" ht="15" customHeight="1" x14ac:dyDescent="0.25">
      <c r="A167" s="54">
        <v>45210</v>
      </c>
      <c r="B167" s="25">
        <f t="shared" si="4"/>
        <v>10</v>
      </c>
      <c r="C167" s="25">
        <f t="shared" si="5"/>
        <v>2023</v>
      </c>
      <c r="D167" s="71" t="s">
        <v>352</v>
      </c>
      <c r="E167" s="4" t="s">
        <v>93</v>
      </c>
      <c r="F167" s="4" t="s">
        <v>414</v>
      </c>
      <c r="G167" s="4"/>
      <c r="H167" s="7" t="s">
        <v>130</v>
      </c>
      <c r="I167" s="60"/>
      <c r="J167" s="118">
        <v>86100</v>
      </c>
      <c r="K167" s="118"/>
      <c r="L167" s="118"/>
      <c r="M167" s="118"/>
      <c r="N167" s="127"/>
      <c r="O167" s="26"/>
    </row>
    <row r="168" spans="1:15" ht="15" customHeight="1" x14ac:dyDescent="0.25">
      <c r="A168" s="54">
        <v>45210</v>
      </c>
      <c r="B168" s="25">
        <f t="shared" si="4"/>
        <v>10</v>
      </c>
      <c r="C168" s="25">
        <f t="shared" si="5"/>
        <v>2023</v>
      </c>
      <c r="D168" s="71" t="s">
        <v>92</v>
      </c>
      <c r="E168" s="4" t="s">
        <v>92</v>
      </c>
      <c r="F168" s="4"/>
      <c r="G168" s="4"/>
      <c r="H168" s="7" t="s">
        <v>131</v>
      </c>
      <c r="I168" s="60"/>
      <c r="J168" s="118">
        <v>150000</v>
      </c>
      <c r="K168" s="118"/>
      <c r="L168" s="118"/>
      <c r="M168" s="118"/>
      <c r="N168" s="127"/>
      <c r="O168" s="26"/>
    </row>
    <row r="169" spans="1:15" ht="15" customHeight="1" x14ac:dyDescent="0.25">
      <c r="A169" s="54">
        <v>45210</v>
      </c>
      <c r="B169" s="25">
        <f t="shared" si="4"/>
        <v>10</v>
      </c>
      <c r="C169" s="25">
        <f t="shared" si="5"/>
        <v>2023</v>
      </c>
      <c r="D169" s="71" t="s">
        <v>89</v>
      </c>
      <c r="E169" s="4" t="s">
        <v>93</v>
      </c>
      <c r="F169" s="4" t="s">
        <v>422</v>
      </c>
      <c r="G169" s="4"/>
      <c r="H169" s="7" t="s">
        <v>131</v>
      </c>
      <c r="I169" s="60"/>
      <c r="J169" s="118">
        <v>42909</v>
      </c>
      <c r="K169" s="118"/>
      <c r="L169" s="118"/>
      <c r="M169" s="118"/>
      <c r="N169" s="127"/>
      <c r="O169" s="26"/>
    </row>
    <row r="170" spans="1:15" ht="15" customHeight="1" x14ac:dyDescent="0.25">
      <c r="A170" s="54">
        <v>45210</v>
      </c>
      <c r="B170" s="25">
        <f t="shared" si="4"/>
        <v>10</v>
      </c>
      <c r="C170" s="25">
        <f t="shared" si="5"/>
        <v>2023</v>
      </c>
      <c r="D170" s="71" t="s">
        <v>89</v>
      </c>
      <c r="E170" s="4" t="s">
        <v>93</v>
      </c>
      <c r="F170" s="4" t="s">
        <v>422</v>
      </c>
      <c r="G170" s="4"/>
      <c r="H170" s="7" t="s">
        <v>131</v>
      </c>
      <c r="I170" s="60"/>
      <c r="J170" s="118">
        <v>18840</v>
      </c>
      <c r="K170" s="118"/>
      <c r="L170" s="118"/>
      <c r="M170" s="118"/>
      <c r="N170" s="127"/>
      <c r="O170" s="26"/>
    </row>
    <row r="171" spans="1:15" ht="15" customHeight="1" x14ac:dyDescent="0.25">
      <c r="A171" s="54">
        <v>45210</v>
      </c>
      <c r="B171" s="25">
        <f t="shared" si="4"/>
        <v>10</v>
      </c>
      <c r="C171" s="25">
        <f t="shared" si="5"/>
        <v>2023</v>
      </c>
      <c r="D171" s="71" t="s">
        <v>89</v>
      </c>
      <c r="E171" s="4" t="s">
        <v>93</v>
      </c>
      <c r="F171" s="4" t="s">
        <v>422</v>
      </c>
      <c r="G171" s="4"/>
      <c r="H171" s="7" t="s">
        <v>131</v>
      </c>
      <c r="I171" s="60"/>
      <c r="J171" s="118">
        <v>32000</v>
      </c>
      <c r="K171" s="118"/>
      <c r="L171" s="118"/>
      <c r="M171" s="118"/>
      <c r="N171" s="127"/>
      <c r="O171" s="26"/>
    </row>
    <row r="172" spans="1:15" ht="15" customHeight="1" x14ac:dyDescent="0.25">
      <c r="A172" s="54">
        <v>45210</v>
      </c>
      <c r="B172" s="25">
        <f t="shared" si="4"/>
        <v>10</v>
      </c>
      <c r="C172" s="25">
        <f t="shared" si="5"/>
        <v>2023</v>
      </c>
      <c r="D172" s="71" t="s">
        <v>89</v>
      </c>
      <c r="E172" s="4" t="s">
        <v>93</v>
      </c>
      <c r="F172" s="4" t="s">
        <v>433</v>
      </c>
      <c r="G172" s="4"/>
      <c r="H172" s="7" t="s">
        <v>130</v>
      </c>
      <c r="I172" s="60"/>
      <c r="J172" s="118">
        <v>120950</v>
      </c>
      <c r="K172" s="118"/>
      <c r="L172" s="118"/>
      <c r="M172" s="118"/>
      <c r="N172" s="127"/>
      <c r="O172" s="26"/>
    </row>
    <row r="173" spans="1:15" ht="15" customHeight="1" x14ac:dyDescent="0.25">
      <c r="A173" s="54">
        <v>45210</v>
      </c>
      <c r="B173" s="25">
        <f t="shared" si="4"/>
        <v>10</v>
      </c>
      <c r="C173" s="25">
        <f t="shared" si="5"/>
        <v>2023</v>
      </c>
      <c r="D173" s="71" t="s">
        <v>124</v>
      </c>
      <c r="E173" s="4" t="s">
        <v>93</v>
      </c>
      <c r="F173" s="4"/>
      <c r="G173" s="4" t="s">
        <v>333</v>
      </c>
      <c r="H173" s="7" t="s">
        <v>131</v>
      </c>
      <c r="I173" s="60"/>
      <c r="J173" s="118"/>
      <c r="K173" s="118">
        <v>150000</v>
      </c>
      <c r="L173" s="118"/>
      <c r="M173" s="118"/>
      <c r="N173" s="127"/>
      <c r="O173" s="26"/>
    </row>
    <row r="174" spans="1:15" ht="15" customHeight="1" x14ac:dyDescent="0.25">
      <c r="A174" s="54">
        <v>45211</v>
      </c>
      <c r="B174" s="25">
        <f t="shared" si="4"/>
        <v>10</v>
      </c>
      <c r="C174" s="25">
        <f t="shared" si="5"/>
        <v>2023</v>
      </c>
      <c r="D174" s="71" t="s">
        <v>89</v>
      </c>
      <c r="E174" s="4" t="s">
        <v>93</v>
      </c>
      <c r="F174" s="4" t="s">
        <v>426</v>
      </c>
      <c r="G174" s="4"/>
      <c r="H174" s="7" t="s">
        <v>130</v>
      </c>
      <c r="I174" s="60"/>
      <c r="J174" s="118">
        <v>32000</v>
      </c>
      <c r="K174" s="118"/>
      <c r="L174" s="118"/>
      <c r="M174" s="118"/>
      <c r="N174" s="127"/>
      <c r="O174" s="26"/>
    </row>
    <row r="175" spans="1:15" ht="15" customHeight="1" x14ac:dyDescent="0.25">
      <c r="A175" s="54">
        <v>45212</v>
      </c>
      <c r="B175" s="25">
        <f t="shared" si="4"/>
        <v>10</v>
      </c>
      <c r="C175" s="25">
        <f t="shared" si="5"/>
        <v>2023</v>
      </c>
      <c r="D175" s="71" t="s">
        <v>89</v>
      </c>
      <c r="E175" s="4" t="s">
        <v>93</v>
      </c>
      <c r="F175" s="4" t="s">
        <v>430</v>
      </c>
      <c r="G175" s="4"/>
      <c r="H175" s="7" t="s">
        <v>130</v>
      </c>
      <c r="I175" s="60"/>
      <c r="J175" s="118">
        <v>62600</v>
      </c>
      <c r="K175" s="118"/>
      <c r="L175" s="118"/>
      <c r="M175" s="118"/>
      <c r="N175" s="127"/>
      <c r="O175" s="26"/>
    </row>
    <row r="176" spans="1:15" ht="15" customHeight="1" x14ac:dyDescent="0.25">
      <c r="A176" s="54">
        <v>45217</v>
      </c>
      <c r="B176" s="25">
        <f t="shared" si="4"/>
        <v>10</v>
      </c>
      <c r="C176" s="25">
        <f t="shared" si="5"/>
        <v>2023</v>
      </c>
      <c r="D176" s="71" t="s">
        <v>352</v>
      </c>
      <c r="E176" s="4" t="s">
        <v>93</v>
      </c>
      <c r="F176" s="4" t="s">
        <v>435</v>
      </c>
      <c r="G176" s="4"/>
      <c r="H176" s="7" t="s">
        <v>130</v>
      </c>
      <c r="I176" s="60"/>
      <c r="J176" s="118">
        <v>56765</v>
      </c>
      <c r="K176" s="118"/>
      <c r="L176" s="118"/>
      <c r="M176" s="118"/>
      <c r="N176" s="127"/>
      <c r="O176" s="26"/>
    </row>
    <row r="177" spans="1:15" ht="15" customHeight="1" x14ac:dyDescent="0.25">
      <c r="A177" s="54">
        <v>45218</v>
      </c>
      <c r="B177" s="25">
        <f t="shared" si="4"/>
        <v>10</v>
      </c>
      <c r="C177" s="25">
        <f t="shared" si="5"/>
        <v>2023</v>
      </c>
      <c r="D177" s="71" t="s">
        <v>89</v>
      </c>
      <c r="E177" s="4" t="s">
        <v>93</v>
      </c>
      <c r="F177" s="4" t="s">
        <v>439</v>
      </c>
      <c r="G177" s="4"/>
      <c r="H177" s="7" t="s">
        <v>130</v>
      </c>
      <c r="I177" s="60"/>
      <c r="J177" s="118">
        <v>96400</v>
      </c>
      <c r="K177" s="118"/>
      <c r="L177" s="118"/>
      <c r="M177" s="118"/>
      <c r="N177" s="127"/>
      <c r="O177" s="26"/>
    </row>
    <row r="178" spans="1:15" ht="15" customHeight="1" x14ac:dyDescent="0.25">
      <c r="A178" s="54">
        <v>45218</v>
      </c>
      <c r="B178" s="25">
        <f t="shared" si="4"/>
        <v>10</v>
      </c>
      <c r="C178" s="25">
        <f t="shared" si="5"/>
        <v>2023</v>
      </c>
      <c r="D178" s="71" t="s">
        <v>89</v>
      </c>
      <c r="E178" s="4" t="s">
        <v>93</v>
      </c>
      <c r="F178" s="4" t="s">
        <v>440</v>
      </c>
      <c r="G178" s="4"/>
      <c r="H178" s="7" t="s">
        <v>131</v>
      </c>
      <c r="I178" s="60"/>
      <c r="J178" s="118">
        <v>145200</v>
      </c>
      <c r="K178" s="118"/>
      <c r="L178" s="118"/>
      <c r="M178" s="118"/>
      <c r="N178" s="127"/>
      <c r="O178" s="26"/>
    </row>
    <row r="179" spans="1:15" ht="15" customHeight="1" x14ac:dyDescent="0.25">
      <c r="A179" s="54">
        <v>45218</v>
      </c>
      <c r="B179" s="25">
        <f t="shared" si="4"/>
        <v>10</v>
      </c>
      <c r="C179" s="25">
        <f t="shared" si="5"/>
        <v>2023</v>
      </c>
      <c r="D179" s="71" t="s">
        <v>124</v>
      </c>
      <c r="E179" s="4" t="s">
        <v>93</v>
      </c>
      <c r="F179" s="4"/>
      <c r="G179" s="4" t="s">
        <v>553</v>
      </c>
      <c r="H179" s="7" t="s">
        <v>131</v>
      </c>
      <c r="I179" s="60"/>
      <c r="J179" s="118"/>
      <c r="K179" s="118">
        <v>145200</v>
      </c>
      <c r="L179" s="118"/>
      <c r="M179" s="118"/>
      <c r="N179" s="127"/>
      <c r="O179" s="26"/>
    </row>
    <row r="180" spans="1:15" ht="15" customHeight="1" x14ac:dyDescent="0.25">
      <c r="A180" s="54">
        <v>45218</v>
      </c>
      <c r="B180" s="25">
        <f t="shared" si="4"/>
        <v>10</v>
      </c>
      <c r="C180" s="25">
        <f t="shared" si="5"/>
        <v>2023</v>
      </c>
      <c r="D180" s="71" t="s">
        <v>89</v>
      </c>
      <c r="E180" s="4" t="s">
        <v>93</v>
      </c>
      <c r="F180" s="4" t="s">
        <v>441</v>
      </c>
      <c r="G180" s="4"/>
      <c r="H180" s="7" t="s">
        <v>130</v>
      </c>
      <c r="I180" s="60"/>
      <c r="J180" s="118">
        <v>111900</v>
      </c>
      <c r="K180" s="118"/>
      <c r="L180" s="118"/>
      <c r="M180" s="118"/>
      <c r="N180" s="127"/>
      <c r="O180" s="26"/>
    </row>
    <row r="181" spans="1:15" ht="15" customHeight="1" x14ac:dyDescent="0.25">
      <c r="A181" s="54">
        <v>45218</v>
      </c>
      <c r="B181" s="25">
        <f t="shared" si="4"/>
        <v>10</v>
      </c>
      <c r="C181" s="25">
        <f t="shared" si="5"/>
        <v>2023</v>
      </c>
      <c r="D181" s="71" t="s">
        <v>124</v>
      </c>
      <c r="E181" s="4" t="s">
        <v>93</v>
      </c>
      <c r="F181" s="4"/>
      <c r="G181" s="4" t="s">
        <v>553</v>
      </c>
      <c r="H181" s="7" t="s">
        <v>130</v>
      </c>
      <c r="I181" s="60"/>
      <c r="J181" s="118"/>
      <c r="K181" s="118">
        <v>111900</v>
      </c>
      <c r="L181" s="118"/>
      <c r="M181" s="118"/>
      <c r="N181" s="127"/>
      <c r="O181" s="26"/>
    </row>
    <row r="182" spans="1:15" ht="15" customHeight="1" x14ac:dyDescent="0.25">
      <c r="A182" s="54">
        <v>45219</v>
      </c>
      <c r="B182" s="25">
        <f t="shared" si="4"/>
        <v>10</v>
      </c>
      <c r="C182" s="25">
        <f t="shared" si="5"/>
        <v>2023</v>
      </c>
      <c r="D182" s="71" t="s">
        <v>352</v>
      </c>
      <c r="E182" s="4" t="s">
        <v>93</v>
      </c>
      <c r="F182" s="4" t="s">
        <v>446</v>
      </c>
      <c r="G182" s="4"/>
      <c r="H182" s="7" t="s">
        <v>130</v>
      </c>
      <c r="I182" s="60"/>
      <c r="J182" s="118">
        <v>104100</v>
      </c>
      <c r="K182" s="118"/>
      <c r="L182" s="118"/>
      <c r="M182" s="118"/>
      <c r="N182" s="127"/>
      <c r="O182" s="26"/>
    </row>
    <row r="183" spans="1:15" ht="15" customHeight="1" x14ac:dyDescent="0.25">
      <c r="A183" s="54">
        <v>45220</v>
      </c>
      <c r="B183" s="25">
        <f t="shared" si="4"/>
        <v>10</v>
      </c>
      <c r="C183" s="25">
        <f t="shared" si="5"/>
        <v>2023</v>
      </c>
      <c r="D183" s="71" t="s">
        <v>89</v>
      </c>
      <c r="E183" s="4" t="s">
        <v>93</v>
      </c>
      <c r="F183" s="4" t="s">
        <v>447</v>
      </c>
      <c r="G183" s="4"/>
      <c r="H183" s="7" t="s">
        <v>130</v>
      </c>
      <c r="I183" s="60"/>
      <c r="J183" s="118">
        <v>11400</v>
      </c>
      <c r="K183" s="118"/>
      <c r="L183" s="118"/>
      <c r="M183" s="118"/>
      <c r="N183" s="127"/>
      <c r="O183" s="26"/>
    </row>
    <row r="184" spans="1:15" ht="15" customHeight="1" x14ac:dyDescent="0.25">
      <c r="A184" s="54">
        <v>45220</v>
      </c>
      <c r="B184" s="25">
        <f t="shared" si="4"/>
        <v>10</v>
      </c>
      <c r="C184" s="25">
        <f t="shared" si="5"/>
        <v>2023</v>
      </c>
      <c r="D184" s="71" t="s">
        <v>124</v>
      </c>
      <c r="E184" s="4" t="s">
        <v>93</v>
      </c>
      <c r="F184" s="4"/>
      <c r="G184" s="4" t="s">
        <v>554</v>
      </c>
      <c r="H184" s="7" t="s">
        <v>130</v>
      </c>
      <c r="I184" s="60"/>
      <c r="J184" s="118"/>
      <c r="K184" s="118">
        <v>10800</v>
      </c>
      <c r="L184" s="118"/>
      <c r="M184" s="118"/>
      <c r="N184" s="127"/>
      <c r="O184" s="26"/>
    </row>
    <row r="185" spans="1:15" ht="15" customHeight="1" x14ac:dyDescent="0.25">
      <c r="A185" s="93">
        <v>45220</v>
      </c>
      <c r="B185" s="25">
        <f t="shared" si="4"/>
        <v>10</v>
      </c>
      <c r="C185" s="25">
        <f t="shared" si="5"/>
        <v>2023</v>
      </c>
      <c r="D185" s="124" t="s">
        <v>420</v>
      </c>
      <c r="E185" s="125" t="s">
        <v>92</v>
      </c>
      <c r="F185" s="125" t="s">
        <v>700</v>
      </c>
      <c r="G185" s="125"/>
      <c r="H185" s="95" t="s">
        <v>420</v>
      </c>
      <c r="I185" s="95"/>
      <c r="J185" s="139"/>
      <c r="K185" s="139">
        <v>20000</v>
      </c>
      <c r="L185" s="139"/>
      <c r="M185" s="139"/>
      <c r="N185" s="140"/>
    </row>
    <row r="186" spans="1:15" ht="15" customHeight="1" x14ac:dyDescent="0.25">
      <c r="A186" s="93">
        <v>45220</v>
      </c>
      <c r="B186" s="25">
        <f t="shared" si="4"/>
        <v>10</v>
      </c>
      <c r="C186" s="25">
        <f t="shared" si="5"/>
        <v>2023</v>
      </c>
      <c r="D186" s="124" t="s">
        <v>420</v>
      </c>
      <c r="E186" s="125" t="s">
        <v>92</v>
      </c>
      <c r="F186" s="125" t="s">
        <v>701</v>
      </c>
      <c r="G186" s="125"/>
      <c r="H186" s="95" t="s">
        <v>420</v>
      </c>
      <c r="I186" s="95"/>
      <c r="J186" s="139"/>
      <c r="K186" s="139">
        <v>34000</v>
      </c>
      <c r="L186" s="139"/>
      <c r="M186" s="139"/>
      <c r="N186" s="140"/>
    </row>
    <row r="187" spans="1:15" ht="15" customHeight="1" x14ac:dyDescent="0.25">
      <c r="A187" s="93">
        <v>45220</v>
      </c>
      <c r="B187" s="25">
        <f t="shared" si="4"/>
        <v>10</v>
      </c>
      <c r="C187" s="25">
        <f t="shared" si="5"/>
        <v>2023</v>
      </c>
      <c r="D187" s="124" t="s">
        <v>420</v>
      </c>
      <c r="E187" s="125" t="s">
        <v>92</v>
      </c>
      <c r="F187" s="125" t="s">
        <v>702</v>
      </c>
      <c r="G187" s="125"/>
      <c r="H187" s="95" t="s">
        <v>420</v>
      </c>
      <c r="I187" s="95"/>
      <c r="J187" s="139"/>
      <c r="K187" s="139">
        <v>34000</v>
      </c>
      <c r="L187" s="139"/>
      <c r="M187" s="139"/>
      <c r="N187" s="140"/>
    </row>
    <row r="188" spans="1:15" ht="15" customHeight="1" x14ac:dyDescent="0.25">
      <c r="A188" s="54">
        <v>45223</v>
      </c>
      <c r="B188" s="25">
        <f t="shared" si="4"/>
        <v>10</v>
      </c>
      <c r="C188" s="25">
        <f t="shared" si="5"/>
        <v>2023</v>
      </c>
      <c r="D188" s="71" t="s">
        <v>89</v>
      </c>
      <c r="E188" s="4" t="s">
        <v>93</v>
      </c>
      <c r="F188" s="4" t="s">
        <v>450</v>
      </c>
      <c r="G188" s="4"/>
      <c r="H188" s="7" t="s">
        <v>131</v>
      </c>
      <c r="I188" s="60"/>
      <c r="J188" s="118">
        <v>90000</v>
      </c>
      <c r="K188" s="118"/>
      <c r="L188" s="118"/>
      <c r="M188" s="118"/>
      <c r="N188" s="127"/>
      <c r="O188" s="26"/>
    </row>
    <row r="189" spans="1:15" ht="15" customHeight="1" x14ac:dyDescent="0.25">
      <c r="A189" s="54">
        <v>45223</v>
      </c>
      <c r="B189" s="25">
        <f t="shared" si="4"/>
        <v>10</v>
      </c>
      <c r="C189" s="25">
        <f t="shared" si="5"/>
        <v>2023</v>
      </c>
      <c r="D189" s="71" t="s">
        <v>89</v>
      </c>
      <c r="E189" s="4" t="s">
        <v>93</v>
      </c>
      <c r="F189" s="4" t="s">
        <v>451</v>
      </c>
      <c r="G189" s="4"/>
      <c r="H189" s="7" t="s">
        <v>131</v>
      </c>
      <c r="I189" s="60"/>
      <c r="J189" s="118">
        <v>101000</v>
      </c>
      <c r="K189" s="118"/>
      <c r="L189" s="118"/>
      <c r="M189" s="118"/>
      <c r="N189" s="127"/>
      <c r="O189" s="26"/>
    </row>
    <row r="190" spans="1:15" ht="15" customHeight="1" x14ac:dyDescent="0.25">
      <c r="A190" s="54">
        <v>45223</v>
      </c>
      <c r="B190" s="25">
        <f t="shared" si="4"/>
        <v>10</v>
      </c>
      <c r="C190" s="25">
        <f t="shared" si="5"/>
        <v>2023</v>
      </c>
      <c r="D190" s="71" t="s">
        <v>89</v>
      </c>
      <c r="E190" s="4" t="s">
        <v>93</v>
      </c>
      <c r="F190" s="4" t="s">
        <v>453</v>
      </c>
      <c r="G190" s="4"/>
      <c r="H190" s="7" t="s">
        <v>131</v>
      </c>
      <c r="I190" s="60"/>
      <c r="J190" s="118">
        <v>220000</v>
      </c>
      <c r="K190" s="118"/>
      <c r="L190" s="118"/>
      <c r="M190" s="118"/>
      <c r="N190" s="127"/>
      <c r="O190" s="26"/>
    </row>
    <row r="191" spans="1:15" ht="15" customHeight="1" x14ac:dyDescent="0.25">
      <c r="A191" s="54">
        <v>45223</v>
      </c>
      <c r="B191" s="25">
        <f t="shared" si="4"/>
        <v>10</v>
      </c>
      <c r="C191" s="25">
        <f t="shared" si="5"/>
        <v>2023</v>
      </c>
      <c r="D191" s="71" t="s">
        <v>89</v>
      </c>
      <c r="E191" s="4" t="s">
        <v>93</v>
      </c>
      <c r="F191" s="4" t="s">
        <v>453</v>
      </c>
      <c r="G191" s="4"/>
      <c r="H191" s="7" t="s">
        <v>131</v>
      </c>
      <c r="I191" s="60"/>
      <c r="J191" s="118">
        <v>95812.5</v>
      </c>
      <c r="K191" s="118"/>
      <c r="L191" s="118"/>
      <c r="M191" s="118"/>
      <c r="N191" s="127"/>
      <c r="O191" s="26"/>
    </row>
    <row r="192" spans="1:15" ht="15" customHeight="1" x14ac:dyDescent="0.25">
      <c r="A192" s="54">
        <v>45223</v>
      </c>
      <c r="B192" s="25">
        <f t="shared" si="4"/>
        <v>10</v>
      </c>
      <c r="C192" s="25">
        <f t="shared" si="5"/>
        <v>2023</v>
      </c>
      <c r="D192" s="71" t="s">
        <v>89</v>
      </c>
      <c r="E192" s="4" t="s">
        <v>93</v>
      </c>
      <c r="F192" s="4" t="s">
        <v>453</v>
      </c>
      <c r="G192" s="4"/>
      <c r="H192" s="7" t="s">
        <v>131</v>
      </c>
      <c r="I192" s="60"/>
      <c r="J192" s="118">
        <v>63500</v>
      </c>
      <c r="K192" s="118"/>
      <c r="L192" s="118"/>
      <c r="M192" s="118"/>
      <c r="N192" s="127"/>
      <c r="O192" s="26"/>
    </row>
    <row r="193" spans="1:15" ht="15" customHeight="1" x14ac:dyDescent="0.25">
      <c r="A193" s="54">
        <v>45223</v>
      </c>
      <c r="B193" s="25">
        <f t="shared" si="4"/>
        <v>10</v>
      </c>
      <c r="C193" s="25">
        <f t="shared" si="5"/>
        <v>2023</v>
      </c>
      <c r="D193" s="71" t="s">
        <v>89</v>
      </c>
      <c r="E193" s="4" t="s">
        <v>93</v>
      </c>
      <c r="F193" s="4" t="s">
        <v>453</v>
      </c>
      <c r="G193" s="4"/>
      <c r="H193" s="7" t="s">
        <v>131</v>
      </c>
      <c r="I193" s="60"/>
      <c r="J193" s="118">
        <v>225000</v>
      </c>
      <c r="K193" s="118"/>
      <c r="L193" s="118"/>
      <c r="M193" s="118"/>
      <c r="N193" s="127"/>
      <c r="O193" s="26"/>
    </row>
    <row r="194" spans="1:15" ht="15" customHeight="1" x14ac:dyDescent="0.25">
      <c r="A194" s="54">
        <v>45223</v>
      </c>
      <c r="B194" s="25">
        <f t="shared" si="4"/>
        <v>10</v>
      </c>
      <c r="C194" s="25">
        <f t="shared" si="5"/>
        <v>2023</v>
      </c>
      <c r="D194" s="71" t="s">
        <v>89</v>
      </c>
      <c r="E194" s="4" t="s">
        <v>93</v>
      </c>
      <c r="F194" s="4" t="s">
        <v>453</v>
      </c>
      <c r="G194" s="4"/>
      <c r="H194" s="7" t="s">
        <v>131</v>
      </c>
      <c r="I194" s="60"/>
      <c r="J194" s="118">
        <v>47217.09</v>
      </c>
      <c r="K194" s="118"/>
      <c r="L194" s="118"/>
      <c r="M194" s="118"/>
      <c r="N194" s="127"/>
      <c r="O194" s="26"/>
    </row>
    <row r="195" spans="1:15" ht="15" customHeight="1" x14ac:dyDescent="0.25">
      <c r="A195" s="54">
        <v>45223</v>
      </c>
      <c r="B195" s="25">
        <f t="shared" ref="B195:B258" si="6">MONTH(A195)</f>
        <v>10</v>
      </c>
      <c r="C195" s="25">
        <f t="shared" ref="C195:C258" si="7">YEAR((A195))</f>
        <v>2023</v>
      </c>
      <c r="D195" s="71" t="s">
        <v>124</v>
      </c>
      <c r="E195" s="4" t="s">
        <v>93</v>
      </c>
      <c r="F195" s="4"/>
      <c r="G195" s="4" t="s">
        <v>454</v>
      </c>
      <c r="H195" s="7" t="s">
        <v>131</v>
      </c>
      <c r="I195" s="60"/>
      <c r="J195" s="118"/>
      <c r="K195" s="118">
        <v>101000</v>
      </c>
      <c r="L195" s="118"/>
      <c r="M195" s="118"/>
      <c r="N195" s="127"/>
      <c r="O195" s="26"/>
    </row>
    <row r="196" spans="1:15" ht="15" customHeight="1" x14ac:dyDescent="0.25">
      <c r="A196" s="54">
        <v>45223</v>
      </c>
      <c r="B196" s="25">
        <f t="shared" si="6"/>
        <v>10</v>
      </c>
      <c r="C196" s="25">
        <f t="shared" si="7"/>
        <v>2023</v>
      </c>
      <c r="D196" s="71" t="s">
        <v>124</v>
      </c>
      <c r="E196" s="4" t="s">
        <v>93</v>
      </c>
      <c r="F196" s="4"/>
      <c r="G196" s="4" t="s">
        <v>454</v>
      </c>
      <c r="H196" s="7" t="s">
        <v>131</v>
      </c>
      <c r="I196" s="60"/>
      <c r="J196" s="118"/>
      <c r="K196" s="118">
        <v>90000</v>
      </c>
      <c r="L196" s="118"/>
      <c r="M196" s="118"/>
      <c r="N196" s="127"/>
      <c r="O196" s="26"/>
    </row>
    <row r="197" spans="1:15" ht="15" customHeight="1" x14ac:dyDescent="0.25">
      <c r="A197" s="54">
        <v>45223</v>
      </c>
      <c r="B197" s="25">
        <f t="shared" si="6"/>
        <v>10</v>
      </c>
      <c r="C197" s="25">
        <f t="shared" si="7"/>
        <v>2023</v>
      </c>
      <c r="D197" s="71" t="s">
        <v>124</v>
      </c>
      <c r="E197" s="4" t="s">
        <v>93</v>
      </c>
      <c r="F197" s="4"/>
      <c r="G197" s="4" t="s">
        <v>454</v>
      </c>
      <c r="H197" s="7" t="s">
        <v>131</v>
      </c>
      <c r="I197" s="60"/>
      <c r="J197" s="118"/>
      <c r="K197" s="118">
        <v>42909</v>
      </c>
      <c r="L197" s="118"/>
      <c r="M197" s="118"/>
      <c r="N197" s="127"/>
      <c r="O197" s="26"/>
    </row>
    <row r="198" spans="1:15" ht="15" customHeight="1" x14ac:dyDescent="0.25">
      <c r="A198" s="54">
        <v>45223</v>
      </c>
      <c r="B198" s="25">
        <f t="shared" si="6"/>
        <v>10</v>
      </c>
      <c r="C198" s="25">
        <f t="shared" si="7"/>
        <v>2023</v>
      </c>
      <c r="D198" s="71" t="s">
        <v>124</v>
      </c>
      <c r="E198" s="4" t="s">
        <v>93</v>
      </c>
      <c r="F198" s="4"/>
      <c r="G198" s="4" t="s">
        <v>454</v>
      </c>
      <c r="H198" s="7" t="s">
        <v>131</v>
      </c>
      <c r="I198" s="60"/>
      <c r="J198" s="118"/>
      <c r="K198" s="118">
        <v>18840</v>
      </c>
      <c r="L198" s="118"/>
      <c r="M198" s="118"/>
      <c r="N198" s="127"/>
      <c r="O198" s="26"/>
    </row>
    <row r="199" spans="1:15" ht="15" customHeight="1" x14ac:dyDescent="0.25">
      <c r="A199" s="54">
        <v>45223</v>
      </c>
      <c r="B199" s="25">
        <f t="shared" si="6"/>
        <v>10</v>
      </c>
      <c r="C199" s="25">
        <f t="shared" si="7"/>
        <v>2023</v>
      </c>
      <c r="D199" s="71" t="s">
        <v>124</v>
      </c>
      <c r="E199" s="4" t="s">
        <v>93</v>
      </c>
      <c r="F199" s="4"/>
      <c r="G199" s="4" t="s">
        <v>454</v>
      </c>
      <c r="H199" s="7" t="s">
        <v>131</v>
      </c>
      <c r="I199" s="60"/>
      <c r="J199" s="118"/>
      <c r="K199" s="118">
        <v>33502.65</v>
      </c>
      <c r="L199" s="118"/>
      <c r="M199" s="118"/>
      <c r="N199" s="127"/>
      <c r="O199" s="26"/>
    </row>
    <row r="200" spans="1:15" ht="15" customHeight="1" x14ac:dyDescent="0.25">
      <c r="A200" s="54">
        <v>45227</v>
      </c>
      <c r="B200" s="25">
        <f t="shared" si="6"/>
        <v>10</v>
      </c>
      <c r="C200" s="25">
        <f t="shared" si="7"/>
        <v>2023</v>
      </c>
      <c r="D200" s="71" t="s">
        <v>89</v>
      </c>
      <c r="E200" s="4" t="s">
        <v>93</v>
      </c>
      <c r="F200" s="4" t="s">
        <v>461</v>
      </c>
      <c r="G200" s="4"/>
      <c r="H200" s="7" t="s">
        <v>130</v>
      </c>
      <c r="I200" s="60"/>
      <c r="J200" s="118">
        <v>26600</v>
      </c>
      <c r="K200" s="118"/>
      <c r="L200" s="118"/>
      <c r="M200" s="118"/>
      <c r="N200" s="127"/>
      <c r="O200" s="26"/>
    </row>
    <row r="201" spans="1:15" ht="15" customHeight="1" x14ac:dyDescent="0.25">
      <c r="A201" s="54">
        <v>45227</v>
      </c>
      <c r="B201" s="25">
        <f t="shared" si="6"/>
        <v>10</v>
      </c>
      <c r="C201" s="25">
        <f t="shared" si="7"/>
        <v>2023</v>
      </c>
      <c r="D201" s="71" t="s">
        <v>352</v>
      </c>
      <c r="E201" s="4" t="s">
        <v>93</v>
      </c>
      <c r="F201" s="4" t="s">
        <v>518</v>
      </c>
      <c r="G201" s="4"/>
      <c r="H201" s="7" t="s">
        <v>130</v>
      </c>
      <c r="I201" s="60"/>
      <c r="J201" s="118">
        <v>40000</v>
      </c>
      <c r="K201" s="118"/>
      <c r="L201" s="118"/>
      <c r="M201" s="118"/>
      <c r="N201" s="127"/>
      <c r="O201" s="26"/>
    </row>
    <row r="202" spans="1:15" ht="15" customHeight="1" x14ac:dyDescent="0.25">
      <c r="A202" s="54">
        <v>45229</v>
      </c>
      <c r="B202" s="25">
        <f t="shared" si="6"/>
        <v>10</v>
      </c>
      <c r="C202" s="25">
        <f t="shared" si="7"/>
        <v>2023</v>
      </c>
      <c r="D202" s="71" t="s">
        <v>352</v>
      </c>
      <c r="E202" s="4" t="s">
        <v>93</v>
      </c>
      <c r="F202" s="4" t="s">
        <v>462</v>
      </c>
      <c r="G202" s="4"/>
      <c r="H202" s="7" t="s">
        <v>130</v>
      </c>
      <c r="I202" s="60"/>
      <c r="J202" s="118">
        <v>100000</v>
      </c>
      <c r="K202" s="118"/>
      <c r="L202" s="118"/>
      <c r="M202" s="118"/>
      <c r="N202" s="127"/>
      <c r="O202" s="26"/>
    </row>
    <row r="203" spans="1:15" ht="15" customHeight="1" x14ac:dyDescent="0.25">
      <c r="A203" s="54">
        <v>45230</v>
      </c>
      <c r="B203" s="25">
        <f t="shared" si="6"/>
        <v>10</v>
      </c>
      <c r="C203" s="25">
        <f t="shared" si="7"/>
        <v>2023</v>
      </c>
      <c r="D203" s="71" t="s">
        <v>124</v>
      </c>
      <c r="E203" s="4" t="s">
        <v>93</v>
      </c>
      <c r="F203" s="4"/>
      <c r="G203" s="4" t="s">
        <v>553</v>
      </c>
      <c r="H203" s="7" t="s">
        <v>131</v>
      </c>
      <c r="I203" s="60"/>
      <c r="J203" s="118"/>
      <c r="K203" s="118">
        <v>32000</v>
      </c>
      <c r="L203" s="118"/>
      <c r="M203" s="118"/>
      <c r="N203" s="127"/>
      <c r="O203" s="26"/>
    </row>
    <row r="204" spans="1:15" ht="15" customHeight="1" x14ac:dyDescent="0.25">
      <c r="A204" s="54">
        <v>45230</v>
      </c>
      <c r="B204" s="25">
        <f t="shared" si="6"/>
        <v>10</v>
      </c>
      <c r="C204" s="25">
        <f t="shared" si="7"/>
        <v>2023</v>
      </c>
      <c r="D204" s="71" t="s">
        <v>124</v>
      </c>
      <c r="E204" s="4" t="s">
        <v>93</v>
      </c>
      <c r="F204" s="4"/>
      <c r="G204" s="4" t="s">
        <v>553</v>
      </c>
      <c r="H204" s="7" t="s">
        <v>131</v>
      </c>
      <c r="I204" s="60"/>
      <c r="J204" s="118"/>
      <c r="K204" s="118">
        <v>47217.09</v>
      </c>
      <c r="L204" s="118"/>
      <c r="M204" s="118"/>
      <c r="N204" s="127"/>
      <c r="O204" s="26"/>
    </row>
    <row r="205" spans="1:15" ht="15" customHeight="1" x14ac:dyDescent="0.25">
      <c r="A205" s="54">
        <v>45232</v>
      </c>
      <c r="B205" s="25">
        <f t="shared" si="6"/>
        <v>11</v>
      </c>
      <c r="C205" s="25">
        <f t="shared" si="7"/>
        <v>2023</v>
      </c>
      <c r="D205" s="71" t="s">
        <v>89</v>
      </c>
      <c r="E205" s="4" t="s">
        <v>93</v>
      </c>
      <c r="F205" s="4" t="s">
        <v>144</v>
      </c>
      <c r="G205" s="4"/>
      <c r="H205" s="7" t="s">
        <v>130</v>
      </c>
      <c r="I205" s="60"/>
      <c r="J205" s="118">
        <v>43150</v>
      </c>
      <c r="K205" s="118"/>
      <c r="L205" s="118"/>
      <c r="M205" s="118"/>
      <c r="N205" s="127"/>
      <c r="O205" s="26"/>
    </row>
    <row r="206" spans="1:15" ht="15" customHeight="1" x14ac:dyDescent="0.25">
      <c r="A206" s="54">
        <v>45232</v>
      </c>
      <c r="B206" s="25">
        <f t="shared" si="6"/>
        <v>11</v>
      </c>
      <c r="C206" s="25">
        <f t="shared" si="7"/>
        <v>2023</v>
      </c>
      <c r="D206" s="71" t="s">
        <v>352</v>
      </c>
      <c r="E206" s="4" t="s">
        <v>93</v>
      </c>
      <c r="F206" s="4" t="s">
        <v>470</v>
      </c>
      <c r="G206" s="4"/>
      <c r="H206" s="7" t="s">
        <v>130</v>
      </c>
      <c r="I206" s="60"/>
      <c r="J206" s="118">
        <v>75945</v>
      </c>
      <c r="K206" s="118"/>
      <c r="L206" s="118"/>
      <c r="M206" s="118"/>
      <c r="N206" s="127"/>
      <c r="O206" s="26"/>
    </row>
    <row r="207" spans="1:15" ht="15" customHeight="1" x14ac:dyDescent="0.25">
      <c r="A207" s="54">
        <v>45233</v>
      </c>
      <c r="B207" s="25">
        <f t="shared" si="6"/>
        <v>11</v>
      </c>
      <c r="C207" s="25">
        <f t="shared" si="7"/>
        <v>2023</v>
      </c>
      <c r="D207" s="71" t="s">
        <v>89</v>
      </c>
      <c r="E207" s="4" t="s">
        <v>93</v>
      </c>
      <c r="F207" s="4" t="s">
        <v>453</v>
      </c>
      <c r="G207" s="4"/>
      <c r="H207" s="7" t="s">
        <v>131</v>
      </c>
      <c r="I207" s="60"/>
      <c r="J207" s="118">
        <v>74766</v>
      </c>
      <c r="K207" s="118"/>
      <c r="L207" s="118"/>
      <c r="M207" s="118"/>
      <c r="N207" s="127"/>
      <c r="O207" s="26"/>
    </row>
    <row r="208" spans="1:15" ht="15" customHeight="1" x14ac:dyDescent="0.25">
      <c r="A208" s="54">
        <v>45233</v>
      </c>
      <c r="B208" s="25">
        <f t="shared" si="6"/>
        <v>11</v>
      </c>
      <c r="C208" s="25">
        <f t="shared" si="7"/>
        <v>2023</v>
      </c>
      <c r="D208" s="71" t="s">
        <v>89</v>
      </c>
      <c r="E208" s="4" t="s">
        <v>93</v>
      </c>
      <c r="F208" s="4" t="s">
        <v>450</v>
      </c>
      <c r="G208" s="4"/>
      <c r="H208" s="7" t="s">
        <v>131</v>
      </c>
      <c r="I208" s="60"/>
      <c r="J208" s="118">
        <v>29600</v>
      </c>
      <c r="K208" s="118"/>
      <c r="L208" s="118"/>
      <c r="M208" s="118"/>
      <c r="N208" s="127"/>
      <c r="O208" s="26"/>
    </row>
    <row r="209" spans="1:15" ht="15" customHeight="1" x14ac:dyDescent="0.25">
      <c r="A209" s="54">
        <v>45233</v>
      </c>
      <c r="B209" s="25">
        <f t="shared" si="6"/>
        <v>11</v>
      </c>
      <c r="C209" s="25">
        <f t="shared" si="7"/>
        <v>2023</v>
      </c>
      <c r="D209" s="71" t="s">
        <v>89</v>
      </c>
      <c r="E209" s="4" t="s">
        <v>93</v>
      </c>
      <c r="F209" s="4" t="s">
        <v>450</v>
      </c>
      <c r="G209" s="4"/>
      <c r="H209" s="7" t="s">
        <v>131</v>
      </c>
      <c r="I209" s="60"/>
      <c r="J209" s="118">
        <v>76230</v>
      </c>
      <c r="K209" s="118"/>
      <c r="L209" s="118"/>
      <c r="M209" s="118"/>
      <c r="N209" s="127"/>
      <c r="O209" s="26"/>
    </row>
    <row r="210" spans="1:15" ht="15" customHeight="1" x14ac:dyDescent="0.25">
      <c r="A210" s="54">
        <v>45233</v>
      </c>
      <c r="B210" s="25">
        <f t="shared" si="6"/>
        <v>11</v>
      </c>
      <c r="C210" s="25">
        <f t="shared" si="7"/>
        <v>2023</v>
      </c>
      <c r="D210" s="71" t="s">
        <v>124</v>
      </c>
      <c r="E210" s="4" t="s">
        <v>93</v>
      </c>
      <c r="F210" s="4"/>
      <c r="G210" s="4" t="s">
        <v>475</v>
      </c>
      <c r="H210" s="7" t="s">
        <v>130</v>
      </c>
      <c r="I210" s="60"/>
      <c r="J210" s="118"/>
      <c r="K210" s="118">
        <v>109393.69</v>
      </c>
      <c r="L210" s="118"/>
      <c r="M210" s="118"/>
      <c r="N210" s="127"/>
      <c r="O210" s="26"/>
    </row>
    <row r="211" spans="1:15" ht="15" customHeight="1" x14ac:dyDescent="0.25">
      <c r="A211" s="54">
        <v>45233</v>
      </c>
      <c r="B211" s="25">
        <f t="shared" si="6"/>
        <v>11</v>
      </c>
      <c r="C211" s="25">
        <f t="shared" si="7"/>
        <v>2023</v>
      </c>
      <c r="D211" s="71" t="s">
        <v>89</v>
      </c>
      <c r="E211" s="4" t="s">
        <v>93</v>
      </c>
      <c r="F211" s="4" t="s">
        <v>423</v>
      </c>
      <c r="G211" s="4"/>
      <c r="H211" s="7" t="s">
        <v>130</v>
      </c>
      <c r="I211" s="60"/>
      <c r="J211" s="118">
        <v>80000</v>
      </c>
      <c r="K211" s="118"/>
      <c r="L211" s="118"/>
      <c r="M211" s="118"/>
      <c r="N211" s="127"/>
      <c r="O211" s="26"/>
    </row>
    <row r="212" spans="1:15" ht="15" customHeight="1" x14ac:dyDescent="0.25">
      <c r="A212" s="54">
        <v>45233</v>
      </c>
      <c r="B212" s="25">
        <f t="shared" si="6"/>
        <v>11</v>
      </c>
      <c r="C212" s="25">
        <f t="shared" si="7"/>
        <v>2023</v>
      </c>
      <c r="D212" s="71" t="s">
        <v>92</v>
      </c>
      <c r="E212" s="4" t="s">
        <v>92</v>
      </c>
      <c r="F212" s="4" t="s">
        <v>478</v>
      </c>
      <c r="G212" s="4"/>
      <c r="H212" s="7" t="s">
        <v>131</v>
      </c>
      <c r="I212" s="60"/>
      <c r="J212" s="118">
        <v>91464.2</v>
      </c>
      <c r="K212" s="118"/>
      <c r="L212" s="118"/>
      <c r="M212" s="118"/>
      <c r="N212" s="127"/>
      <c r="O212" s="26"/>
    </row>
    <row r="213" spans="1:15" ht="15" customHeight="1" x14ac:dyDescent="0.25">
      <c r="A213" s="54">
        <v>45234</v>
      </c>
      <c r="B213" s="25">
        <f t="shared" si="6"/>
        <v>11</v>
      </c>
      <c r="C213" s="25">
        <f t="shared" si="7"/>
        <v>2023</v>
      </c>
      <c r="D213" s="71" t="s">
        <v>92</v>
      </c>
      <c r="E213" s="4" t="s">
        <v>92</v>
      </c>
      <c r="F213" s="4" t="s">
        <v>630</v>
      </c>
      <c r="G213" s="4"/>
      <c r="H213" s="7" t="s">
        <v>545</v>
      </c>
      <c r="I213" s="60"/>
      <c r="J213" s="118"/>
      <c r="K213" s="118">
        <v>147672</v>
      </c>
      <c r="L213" s="118"/>
      <c r="M213" s="118"/>
      <c r="N213" s="127"/>
      <c r="O213" s="26"/>
    </row>
    <row r="214" spans="1:15" ht="15" customHeight="1" x14ac:dyDescent="0.25">
      <c r="A214" s="54">
        <v>45234</v>
      </c>
      <c r="B214" s="25">
        <f t="shared" si="6"/>
        <v>11</v>
      </c>
      <c r="C214" s="25">
        <f t="shared" si="7"/>
        <v>2023</v>
      </c>
      <c r="D214" s="71" t="s">
        <v>610</v>
      </c>
      <c r="E214" s="4" t="s">
        <v>93</v>
      </c>
      <c r="F214" s="4" t="s">
        <v>631</v>
      </c>
      <c r="G214" s="4"/>
      <c r="H214" s="7" t="s">
        <v>545</v>
      </c>
      <c r="I214" s="60"/>
      <c r="J214" s="118"/>
      <c r="K214" s="118">
        <v>14100.28</v>
      </c>
      <c r="L214" s="118"/>
      <c r="M214" s="118"/>
      <c r="N214" s="127"/>
      <c r="O214" s="26"/>
    </row>
    <row r="215" spans="1:15" ht="15" customHeight="1" x14ac:dyDescent="0.25">
      <c r="A215" s="54">
        <v>45234</v>
      </c>
      <c r="B215" s="25">
        <f t="shared" si="6"/>
        <v>11</v>
      </c>
      <c r="C215" s="25">
        <f t="shared" si="7"/>
        <v>2023</v>
      </c>
      <c r="D215" s="71" t="s">
        <v>610</v>
      </c>
      <c r="E215" s="4" t="s">
        <v>93</v>
      </c>
      <c r="F215" s="4" t="s">
        <v>632</v>
      </c>
      <c r="G215" s="4"/>
      <c r="H215" s="7" t="s">
        <v>545</v>
      </c>
      <c r="I215" s="60"/>
      <c r="J215" s="118"/>
      <c r="K215" s="118">
        <v>41107.760000000002</v>
      </c>
      <c r="L215" s="118"/>
      <c r="M215" s="118"/>
      <c r="N215" s="127"/>
      <c r="O215" s="26"/>
    </row>
    <row r="216" spans="1:15" ht="15" customHeight="1" x14ac:dyDescent="0.25">
      <c r="A216" s="54">
        <v>45236</v>
      </c>
      <c r="B216" s="25">
        <f t="shared" si="6"/>
        <v>11</v>
      </c>
      <c r="C216" s="25">
        <f t="shared" si="7"/>
        <v>2023</v>
      </c>
      <c r="D216" s="71" t="s">
        <v>89</v>
      </c>
      <c r="E216" s="4" t="s">
        <v>93</v>
      </c>
      <c r="F216" s="4" t="s">
        <v>477</v>
      </c>
      <c r="G216" s="4"/>
      <c r="H216" s="7" t="s">
        <v>131</v>
      </c>
      <c r="I216" s="60"/>
      <c r="J216" s="118">
        <v>100000</v>
      </c>
      <c r="K216" s="118"/>
      <c r="L216" s="118"/>
      <c r="M216" s="118"/>
      <c r="N216" s="127"/>
      <c r="O216" s="26"/>
    </row>
    <row r="217" spans="1:15" ht="15" customHeight="1" x14ac:dyDescent="0.25">
      <c r="A217" s="54">
        <v>45236</v>
      </c>
      <c r="B217" s="25">
        <f t="shared" si="6"/>
        <v>11</v>
      </c>
      <c r="C217" s="25">
        <f t="shared" si="7"/>
        <v>2023</v>
      </c>
      <c r="D217" s="71" t="s">
        <v>124</v>
      </c>
      <c r="E217" s="4" t="s">
        <v>93</v>
      </c>
      <c r="F217" s="4"/>
      <c r="G217" s="4" t="s">
        <v>554</v>
      </c>
      <c r="H217" s="7" t="s">
        <v>131</v>
      </c>
      <c r="I217" s="60"/>
      <c r="J217" s="118"/>
      <c r="K217" s="118">
        <v>100000</v>
      </c>
      <c r="L217" s="118"/>
      <c r="M217" s="118"/>
      <c r="N217" s="127"/>
      <c r="O217" s="26"/>
    </row>
    <row r="218" spans="1:15" ht="15" customHeight="1" x14ac:dyDescent="0.25">
      <c r="A218" s="54">
        <v>45236</v>
      </c>
      <c r="B218" s="25">
        <f t="shared" si="6"/>
        <v>11</v>
      </c>
      <c r="C218" s="25">
        <f t="shared" si="7"/>
        <v>2023</v>
      </c>
      <c r="D218" s="71" t="s">
        <v>124</v>
      </c>
      <c r="E218" s="4" t="s">
        <v>93</v>
      </c>
      <c r="F218" s="4"/>
      <c r="G218" s="4" t="s">
        <v>554</v>
      </c>
      <c r="H218" s="7" t="s">
        <v>131</v>
      </c>
      <c r="I218" s="60"/>
      <c r="J218" s="118"/>
      <c r="K218" s="118">
        <v>91464.2</v>
      </c>
      <c r="L218" s="118"/>
      <c r="M218" s="118"/>
      <c r="N218" s="127"/>
      <c r="O218" s="26"/>
    </row>
    <row r="219" spans="1:15" ht="15" customHeight="1" x14ac:dyDescent="0.25">
      <c r="A219" s="54">
        <v>45236</v>
      </c>
      <c r="B219" s="25">
        <f t="shared" si="6"/>
        <v>11</v>
      </c>
      <c r="C219" s="25">
        <f t="shared" si="7"/>
        <v>2023</v>
      </c>
      <c r="D219" s="71" t="s">
        <v>124</v>
      </c>
      <c r="E219" s="4" t="s">
        <v>93</v>
      </c>
      <c r="F219" s="4"/>
      <c r="G219" s="4" t="s">
        <v>554</v>
      </c>
      <c r="H219" s="7" t="s">
        <v>131</v>
      </c>
      <c r="I219" s="60"/>
      <c r="J219" s="118"/>
      <c r="K219" s="118">
        <v>29600</v>
      </c>
      <c r="L219" s="118"/>
      <c r="M219" s="118"/>
      <c r="N219" s="127"/>
      <c r="O219" s="26"/>
    </row>
    <row r="220" spans="1:15" ht="15" customHeight="1" x14ac:dyDescent="0.25">
      <c r="A220" s="54">
        <v>45236</v>
      </c>
      <c r="B220" s="25">
        <f t="shared" si="6"/>
        <v>11</v>
      </c>
      <c r="C220" s="25">
        <f t="shared" si="7"/>
        <v>2023</v>
      </c>
      <c r="D220" s="71" t="s">
        <v>124</v>
      </c>
      <c r="E220" s="4" t="s">
        <v>93</v>
      </c>
      <c r="F220" s="4"/>
      <c r="G220" s="4" t="s">
        <v>554</v>
      </c>
      <c r="H220" s="7" t="s">
        <v>131</v>
      </c>
      <c r="I220" s="60"/>
      <c r="J220" s="118"/>
      <c r="K220" s="118">
        <v>76230</v>
      </c>
      <c r="L220" s="118"/>
      <c r="M220" s="118"/>
      <c r="N220" s="127"/>
      <c r="O220" s="26"/>
    </row>
    <row r="221" spans="1:15" ht="15" customHeight="1" x14ac:dyDescent="0.25">
      <c r="A221" s="54">
        <v>45236</v>
      </c>
      <c r="B221" s="25">
        <f t="shared" si="6"/>
        <v>11</v>
      </c>
      <c r="C221" s="25">
        <f t="shared" si="7"/>
        <v>2023</v>
      </c>
      <c r="D221" s="71" t="s">
        <v>352</v>
      </c>
      <c r="E221" s="4" t="s">
        <v>93</v>
      </c>
      <c r="F221" s="4" t="s">
        <v>447</v>
      </c>
      <c r="G221" s="4"/>
      <c r="H221" s="7" t="s">
        <v>131</v>
      </c>
      <c r="I221" s="60"/>
      <c r="J221" s="118">
        <v>42730</v>
      </c>
      <c r="K221" s="118"/>
      <c r="L221" s="118"/>
      <c r="M221" s="118"/>
      <c r="N221" s="127"/>
      <c r="O221" s="26"/>
    </row>
    <row r="222" spans="1:15" ht="15" customHeight="1" x14ac:dyDescent="0.25">
      <c r="A222" s="54">
        <v>45237</v>
      </c>
      <c r="B222" s="25">
        <f t="shared" si="6"/>
        <v>11</v>
      </c>
      <c r="C222" s="25">
        <f t="shared" si="7"/>
        <v>2023</v>
      </c>
      <c r="D222" s="71" t="s">
        <v>89</v>
      </c>
      <c r="E222" s="4" t="s">
        <v>93</v>
      </c>
      <c r="F222" s="4" t="s">
        <v>393</v>
      </c>
      <c r="G222" s="4"/>
      <c r="H222" s="7" t="s">
        <v>131</v>
      </c>
      <c r="I222" s="60"/>
      <c r="J222" s="118">
        <v>360000</v>
      </c>
      <c r="K222" s="118"/>
      <c r="L222" s="118"/>
      <c r="M222" s="118"/>
      <c r="N222" s="127"/>
      <c r="O222" s="26"/>
    </row>
    <row r="223" spans="1:15" ht="15" customHeight="1" x14ac:dyDescent="0.25">
      <c r="A223" s="54">
        <v>45237</v>
      </c>
      <c r="B223" s="25">
        <f t="shared" si="6"/>
        <v>11</v>
      </c>
      <c r="C223" s="25">
        <f t="shared" si="7"/>
        <v>2023</v>
      </c>
      <c r="D223" s="71" t="s">
        <v>352</v>
      </c>
      <c r="E223" s="4" t="s">
        <v>93</v>
      </c>
      <c r="F223" s="4" t="s">
        <v>485</v>
      </c>
      <c r="G223" s="4"/>
      <c r="H223" s="7" t="s">
        <v>131</v>
      </c>
      <c r="I223" s="60"/>
      <c r="J223" s="118">
        <v>46500</v>
      </c>
      <c r="K223" s="118"/>
      <c r="L223" s="118"/>
      <c r="M223" s="118"/>
      <c r="N223" s="127"/>
      <c r="O223" s="26"/>
    </row>
    <row r="224" spans="1:15" ht="15" customHeight="1" x14ac:dyDescent="0.25">
      <c r="A224" s="54">
        <v>45238</v>
      </c>
      <c r="B224" s="25">
        <f t="shared" si="6"/>
        <v>11</v>
      </c>
      <c r="C224" s="25">
        <f t="shared" si="7"/>
        <v>2023</v>
      </c>
      <c r="D224" s="71" t="s">
        <v>124</v>
      </c>
      <c r="E224" s="4" t="s">
        <v>93</v>
      </c>
      <c r="F224" s="4"/>
      <c r="G224" s="4" t="s">
        <v>333</v>
      </c>
      <c r="H224" s="7" t="s">
        <v>131</v>
      </c>
      <c r="I224" s="60"/>
      <c r="J224" s="118"/>
      <c r="K224" s="118">
        <v>63500</v>
      </c>
      <c r="L224" s="118"/>
      <c r="M224" s="118"/>
      <c r="N224" s="127"/>
      <c r="O224" s="26"/>
    </row>
    <row r="225" spans="1:15" ht="15" customHeight="1" x14ac:dyDescent="0.25">
      <c r="A225" s="54">
        <v>45238</v>
      </c>
      <c r="B225" s="25">
        <f t="shared" si="6"/>
        <v>11</v>
      </c>
      <c r="C225" s="25">
        <f t="shared" si="7"/>
        <v>2023</v>
      </c>
      <c r="D225" s="71" t="s">
        <v>124</v>
      </c>
      <c r="E225" s="4" t="s">
        <v>93</v>
      </c>
      <c r="F225" s="4"/>
      <c r="G225" s="4" t="s">
        <v>333</v>
      </c>
      <c r="H225" s="7" t="s">
        <v>131</v>
      </c>
      <c r="I225" s="60"/>
      <c r="J225" s="118"/>
      <c r="K225" s="118">
        <v>74766</v>
      </c>
      <c r="L225" s="118"/>
      <c r="M225" s="118"/>
      <c r="N225" s="127"/>
      <c r="O225" s="26"/>
    </row>
    <row r="226" spans="1:15" ht="15" customHeight="1" x14ac:dyDescent="0.25">
      <c r="A226" s="54">
        <v>45238</v>
      </c>
      <c r="B226" s="25">
        <f t="shared" si="6"/>
        <v>11</v>
      </c>
      <c r="C226" s="25">
        <f t="shared" si="7"/>
        <v>2023</v>
      </c>
      <c r="D226" s="71" t="s">
        <v>124</v>
      </c>
      <c r="E226" s="4" t="s">
        <v>93</v>
      </c>
      <c r="F226" s="4"/>
      <c r="G226" s="4" t="s">
        <v>333</v>
      </c>
      <c r="H226" s="7" t="s">
        <v>131</v>
      </c>
      <c r="I226" s="60"/>
      <c r="J226" s="118"/>
      <c r="K226" s="118">
        <v>42730</v>
      </c>
      <c r="L226" s="118"/>
      <c r="M226" s="118"/>
      <c r="N226" s="127"/>
      <c r="O226" s="26"/>
    </row>
    <row r="227" spans="1:15" ht="15" customHeight="1" x14ac:dyDescent="0.25">
      <c r="A227" s="54">
        <v>45239</v>
      </c>
      <c r="B227" s="25">
        <f t="shared" si="6"/>
        <v>11</v>
      </c>
      <c r="C227" s="25">
        <f t="shared" si="7"/>
        <v>2023</v>
      </c>
      <c r="D227" s="71" t="s">
        <v>89</v>
      </c>
      <c r="E227" s="4" t="s">
        <v>93</v>
      </c>
      <c r="F227" s="4" t="s">
        <v>512</v>
      </c>
      <c r="G227" s="4"/>
      <c r="H227" s="7" t="s">
        <v>131</v>
      </c>
      <c r="I227" s="60"/>
      <c r="J227" s="118">
        <v>4209.3</v>
      </c>
      <c r="K227" s="118"/>
      <c r="L227" s="118"/>
      <c r="M227" s="118"/>
      <c r="N227" s="127"/>
      <c r="O227" s="26"/>
    </row>
    <row r="228" spans="1:15" ht="15" customHeight="1" x14ac:dyDescent="0.25">
      <c r="A228" s="54">
        <v>45240</v>
      </c>
      <c r="B228" s="25">
        <f t="shared" si="6"/>
        <v>11</v>
      </c>
      <c r="C228" s="25">
        <f t="shared" si="7"/>
        <v>2023</v>
      </c>
      <c r="D228" s="71" t="s">
        <v>124</v>
      </c>
      <c r="E228" s="4" t="s">
        <v>93</v>
      </c>
      <c r="F228" s="4"/>
      <c r="G228" s="4" t="s">
        <v>553</v>
      </c>
      <c r="H228" s="7" t="s">
        <v>131</v>
      </c>
      <c r="I228" s="60"/>
      <c r="J228" s="118"/>
      <c r="K228" s="118">
        <v>360000</v>
      </c>
      <c r="L228" s="118"/>
      <c r="M228" s="118"/>
      <c r="N228" s="127"/>
      <c r="O228" s="26"/>
    </row>
    <row r="229" spans="1:15" ht="15" customHeight="1" x14ac:dyDescent="0.25">
      <c r="A229" s="54">
        <v>45243</v>
      </c>
      <c r="B229" s="25">
        <f t="shared" si="6"/>
        <v>11</v>
      </c>
      <c r="C229" s="25">
        <f t="shared" si="7"/>
        <v>2023</v>
      </c>
      <c r="D229" s="71" t="s">
        <v>352</v>
      </c>
      <c r="E229" s="4" t="s">
        <v>93</v>
      </c>
      <c r="F229" s="4" t="s">
        <v>513</v>
      </c>
      <c r="G229" s="4"/>
      <c r="H229" s="7" t="s">
        <v>130</v>
      </c>
      <c r="I229" s="60"/>
      <c r="J229" s="118">
        <v>189200</v>
      </c>
      <c r="K229" s="118"/>
      <c r="L229" s="118"/>
      <c r="M229" s="118"/>
      <c r="N229" s="127"/>
      <c r="O229" s="26"/>
    </row>
    <row r="230" spans="1:15" ht="15" customHeight="1" x14ac:dyDescent="0.25">
      <c r="A230" s="54">
        <v>45243</v>
      </c>
      <c r="B230" s="25">
        <f t="shared" si="6"/>
        <v>11</v>
      </c>
      <c r="C230" s="25">
        <f t="shared" si="7"/>
        <v>2023</v>
      </c>
      <c r="D230" s="71" t="s">
        <v>352</v>
      </c>
      <c r="E230" s="4" t="s">
        <v>93</v>
      </c>
      <c r="F230" s="4" t="s">
        <v>514</v>
      </c>
      <c r="G230" s="4"/>
      <c r="H230" s="7" t="s">
        <v>130</v>
      </c>
      <c r="I230" s="60"/>
      <c r="J230" s="118">
        <v>136300</v>
      </c>
      <c r="K230" s="118"/>
      <c r="L230" s="118"/>
      <c r="M230" s="118"/>
      <c r="N230" s="127"/>
      <c r="O230" s="26"/>
    </row>
    <row r="231" spans="1:15" ht="15" customHeight="1" x14ac:dyDescent="0.25">
      <c r="A231" s="54">
        <v>45243</v>
      </c>
      <c r="B231" s="25">
        <f t="shared" si="6"/>
        <v>11</v>
      </c>
      <c r="C231" s="25">
        <f t="shared" si="7"/>
        <v>2023</v>
      </c>
      <c r="D231" s="71" t="s">
        <v>352</v>
      </c>
      <c r="E231" s="4" t="s">
        <v>93</v>
      </c>
      <c r="F231" s="4" t="s">
        <v>515</v>
      </c>
      <c r="G231" s="4"/>
      <c r="H231" s="7" t="s">
        <v>130</v>
      </c>
      <c r="I231" s="60"/>
      <c r="J231" s="118">
        <v>71366</v>
      </c>
      <c r="K231" s="118"/>
      <c r="L231" s="118"/>
      <c r="M231" s="118"/>
      <c r="N231" s="127"/>
      <c r="O231" s="26"/>
    </row>
    <row r="232" spans="1:15" ht="15" customHeight="1" x14ac:dyDescent="0.25">
      <c r="A232" s="54">
        <v>45243</v>
      </c>
      <c r="B232" s="25">
        <f t="shared" si="6"/>
        <v>11</v>
      </c>
      <c r="C232" s="25">
        <f t="shared" si="7"/>
        <v>2023</v>
      </c>
      <c r="D232" s="7" t="s">
        <v>92</v>
      </c>
      <c r="E232" s="4" t="s">
        <v>92</v>
      </c>
      <c r="F232" s="4" t="s">
        <v>296</v>
      </c>
      <c r="G232" s="4"/>
      <c r="H232" s="7" t="s">
        <v>545</v>
      </c>
      <c r="I232" s="60"/>
      <c r="J232" s="118"/>
      <c r="K232" s="118">
        <v>142730</v>
      </c>
      <c r="L232" s="118"/>
      <c r="M232" s="118"/>
      <c r="N232" s="127"/>
      <c r="O232" s="26"/>
    </row>
    <row r="233" spans="1:15" ht="15" customHeight="1" x14ac:dyDescent="0.25">
      <c r="A233" s="54">
        <v>45244</v>
      </c>
      <c r="B233" s="25">
        <f t="shared" si="6"/>
        <v>11</v>
      </c>
      <c r="C233" s="25">
        <f t="shared" si="7"/>
        <v>2023</v>
      </c>
      <c r="D233" s="71" t="s">
        <v>89</v>
      </c>
      <c r="E233" s="4" t="s">
        <v>93</v>
      </c>
      <c r="F233" s="4" t="s">
        <v>516</v>
      </c>
      <c r="G233" s="4"/>
      <c r="H233" s="7" t="s">
        <v>131</v>
      </c>
      <c r="I233" s="60"/>
      <c r="J233" s="118">
        <v>83621.09</v>
      </c>
      <c r="K233" s="118"/>
      <c r="L233" s="118"/>
      <c r="M233" s="118"/>
      <c r="N233" s="127"/>
      <c r="O233" s="26"/>
    </row>
    <row r="234" spans="1:15" ht="15" customHeight="1" x14ac:dyDescent="0.25">
      <c r="A234" s="54">
        <v>45244</v>
      </c>
      <c r="B234" s="25">
        <f t="shared" si="6"/>
        <v>11</v>
      </c>
      <c r="C234" s="25">
        <f t="shared" si="7"/>
        <v>2023</v>
      </c>
      <c r="D234" s="71" t="s">
        <v>89</v>
      </c>
      <c r="E234" s="4" t="s">
        <v>93</v>
      </c>
      <c r="F234" s="4" t="s">
        <v>516</v>
      </c>
      <c r="G234" s="4"/>
      <c r="H234" s="7" t="s">
        <v>131</v>
      </c>
      <c r="I234" s="60"/>
      <c r="J234" s="118">
        <v>83621.09</v>
      </c>
      <c r="K234" s="118"/>
      <c r="L234" s="118"/>
      <c r="M234" s="118"/>
      <c r="N234" s="127"/>
      <c r="O234" s="26"/>
    </row>
    <row r="235" spans="1:15" ht="15" customHeight="1" x14ac:dyDescent="0.25">
      <c r="A235" s="54">
        <v>45244</v>
      </c>
      <c r="B235" s="25">
        <f t="shared" si="6"/>
        <v>11</v>
      </c>
      <c r="C235" s="25">
        <f t="shared" si="7"/>
        <v>2023</v>
      </c>
      <c r="D235" s="71" t="s">
        <v>89</v>
      </c>
      <c r="E235" s="4" t="s">
        <v>93</v>
      </c>
      <c r="F235" s="4" t="s">
        <v>516</v>
      </c>
      <c r="G235" s="4"/>
      <c r="H235" s="7" t="s">
        <v>131</v>
      </c>
      <c r="I235" s="60"/>
      <c r="J235" s="118">
        <v>83621.09</v>
      </c>
      <c r="K235" s="118"/>
      <c r="L235" s="118"/>
      <c r="M235" s="118"/>
      <c r="N235" s="127"/>
      <c r="O235" s="26"/>
    </row>
    <row r="236" spans="1:15" ht="15" customHeight="1" x14ac:dyDescent="0.25">
      <c r="A236" s="54">
        <v>45244</v>
      </c>
      <c r="B236" s="25">
        <f t="shared" si="6"/>
        <v>11</v>
      </c>
      <c r="C236" s="25">
        <f t="shared" si="7"/>
        <v>2023</v>
      </c>
      <c r="D236" s="71" t="s">
        <v>124</v>
      </c>
      <c r="E236" s="4" t="s">
        <v>93</v>
      </c>
      <c r="F236" s="4"/>
      <c r="G236" s="4" t="s">
        <v>100</v>
      </c>
      <c r="H236" s="7" t="s">
        <v>131</v>
      </c>
      <c r="I236" s="60"/>
      <c r="J236" s="118"/>
      <c r="K236" s="118">
        <v>220000</v>
      </c>
      <c r="L236" s="118"/>
      <c r="M236" s="118"/>
      <c r="N236" s="127"/>
      <c r="O236" s="26"/>
    </row>
    <row r="237" spans="1:15" ht="15" customHeight="1" x14ac:dyDescent="0.25">
      <c r="A237" s="54">
        <v>45244</v>
      </c>
      <c r="B237" s="25">
        <f t="shared" si="6"/>
        <v>11</v>
      </c>
      <c r="C237" s="25">
        <f t="shared" si="7"/>
        <v>2023</v>
      </c>
      <c r="D237" s="71" t="s">
        <v>124</v>
      </c>
      <c r="E237" s="4" t="s">
        <v>93</v>
      </c>
      <c r="F237" s="4"/>
      <c r="G237" s="4" t="s">
        <v>100</v>
      </c>
      <c r="H237" s="7" t="s">
        <v>131</v>
      </c>
      <c r="I237" s="60"/>
      <c r="J237" s="118"/>
      <c r="K237" s="118">
        <v>46500</v>
      </c>
      <c r="L237" s="118"/>
      <c r="M237" s="118"/>
      <c r="N237" s="127"/>
      <c r="O237" s="26"/>
    </row>
    <row r="238" spans="1:15" ht="15" customHeight="1" x14ac:dyDescent="0.25">
      <c r="A238" s="54">
        <v>45244</v>
      </c>
      <c r="B238" s="25">
        <f t="shared" si="6"/>
        <v>11</v>
      </c>
      <c r="C238" s="25">
        <f t="shared" si="7"/>
        <v>2023</v>
      </c>
      <c r="D238" s="71" t="s">
        <v>124</v>
      </c>
      <c r="E238" s="4" t="s">
        <v>93</v>
      </c>
      <c r="F238" s="4"/>
      <c r="G238" s="4" t="s">
        <v>100</v>
      </c>
      <c r="H238" s="7" t="s">
        <v>131</v>
      </c>
      <c r="I238" s="60"/>
      <c r="J238" s="118"/>
      <c r="K238" s="118">
        <v>4209.3</v>
      </c>
      <c r="L238" s="118"/>
      <c r="M238" s="118"/>
      <c r="N238" s="127"/>
      <c r="O238" s="26"/>
    </row>
    <row r="239" spans="1:15" ht="15" customHeight="1" x14ac:dyDescent="0.25">
      <c r="A239" s="54">
        <v>45244</v>
      </c>
      <c r="B239" s="25">
        <f t="shared" si="6"/>
        <v>11</v>
      </c>
      <c r="C239" s="25">
        <f t="shared" si="7"/>
        <v>2023</v>
      </c>
      <c r="D239" s="71" t="s">
        <v>352</v>
      </c>
      <c r="E239" s="4" t="s">
        <v>93</v>
      </c>
      <c r="F239" s="4" t="s">
        <v>517</v>
      </c>
      <c r="G239" s="4"/>
      <c r="H239" s="7" t="s">
        <v>130</v>
      </c>
      <c r="I239" s="60"/>
      <c r="J239" s="118">
        <v>100000</v>
      </c>
      <c r="K239" s="118"/>
      <c r="L239" s="118"/>
      <c r="M239" s="118"/>
      <c r="N239" s="127"/>
      <c r="O239" s="26"/>
    </row>
    <row r="240" spans="1:15" ht="15" customHeight="1" x14ac:dyDescent="0.25">
      <c r="A240" s="54">
        <v>45245</v>
      </c>
      <c r="B240" s="25">
        <f t="shared" si="6"/>
        <v>11</v>
      </c>
      <c r="C240" s="25">
        <f t="shared" si="7"/>
        <v>2023</v>
      </c>
      <c r="D240" s="71" t="s">
        <v>89</v>
      </c>
      <c r="E240" s="4" t="s">
        <v>93</v>
      </c>
      <c r="F240" s="4" t="s">
        <v>519</v>
      </c>
      <c r="G240" s="4"/>
      <c r="H240" s="7" t="s">
        <v>131</v>
      </c>
      <c r="I240" s="60"/>
      <c r="J240" s="118">
        <v>79000</v>
      </c>
      <c r="K240" s="118"/>
      <c r="L240" s="118"/>
      <c r="M240" s="118"/>
      <c r="N240" s="127"/>
      <c r="O240" s="26"/>
    </row>
    <row r="241" spans="1:15" ht="15" customHeight="1" x14ac:dyDescent="0.25">
      <c r="A241" s="54">
        <v>45245</v>
      </c>
      <c r="B241" s="25">
        <f t="shared" si="6"/>
        <v>11</v>
      </c>
      <c r="C241" s="25">
        <f t="shared" si="7"/>
        <v>2023</v>
      </c>
      <c r="D241" s="71" t="s">
        <v>89</v>
      </c>
      <c r="E241" s="4" t="s">
        <v>93</v>
      </c>
      <c r="F241" s="4" t="s">
        <v>519</v>
      </c>
      <c r="G241" s="4"/>
      <c r="H241" s="7" t="s">
        <v>131</v>
      </c>
      <c r="I241" s="60"/>
      <c r="J241" s="118">
        <v>38000</v>
      </c>
      <c r="K241" s="118"/>
      <c r="L241" s="118"/>
      <c r="M241" s="118"/>
      <c r="N241" s="127"/>
      <c r="O241" s="26"/>
    </row>
    <row r="242" spans="1:15" ht="15" customHeight="1" x14ac:dyDescent="0.25">
      <c r="A242" s="54">
        <v>45245</v>
      </c>
      <c r="B242" s="25">
        <f t="shared" si="6"/>
        <v>11</v>
      </c>
      <c r="C242" s="25">
        <f t="shared" si="7"/>
        <v>2023</v>
      </c>
      <c r="D242" s="71" t="s">
        <v>89</v>
      </c>
      <c r="E242" s="4" t="s">
        <v>93</v>
      </c>
      <c r="F242" s="4" t="s">
        <v>519</v>
      </c>
      <c r="G242" s="4"/>
      <c r="H242" s="7" t="s">
        <v>131</v>
      </c>
      <c r="I242" s="60"/>
      <c r="J242" s="118">
        <v>29160</v>
      </c>
      <c r="K242" s="118"/>
      <c r="L242" s="118"/>
      <c r="M242" s="118"/>
      <c r="N242" s="127"/>
      <c r="O242" s="26"/>
    </row>
    <row r="243" spans="1:15" ht="15" customHeight="1" x14ac:dyDescent="0.25">
      <c r="A243" s="54">
        <v>45246</v>
      </c>
      <c r="B243" s="25">
        <f t="shared" si="6"/>
        <v>11</v>
      </c>
      <c r="C243" s="25">
        <f t="shared" si="7"/>
        <v>2023</v>
      </c>
      <c r="D243" s="71" t="s">
        <v>89</v>
      </c>
      <c r="E243" s="4" t="s">
        <v>93</v>
      </c>
      <c r="F243" s="4" t="s">
        <v>422</v>
      </c>
      <c r="G243" s="4"/>
      <c r="H243" s="7" t="s">
        <v>131</v>
      </c>
      <c r="I243" s="60"/>
      <c r="J243" s="118">
        <v>30000</v>
      </c>
      <c r="K243" s="118"/>
      <c r="L243" s="118"/>
      <c r="M243" s="118"/>
      <c r="N243" s="127"/>
      <c r="O243" s="26"/>
    </row>
    <row r="244" spans="1:15" ht="15" customHeight="1" x14ac:dyDescent="0.25">
      <c r="A244" s="54">
        <v>45248</v>
      </c>
      <c r="B244" s="25">
        <f t="shared" si="6"/>
        <v>11</v>
      </c>
      <c r="C244" s="25">
        <f t="shared" si="7"/>
        <v>2023</v>
      </c>
      <c r="D244" s="71" t="s">
        <v>89</v>
      </c>
      <c r="E244" s="4" t="s">
        <v>93</v>
      </c>
      <c r="F244" s="4" t="s">
        <v>523</v>
      </c>
      <c r="G244" s="4"/>
      <c r="H244" s="7" t="s">
        <v>130</v>
      </c>
      <c r="I244" s="60"/>
      <c r="J244" s="118">
        <v>26000</v>
      </c>
      <c r="K244" s="118"/>
      <c r="L244" s="118"/>
      <c r="M244" s="118"/>
      <c r="N244" s="127"/>
      <c r="O244" s="26"/>
    </row>
    <row r="245" spans="1:15" ht="15" customHeight="1" x14ac:dyDescent="0.25">
      <c r="A245" s="93">
        <v>45248</v>
      </c>
      <c r="B245" s="25">
        <f t="shared" si="6"/>
        <v>11</v>
      </c>
      <c r="C245" s="25">
        <f t="shared" si="7"/>
        <v>2023</v>
      </c>
      <c r="D245" s="124" t="s">
        <v>420</v>
      </c>
      <c r="E245" s="125" t="s">
        <v>92</v>
      </c>
      <c r="F245" s="125" t="s">
        <v>18</v>
      </c>
      <c r="G245" s="125"/>
      <c r="H245" s="95" t="s">
        <v>420</v>
      </c>
      <c r="I245" s="95"/>
      <c r="J245" s="139"/>
      <c r="K245" s="139">
        <v>130000</v>
      </c>
      <c r="L245" s="139"/>
      <c r="M245" s="139"/>
      <c r="N245" s="140"/>
    </row>
    <row r="246" spans="1:15" ht="15" customHeight="1" x14ac:dyDescent="0.25">
      <c r="A246" s="54">
        <v>45250</v>
      </c>
      <c r="B246" s="25">
        <f t="shared" si="6"/>
        <v>11</v>
      </c>
      <c r="C246" s="25">
        <f t="shared" si="7"/>
        <v>2023</v>
      </c>
      <c r="D246" s="71" t="s">
        <v>89</v>
      </c>
      <c r="E246" s="4" t="s">
        <v>93</v>
      </c>
      <c r="F246" s="4" t="s">
        <v>524</v>
      </c>
      <c r="G246" s="4"/>
      <c r="H246" s="7" t="s">
        <v>130</v>
      </c>
      <c r="I246" s="60"/>
      <c r="J246" s="118">
        <v>500000</v>
      </c>
      <c r="K246" s="118"/>
      <c r="L246" s="118"/>
      <c r="M246" s="118"/>
      <c r="N246" s="127"/>
      <c r="O246" s="26"/>
    </row>
    <row r="247" spans="1:15" ht="15" customHeight="1" x14ac:dyDescent="0.25">
      <c r="A247" s="93">
        <v>45250</v>
      </c>
      <c r="B247" s="25">
        <f t="shared" si="6"/>
        <v>11</v>
      </c>
      <c r="C247" s="25">
        <f t="shared" si="7"/>
        <v>2023</v>
      </c>
      <c r="D247" s="124" t="s">
        <v>420</v>
      </c>
      <c r="E247" s="125" t="s">
        <v>92</v>
      </c>
      <c r="F247" s="125" t="s">
        <v>703</v>
      </c>
      <c r="G247" s="125"/>
      <c r="H247" s="95" t="s">
        <v>420</v>
      </c>
      <c r="I247" s="95"/>
      <c r="J247" s="139"/>
      <c r="K247" s="139">
        <v>140000</v>
      </c>
      <c r="L247" s="139"/>
      <c r="M247" s="139"/>
      <c r="N247" s="140"/>
    </row>
    <row r="248" spans="1:15" ht="15" customHeight="1" x14ac:dyDescent="0.25">
      <c r="A248" s="54">
        <v>45251</v>
      </c>
      <c r="B248" s="25">
        <f t="shared" si="6"/>
        <v>11</v>
      </c>
      <c r="C248" s="25">
        <f t="shared" si="7"/>
        <v>2023</v>
      </c>
      <c r="D248" s="71" t="s">
        <v>89</v>
      </c>
      <c r="E248" s="4" t="s">
        <v>93</v>
      </c>
      <c r="F248" s="4" t="s">
        <v>526</v>
      </c>
      <c r="G248" s="4"/>
      <c r="H248" s="7" t="s">
        <v>131</v>
      </c>
      <c r="I248" s="60"/>
      <c r="J248" s="118">
        <v>67782</v>
      </c>
      <c r="K248" s="118"/>
      <c r="L248" s="118"/>
      <c r="M248" s="118"/>
      <c r="N248" s="127"/>
      <c r="O248" s="26"/>
    </row>
    <row r="249" spans="1:15" ht="15" customHeight="1" x14ac:dyDescent="0.25">
      <c r="A249" s="54">
        <v>45251</v>
      </c>
      <c r="B249" s="25">
        <f t="shared" si="6"/>
        <v>11</v>
      </c>
      <c r="C249" s="25">
        <f t="shared" si="7"/>
        <v>2023</v>
      </c>
      <c r="D249" s="71" t="s">
        <v>89</v>
      </c>
      <c r="E249" s="4" t="s">
        <v>93</v>
      </c>
      <c r="F249" s="4" t="s">
        <v>526</v>
      </c>
      <c r="G249" s="4"/>
      <c r="H249" s="7" t="s">
        <v>131</v>
      </c>
      <c r="I249" s="60"/>
      <c r="J249" s="118">
        <v>44070.8</v>
      </c>
      <c r="K249" s="118"/>
      <c r="L249" s="118"/>
      <c r="M249" s="118"/>
      <c r="N249" s="127"/>
      <c r="O249" s="26"/>
    </row>
    <row r="250" spans="1:15" ht="15" customHeight="1" x14ac:dyDescent="0.25">
      <c r="A250" s="54">
        <v>45251</v>
      </c>
      <c r="B250" s="25">
        <f t="shared" si="6"/>
        <v>11</v>
      </c>
      <c r="C250" s="25">
        <f t="shared" si="7"/>
        <v>2023</v>
      </c>
      <c r="D250" s="71" t="s">
        <v>89</v>
      </c>
      <c r="E250" s="4" t="s">
        <v>93</v>
      </c>
      <c r="F250" s="4" t="s">
        <v>529</v>
      </c>
      <c r="G250" s="4"/>
      <c r="H250" s="7" t="s">
        <v>130</v>
      </c>
      <c r="I250" s="60"/>
      <c r="J250" s="118">
        <v>122500</v>
      </c>
      <c r="K250" s="118"/>
      <c r="L250" s="118"/>
      <c r="M250" s="118"/>
      <c r="N250" s="127"/>
      <c r="O250" s="26"/>
    </row>
    <row r="251" spans="1:15" ht="15" customHeight="1" x14ac:dyDescent="0.25">
      <c r="A251" s="54">
        <v>45252</v>
      </c>
      <c r="B251" s="25">
        <f t="shared" si="6"/>
        <v>11</v>
      </c>
      <c r="C251" s="25">
        <f t="shared" si="7"/>
        <v>2023</v>
      </c>
      <c r="D251" s="71" t="s">
        <v>124</v>
      </c>
      <c r="E251" s="4" t="s">
        <v>93</v>
      </c>
      <c r="F251" s="4"/>
      <c r="G251" s="4" t="s">
        <v>553</v>
      </c>
      <c r="H251" s="7" t="s">
        <v>131</v>
      </c>
      <c r="I251" s="60"/>
      <c r="J251" s="118"/>
      <c r="K251" s="118">
        <v>44070</v>
      </c>
      <c r="L251" s="118"/>
      <c r="M251" s="118"/>
      <c r="N251" s="127"/>
      <c r="O251" s="26"/>
    </row>
    <row r="252" spans="1:15" ht="15" customHeight="1" x14ac:dyDescent="0.25">
      <c r="A252" s="54">
        <v>45252</v>
      </c>
      <c r="B252" s="25">
        <f t="shared" si="6"/>
        <v>11</v>
      </c>
      <c r="C252" s="25">
        <f t="shared" si="7"/>
        <v>2023</v>
      </c>
      <c r="D252" s="71" t="s">
        <v>124</v>
      </c>
      <c r="E252" s="4" t="s">
        <v>93</v>
      </c>
      <c r="F252" s="4"/>
      <c r="G252" s="4" t="s">
        <v>553</v>
      </c>
      <c r="H252" s="7" t="s">
        <v>131</v>
      </c>
      <c r="I252" s="60"/>
      <c r="J252" s="118"/>
      <c r="K252" s="118">
        <v>67782</v>
      </c>
      <c r="L252" s="118"/>
      <c r="M252" s="118"/>
      <c r="N252" s="127"/>
      <c r="O252" s="26"/>
    </row>
    <row r="253" spans="1:15" ht="15" customHeight="1" x14ac:dyDescent="0.25">
      <c r="A253" s="54">
        <v>45252</v>
      </c>
      <c r="B253" s="25">
        <f t="shared" si="6"/>
        <v>11</v>
      </c>
      <c r="C253" s="25">
        <f t="shared" si="7"/>
        <v>2023</v>
      </c>
      <c r="D253" s="71" t="s">
        <v>124</v>
      </c>
      <c r="E253" s="4" t="s">
        <v>93</v>
      </c>
      <c r="F253" s="4"/>
      <c r="G253" s="4" t="s">
        <v>553</v>
      </c>
      <c r="H253" s="7" t="s">
        <v>131</v>
      </c>
      <c r="I253" s="60"/>
      <c r="J253" s="118"/>
      <c r="K253" s="118">
        <v>83621.09</v>
      </c>
      <c r="L253" s="118"/>
      <c r="M253" s="118"/>
      <c r="N253" s="127"/>
      <c r="O253" s="26"/>
    </row>
    <row r="254" spans="1:15" ht="15" customHeight="1" x14ac:dyDescent="0.25">
      <c r="A254" s="54">
        <v>45252</v>
      </c>
      <c r="B254" s="25">
        <f t="shared" si="6"/>
        <v>11</v>
      </c>
      <c r="C254" s="25">
        <f t="shared" si="7"/>
        <v>2023</v>
      </c>
      <c r="D254" s="71" t="s">
        <v>124</v>
      </c>
      <c r="E254" s="4" t="s">
        <v>93</v>
      </c>
      <c r="F254" s="4"/>
      <c r="G254" s="4" t="s">
        <v>553</v>
      </c>
      <c r="H254" s="7" t="s">
        <v>131</v>
      </c>
      <c r="I254" s="60"/>
      <c r="J254" s="118"/>
      <c r="K254" s="118">
        <v>83621.09</v>
      </c>
      <c r="L254" s="118"/>
      <c r="M254" s="118"/>
      <c r="N254" s="127"/>
      <c r="O254" s="26"/>
    </row>
    <row r="255" spans="1:15" ht="15" customHeight="1" x14ac:dyDescent="0.25">
      <c r="A255" s="54">
        <v>45252</v>
      </c>
      <c r="B255" s="25">
        <f t="shared" si="6"/>
        <v>11</v>
      </c>
      <c r="C255" s="25">
        <f t="shared" si="7"/>
        <v>2023</v>
      </c>
      <c r="D255" s="71" t="s">
        <v>124</v>
      </c>
      <c r="E255" s="4" t="s">
        <v>93</v>
      </c>
      <c r="F255" s="4"/>
      <c r="G255" s="4" t="s">
        <v>553</v>
      </c>
      <c r="H255" s="7" t="s">
        <v>131</v>
      </c>
      <c r="I255" s="60"/>
      <c r="J255" s="118"/>
      <c r="K255" s="118">
        <v>83621.09</v>
      </c>
      <c r="L255" s="118"/>
      <c r="M255" s="118"/>
      <c r="N255" s="127"/>
      <c r="O255" s="26"/>
    </row>
    <row r="256" spans="1:15" ht="15" customHeight="1" x14ac:dyDescent="0.25">
      <c r="A256" s="54">
        <v>45252</v>
      </c>
      <c r="B256" s="25">
        <f t="shared" si="6"/>
        <v>11</v>
      </c>
      <c r="C256" s="25">
        <f t="shared" si="7"/>
        <v>2023</v>
      </c>
      <c r="D256" s="71" t="s">
        <v>124</v>
      </c>
      <c r="E256" s="4" t="s">
        <v>93</v>
      </c>
      <c r="F256" s="4"/>
      <c r="G256" s="4" t="s">
        <v>553</v>
      </c>
      <c r="H256" s="7" t="s">
        <v>131</v>
      </c>
      <c r="I256" s="60"/>
      <c r="J256" s="118"/>
      <c r="K256" s="118">
        <v>79000</v>
      </c>
      <c r="L256" s="118"/>
      <c r="M256" s="118"/>
      <c r="N256" s="127"/>
      <c r="O256" s="26"/>
    </row>
    <row r="257" spans="1:15" ht="15" customHeight="1" x14ac:dyDescent="0.25">
      <c r="A257" s="93">
        <v>45252</v>
      </c>
      <c r="B257" s="25">
        <f t="shared" si="6"/>
        <v>11</v>
      </c>
      <c r="C257" s="25">
        <f t="shared" si="7"/>
        <v>2023</v>
      </c>
      <c r="D257" s="124" t="s">
        <v>420</v>
      </c>
      <c r="E257" s="125" t="s">
        <v>92</v>
      </c>
      <c r="F257" s="125" t="s">
        <v>704</v>
      </c>
      <c r="G257" s="125"/>
      <c r="H257" s="95" t="s">
        <v>420</v>
      </c>
      <c r="I257" s="95"/>
      <c r="J257" s="139"/>
      <c r="K257" s="139">
        <v>73000</v>
      </c>
      <c r="L257" s="139"/>
      <c r="M257" s="139"/>
      <c r="N257" s="140"/>
    </row>
    <row r="258" spans="1:15" ht="15" customHeight="1" x14ac:dyDescent="0.25">
      <c r="A258" s="54">
        <v>45253</v>
      </c>
      <c r="B258" s="25">
        <f t="shared" si="6"/>
        <v>11</v>
      </c>
      <c r="C258" s="25">
        <f t="shared" si="7"/>
        <v>2023</v>
      </c>
      <c r="D258" s="71" t="s">
        <v>352</v>
      </c>
      <c r="E258" s="4" t="s">
        <v>93</v>
      </c>
      <c r="F258" s="4" t="s">
        <v>533</v>
      </c>
      <c r="G258" s="4"/>
      <c r="H258" s="7" t="s">
        <v>130</v>
      </c>
      <c r="I258" s="60"/>
      <c r="J258" s="118">
        <v>113275</v>
      </c>
      <c r="K258" s="118"/>
      <c r="L258" s="118"/>
      <c r="M258" s="118"/>
      <c r="N258" s="127"/>
      <c r="O258" s="26"/>
    </row>
    <row r="259" spans="1:15" ht="15" customHeight="1" x14ac:dyDescent="0.25">
      <c r="A259" s="54">
        <v>45253</v>
      </c>
      <c r="B259" s="25">
        <f t="shared" ref="B259:B322" si="8">MONTH(A259)</f>
        <v>11</v>
      </c>
      <c r="C259" s="25">
        <f t="shared" ref="C259:C322" si="9">YEAR((A259))</f>
        <v>2023</v>
      </c>
      <c r="D259" s="71" t="s">
        <v>352</v>
      </c>
      <c r="E259" s="4" t="s">
        <v>93</v>
      </c>
      <c r="F259" s="4" t="s">
        <v>534</v>
      </c>
      <c r="G259" s="4"/>
      <c r="H259" s="7" t="s">
        <v>130</v>
      </c>
      <c r="I259" s="60"/>
      <c r="J259" s="118">
        <v>53900</v>
      </c>
      <c r="K259" s="118"/>
      <c r="L259" s="118"/>
      <c r="M259" s="118"/>
      <c r="N259" s="127"/>
      <c r="O259" s="26"/>
    </row>
    <row r="260" spans="1:15" ht="15" customHeight="1" x14ac:dyDescent="0.25">
      <c r="A260" s="54">
        <v>45253</v>
      </c>
      <c r="B260" s="25">
        <f t="shared" si="8"/>
        <v>11</v>
      </c>
      <c r="C260" s="25">
        <f t="shared" si="9"/>
        <v>2023</v>
      </c>
      <c r="D260" s="71" t="s">
        <v>89</v>
      </c>
      <c r="E260" s="4" t="s">
        <v>93</v>
      </c>
      <c r="F260" s="4" t="s">
        <v>536</v>
      </c>
      <c r="G260" s="4"/>
      <c r="H260" s="7" t="s">
        <v>130</v>
      </c>
      <c r="I260" s="60"/>
      <c r="J260" s="118">
        <v>28000</v>
      </c>
      <c r="K260" s="118"/>
      <c r="L260" s="118"/>
      <c r="M260" s="118"/>
      <c r="N260" s="127"/>
      <c r="O260" s="26"/>
    </row>
    <row r="261" spans="1:15" ht="15" customHeight="1" x14ac:dyDescent="0.25">
      <c r="A261" s="93">
        <v>45253</v>
      </c>
      <c r="B261" s="25">
        <f t="shared" si="8"/>
        <v>11</v>
      </c>
      <c r="C261" s="25">
        <f t="shared" si="9"/>
        <v>2023</v>
      </c>
      <c r="D261" s="124" t="s">
        <v>420</v>
      </c>
      <c r="E261" s="125" t="s">
        <v>92</v>
      </c>
      <c r="F261" s="125" t="s">
        <v>320</v>
      </c>
      <c r="G261" s="125"/>
      <c r="H261" s="95" t="s">
        <v>420</v>
      </c>
      <c r="I261" s="95"/>
      <c r="J261" s="139"/>
      <c r="K261" s="139">
        <v>38000</v>
      </c>
      <c r="L261" s="139"/>
      <c r="M261" s="139"/>
      <c r="N261" s="140"/>
    </row>
    <row r="262" spans="1:15" ht="15" customHeight="1" x14ac:dyDescent="0.25">
      <c r="A262" s="54">
        <v>45254</v>
      </c>
      <c r="B262" s="25">
        <f t="shared" si="8"/>
        <v>11</v>
      </c>
      <c r="C262" s="25">
        <f t="shared" si="9"/>
        <v>2023</v>
      </c>
      <c r="D262" s="71" t="s">
        <v>89</v>
      </c>
      <c r="E262" s="4" t="s">
        <v>93</v>
      </c>
      <c r="F262" s="4" t="s">
        <v>374</v>
      </c>
      <c r="G262" s="4"/>
      <c r="H262" s="7" t="s">
        <v>130</v>
      </c>
      <c r="I262" s="60"/>
      <c r="J262" s="118">
        <v>10000</v>
      </c>
      <c r="K262" s="118"/>
      <c r="L262" s="118"/>
      <c r="M262" s="118"/>
      <c r="N262" s="127"/>
      <c r="O262" s="26"/>
    </row>
    <row r="263" spans="1:15" ht="15" customHeight="1" x14ac:dyDescent="0.25">
      <c r="A263" s="54">
        <v>45254</v>
      </c>
      <c r="B263" s="25">
        <f t="shared" si="8"/>
        <v>11</v>
      </c>
      <c r="C263" s="25">
        <f t="shared" si="9"/>
        <v>2023</v>
      </c>
      <c r="D263" s="71" t="s">
        <v>89</v>
      </c>
      <c r="E263" s="4" t="s">
        <v>93</v>
      </c>
      <c r="F263" s="4" t="s">
        <v>541</v>
      </c>
      <c r="G263" s="4"/>
      <c r="H263" s="7" t="s">
        <v>130</v>
      </c>
      <c r="I263" s="60"/>
      <c r="J263" s="118">
        <v>62700</v>
      </c>
      <c r="K263" s="118"/>
      <c r="L263" s="118"/>
      <c r="M263" s="118"/>
      <c r="N263" s="127"/>
      <c r="O263" s="26"/>
    </row>
    <row r="264" spans="1:15" ht="15" customHeight="1" x14ac:dyDescent="0.25">
      <c r="A264" s="93">
        <v>45254</v>
      </c>
      <c r="B264" s="25">
        <f t="shared" si="8"/>
        <v>11</v>
      </c>
      <c r="C264" s="25">
        <f t="shared" si="9"/>
        <v>2023</v>
      </c>
      <c r="D264" s="124" t="s">
        <v>420</v>
      </c>
      <c r="E264" s="125" t="s">
        <v>92</v>
      </c>
      <c r="F264" s="125" t="s">
        <v>420</v>
      </c>
      <c r="G264" s="125"/>
      <c r="H264" s="95" t="s">
        <v>420</v>
      </c>
      <c r="I264" s="95"/>
      <c r="J264" s="139"/>
      <c r="K264" s="139">
        <v>2500</v>
      </c>
      <c r="L264" s="139"/>
      <c r="M264" s="139"/>
      <c r="N264" s="140"/>
    </row>
    <row r="265" spans="1:15" ht="15" customHeight="1" x14ac:dyDescent="0.25">
      <c r="A265" s="93">
        <v>45255</v>
      </c>
      <c r="B265" s="25">
        <f t="shared" si="8"/>
        <v>11</v>
      </c>
      <c r="C265" s="25">
        <f t="shared" si="9"/>
        <v>2023</v>
      </c>
      <c r="D265" s="124" t="s">
        <v>420</v>
      </c>
      <c r="E265" s="125" t="s">
        <v>92</v>
      </c>
      <c r="F265" s="125" t="s">
        <v>705</v>
      </c>
      <c r="G265" s="125"/>
      <c r="H265" s="95" t="s">
        <v>420</v>
      </c>
      <c r="I265" s="95"/>
      <c r="J265" s="139"/>
      <c r="K265" s="139">
        <v>12259.05</v>
      </c>
      <c r="L265" s="139"/>
      <c r="M265" s="139"/>
      <c r="N265" s="140"/>
    </row>
    <row r="266" spans="1:15" ht="15" customHeight="1" x14ac:dyDescent="0.25">
      <c r="A266" s="93">
        <v>45255</v>
      </c>
      <c r="B266" s="25">
        <f t="shared" si="8"/>
        <v>11</v>
      </c>
      <c r="C266" s="25">
        <f t="shared" si="9"/>
        <v>2023</v>
      </c>
      <c r="D266" s="124" t="s">
        <v>420</v>
      </c>
      <c r="E266" s="125" t="s">
        <v>92</v>
      </c>
      <c r="F266" s="125" t="s">
        <v>624</v>
      </c>
      <c r="G266" s="125"/>
      <c r="H266" s="95" t="s">
        <v>420</v>
      </c>
      <c r="I266" s="95"/>
      <c r="J266" s="139"/>
      <c r="K266" s="139">
        <v>6500</v>
      </c>
      <c r="L266" s="139"/>
      <c r="M266" s="139"/>
      <c r="N266" s="140"/>
    </row>
    <row r="267" spans="1:15" ht="15" customHeight="1" x14ac:dyDescent="0.25">
      <c r="A267" s="93">
        <v>45255</v>
      </c>
      <c r="B267" s="25">
        <f t="shared" si="8"/>
        <v>11</v>
      </c>
      <c r="C267" s="25">
        <f t="shared" si="9"/>
        <v>2023</v>
      </c>
      <c r="D267" s="124" t="s">
        <v>420</v>
      </c>
      <c r="E267" s="125" t="s">
        <v>92</v>
      </c>
      <c r="F267" s="125" t="s">
        <v>706</v>
      </c>
      <c r="G267" s="125"/>
      <c r="H267" s="95" t="s">
        <v>420</v>
      </c>
      <c r="I267" s="95"/>
      <c r="J267" s="139"/>
      <c r="K267" s="139">
        <v>50000</v>
      </c>
      <c r="L267" s="139"/>
      <c r="M267" s="139"/>
      <c r="N267" s="140"/>
    </row>
    <row r="268" spans="1:15" ht="15" customHeight="1" x14ac:dyDescent="0.25">
      <c r="A268" s="54">
        <v>45256</v>
      </c>
      <c r="B268" s="25">
        <f t="shared" si="8"/>
        <v>11</v>
      </c>
      <c r="C268" s="25">
        <f t="shared" si="9"/>
        <v>2023</v>
      </c>
      <c r="D268" s="71" t="s">
        <v>502</v>
      </c>
      <c r="E268" s="4" t="s">
        <v>93</v>
      </c>
      <c r="F268" s="4" t="s">
        <v>543</v>
      </c>
      <c r="G268" s="4"/>
      <c r="H268" s="7" t="s">
        <v>545</v>
      </c>
      <c r="I268" s="60"/>
      <c r="J268" s="118"/>
      <c r="K268" s="118">
        <v>547200</v>
      </c>
      <c r="L268" s="118"/>
      <c r="M268" s="118"/>
      <c r="N268" s="127"/>
      <c r="O268" s="26"/>
    </row>
    <row r="269" spans="1:15" ht="15" customHeight="1" x14ac:dyDescent="0.25">
      <c r="A269" s="54">
        <v>45257</v>
      </c>
      <c r="B269" s="25">
        <f t="shared" si="8"/>
        <v>11</v>
      </c>
      <c r="C269" s="25">
        <f t="shared" si="9"/>
        <v>2023</v>
      </c>
      <c r="D269" s="71" t="s">
        <v>89</v>
      </c>
      <c r="E269" s="4" t="s">
        <v>93</v>
      </c>
      <c r="F269" s="4" t="s">
        <v>551</v>
      </c>
      <c r="G269" s="4"/>
      <c r="H269" s="7" t="s">
        <v>130</v>
      </c>
      <c r="I269" s="60"/>
      <c r="J269" s="118">
        <v>43300</v>
      </c>
      <c r="K269" s="118"/>
      <c r="L269" s="118"/>
      <c r="M269" s="118"/>
      <c r="N269" s="127"/>
      <c r="O269" s="26"/>
    </row>
    <row r="270" spans="1:15" ht="15" customHeight="1" x14ac:dyDescent="0.25">
      <c r="A270" s="54">
        <v>45258</v>
      </c>
      <c r="B270" s="25">
        <f t="shared" si="8"/>
        <v>11</v>
      </c>
      <c r="C270" s="25">
        <f t="shared" si="9"/>
        <v>2023</v>
      </c>
      <c r="D270" s="71" t="s">
        <v>89</v>
      </c>
      <c r="E270" s="4" t="s">
        <v>93</v>
      </c>
      <c r="F270" s="4" t="s">
        <v>462</v>
      </c>
      <c r="G270" s="4"/>
      <c r="H270" s="7" t="s">
        <v>130</v>
      </c>
      <c r="I270" s="60"/>
      <c r="J270" s="118">
        <v>52000</v>
      </c>
      <c r="K270" s="118"/>
      <c r="L270" s="118"/>
      <c r="M270" s="118"/>
      <c r="N270" s="127"/>
      <c r="O270" s="26"/>
    </row>
    <row r="271" spans="1:15" ht="15" customHeight="1" x14ac:dyDescent="0.25">
      <c r="A271" s="54">
        <v>45258</v>
      </c>
      <c r="B271" s="25">
        <f t="shared" si="8"/>
        <v>11</v>
      </c>
      <c r="C271" s="25">
        <f t="shared" si="9"/>
        <v>2023</v>
      </c>
      <c r="D271" s="71" t="s">
        <v>89</v>
      </c>
      <c r="E271" s="4" t="s">
        <v>93</v>
      </c>
      <c r="F271" s="4" t="s">
        <v>560</v>
      </c>
      <c r="G271" s="4"/>
      <c r="H271" s="7" t="s">
        <v>130</v>
      </c>
      <c r="I271" s="60"/>
      <c r="J271" s="118">
        <v>30000</v>
      </c>
      <c r="K271" s="118"/>
      <c r="L271" s="118"/>
      <c r="M271" s="118"/>
      <c r="N271" s="127"/>
      <c r="O271" s="26"/>
    </row>
    <row r="272" spans="1:15" ht="15" customHeight="1" x14ac:dyDescent="0.25">
      <c r="A272" s="54">
        <v>45260</v>
      </c>
      <c r="B272" s="25">
        <f t="shared" si="8"/>
        <v>11</v>
      </c>
      <c r="C272" s="25">
        <f t="shared" si="9"/>
        <v>2023</v>
      </c>
      <c r="D272" s="71" t="s">
        <v>89</v>
      </c>
      <c r="E272" s="4" t="s">
        <v>93</v>
      </c>
      <c r="F272" s="4" t="s">
        <v>561</v>
      </c>
      <c r="G272" s="4"/>
      <c r="H272" s="7" t="s">
        <v>130</v>
      </c>
      <c r="I272" s="60"/>
      <c r="J272" s="118">
        <v>90000</v>
      </c>
      <c r="K272" s="118"/>
      <c r="L272" s="118"/>
      <c r="M272" s="118"/>
      <c r="N272" s="127"/>
      <c r="O272" s="26"/>
    </row>
    <row r="273" spans="1:15" ht="15" customHeight="1" x14ac:dyDescent="0.25">
      <c r="A273" s="54">
        <v>45260</v>
      </c>
      <c r="B273" s="25">
        <f t="shared" si="8"/>
        <v>11</v>
      </c>
      <c r="C273" s="25">
        <f t="shared" si="9"/>
        <v>2023</v>
      </c>
      <c r="D273" s="71" t="s">
        <v>89</v>
      </c>
      <c r="E273" s="4" t="s">
        <v>93</v>
      </c>
      <c r="F273" s="4" t="s">
        <v>397</v>
      </c>
      <c r="G273" s="4"/>
      <c r="H273" s="7" t="s">
        <v>131</v>
      </c>
      <c r="I273" s="60"/>
      <c r="J273" s="118">
        <v>44400</v>
      </c>
      <c r="K273" s="118"/>
      <c r="L273" s="118"/>
      <c r="M273" s="118"/>
      <c r="N273" s="127"/>
      <c r="O273" s="26"/>
    </row>
    <row r="274" spans="1:15" ht="15" customHeight="1" x14ac:dyDescent="0.25">
      <c r="A274" s="93">
        <v>45260</v>
      </c>
      <c r="B274" s="25">
        <f t="shared" si="8"/>
        <v>11</v>
      </c>
      <c r="C274" s="25">
        <f t="shared" si="9"/>
        <v>2023</v>
      </c>
      <c r="D274" s="124" t="s">
        <v>420</v>
      </c>
      <c r="E274" s="125" t="s">
        <v>92</v>
      </c>
      <c r="F274" s="125" t="s">
        <v>675</v>
      </c>
      <c r="G274" s="125"/>
      <c r="H274" s="95" t="s">
        <v>420</v>
      </c>
      <c r="I274" s="95"/>
      <c r="J274" s="139"/>
      <c r="K274" s="139">
        <v>23000</v>
      </c>
      <c r="L274" s="139"/>
      <c r="M274" s="139"/>
      <c r="N274" s="140"/>
    </row>
    <row r="275" spans="1:15" ht="15" customHeight="1" x14ac:dyDescent="0.25">
      <c r="A275" s="93">
        <v>45260</v>
      </c>
      <c r="B275" s="25">
        <f t="shared" si="8"/>
        <v>11</v>
      </c>
      <c r="C275" s="25">
        <f t="shared" si="9"/>
        <v>2023</v>
      </c>
      <c r="D275" s="124" t="s">
        <v>420</v>
      </c>
      <c r="E275" s="125" t="s">
        <v>92</v>
      </c>
      <c r="F275" s="125" t="s">
        <v>624</v>
      </c>
      <c r="G275" s="125"/>
      <c r="H275" s="95" t="s">
        <v>420</v>
      </c>
      <c r="I275" s="95"/>
      <c r="J275" s="139"/>
      <c r="K275" s="139">
        <v>5500</v>
      </c>
      <c r="L275" s="139"/>
      <c r="M275" s="139"/>
      <c r="N275" s="140"/>
    </row>
    <row r="276" spans="1:15" ht="15" customHeight="1" x14ac:dyDescent="0.25">
      <c r="A276" s="54">
        <v>45261</v>
      </c>
      <c r="B276" s="25">
        <f t="shared" si="8"/>
        <v>12</v>
      </c>
      <c r="C276" s="25">
        <f t="shared" si="9"/>
        <v>2023</v>
      </c>
      <c r="D276" s="71" t="s">
        <v>89</v>
      </c>
      <c r="E276" s="4" t="s">
        <v>93</v>
      </c>
      <c r="F276" s="4" t="s">
        <v>564</v>
      </c>
      <c r="G276" s="4"/>
      <c r="H276" s="7" t="s">
        <v>130</v>
      </c>
      <c r="I276" s="60"/>
      <c r="J276" s="118">
        <v>55000</v>
      </c>
      <c r="K276" s="118"/>
      <c r="L276" s="118"/>
      <c r="M276" s="118"/>
      <c r="N276" s="127"/>
      <c r="O276" s="26"/>
    </row>
    <row r="277" spans="1:15" ht="15" customHeight="1" x14ac:dyDescent="0.25">
      <c r="A277" s="93">
        <v>45261</v>
      </c>
      <c r="B277" s="25">
        <f t="shared" si="8"/>
        <v>12</v>
      </c>
      <c r="C277" s="25">
        <f t="shared" si="9"/>
        <v>2023</v>
      </c>
      <c r="D277" s="124" t="s">
        <v>420</v>
      </c>
      <c r="E277" s="125" t="s">
        <v>92</v>
      </c>
      <c r="F277" s="125" t="s">
        <v>701</v>
      </c>
      <c r="G277" s="125"/>
      <c r="H277" s="95" t="s">
        <v>420</v>
      </c>
      <c r="I277" s="95"/>
      <c r="J277" s="139"/>
      <c r="K277" s="139">
        <v>60000</v>
      </c>
      <c r="L277" s="139"/>
      <c r="M277" s="139"/>
      <c r="N277" s="140"/>
    </row>
    <row r="278" spans="1:15" ht="15" customHeight="1" x14ac:dyDescent="0.25">
      <c r="A278" s="54">
        <v>45262</v>
      </c>
      <c r="B278" s="25">
        <f t="shared" si="8"/>
        <v>12</v>
      </c>
      <c r="C278" s="25">
        <f t="shared" si="9"/>
        <v>2023</v>
      </c>
      <c r="D278" s="71" t="s">
        <v>89</v>
      </c>
      <c r="E278" s="4" t="s">
        <v>93</v>
      </c>
      <c r="F278" s="4" t="s">
        <v>449</v>
      </c>
      <c r="G278" s="4"/>
      <c r="H278" s="7" t="s">
        <v>130</v>
      </c>
      <c r="I278" s="60"/>
      <c r="J278" s="118">
        <v>93000</v>
      </c>
      <c r="K278" s="118"/>
      <c r="L278" s="118"/>
      <c r="M278" s="118"/>
      <c r="N278" s="127"/>
      <c r="O278" s="26"/>
    </row>
    <row r="279" spans="1:15" ht="15" customHeight="1" x14ac:dyDescent="0.25">
      <c r="A279" s="93">
        <v>45262</v>
      </c>
      <c r="B279" s="25">
        <f t="shared" si="8"/>
        <v>12</v>
      </c>
      <c r="C279" s="25">
        <f t="shared" si="9"/>
        <v>2023</v>
      </c>
      <c r="D279" s="124" t="s">
        <v>420</v>
      </c>
      <c r="E279" s="125" t="s">
        <v>92</v>
      </c>
      <c r="F279" s="125" t="s">
        <v>675</v>
      </c>
      <c r="G279" s="125"/>
      <c r="H279" s="95" t="s">
        <v>420</v>
      </c>
      <c r="I279" s="95"/>
      <c r="J279" s="139"/>
      <c r="K279" s="139">
        <v>11000</v>
      </c>
      <c r="L279" s="139"/>
      <c r="M279" s="139"/>
      <c r="N279" s="140"/>
    </row>
    <row r="280" spans="1:15" ht="15" customHeight="1" x14ac:dyDescent="0.25">
      <c r="A280" s="93">
        <v>45262</v>
      </c>
      <c r="B280" s="25">
        <f t="shared" si="8"/>
        <v>12</v>
      </c>
      <c r="C280" s="25">
        <f t="shared" si="9"/>
        <v>2023</v>
      </c>
      <c r="D280" s="124" t="s">
        <v>420</v>
      </c>
      <c r="E280" s="125" t="s">
        <v>92</v>
      </c>
      <c r="F280" s="125" t="s">
        <v>707</v>
      </c>
      <c r="G280" s="125"/>
      <c r="H280" s="95" t="s">
        <v>420</v>
      </c>
      <c r="I280" s="95"/>
      <c r="J280" s="139"/>
      <c r="K280" s="139">
        <v>289930</v>
      </c>
      <c r="L280" s="139"/>
      <c r="M280" s="139"/>
      <c r="N280" s="140"/>
    </row>
    <row r="281" spans="1:15" ht="15" customHeight="1" x14ac:dyDescent="0.25">
      <c r="A281" s="93">
        <v>45263</v>
      </c>
      <c r="B281" s="25">
        <f t="shared" si="8"/>
        <v>12</v>
      </c>
      <c r="C281" s="25">
        <f t="shared" si="9"/>
        <v>2023</v>
      </c>
      <c r="D281" s="124" t="s">
        <v>420</v>
      </c>
      <c r="E281" s="125" t="s">
        <v>92</v>
      </c>
      <c r="F281" s="125" t="s">
        <v>707</v>
      </c>
      <c r="G281" s="125"/>
      <c r="H281" s="95" t="s">
        <v>420</v>
      </c>
      <c r="I281" s="95"/>
      <c r="J281" s="139"/>
      <c r="K281" s="139">
        <v>55340</v>
      </c>
      <c r="L281" s="139"/>
      <c r="M281" s="139"/>
      <c r="N281" s="140"/>
    </row>
    <row r="282" spans="1:15" ht="15" customHeight="1" x14ac:dyDescent="0.25">
      <c r="A282" s="93">
        <v>45264</v>
      </c>
      <c r="B282" s="25">
        <f t="shared" si="8"/>
        <v>12</v>
      </c>
      <c r="C282" s="25">
        <f t="shared" si="9"/>
        <v>2023</v>
      </c>
      <c r="D282" s="124" t="s">
        <v>420</v>
      </c>
      <c r="E282" s="125" t="s">
        <v>92</v>
      </c>
      <c r="F282" s="125" t="s">
        <v>708</v>
      </c>
      <c r="G282" s="125"/>
      <c r="H282" s="95" t="s">
        <v>420</v>
      </c>
      <c r="I282" s="95"/>
      <c r="J282" s="139"/>
      <c r="K282" s="139">
        <v>30000</v>
      </c>
      <c r="L282" s="139"/>
      <c r="M282" s="139"/>
      <c r="N282" s="140"/>
    </row>
    <row r="283" spans="1:15" ht="15" customHeight="1" x14ac:dyDescent="0.25">
      <c r="A283" s="54">
        <v>45265</v>
      </c>
      <c r="B283" s="25">
        <f t="shared" si="8"/>
        <v>12</v>
      </c>
      <c r="C283" s="25">
        <f t="shared" si="9"/>
        <v>2023</v>
      </c>
      <c r="D283" s="71" t="s">
        <v>92</v>
      </c>
      <c r="E283" s="4" t="s">
        <v>92</v>
      </c>
      <c r="F283" s="4" t="s">
        <v>630</v>
      </c>
      <c r="G283" s="4"/>
      <c r="H283" s="7" t="s">
        <v>545</v>
      </c>
      <c r="I283" s="60"/>
      <c r="J283" s="118"/>
      <c r="K283" s="118">
        <v>17140.900000000001</v>
      </c>
      <c r="L283" s="118"/>
      <c r="M283" s="118"/>
      <c r="N283" s="127"/>
      <c r="O283" s="26"/>
    </row>
    <row r="284" spans="1:15" ht="15" customHeight="1" x14ac:dyDescent="0.25">
      <c r="A284" s="54">
        <v>45265</v>
      </c>
      <c r="B284" s="25">
        <f t="shared" si="8"/>
        <v>12</v>
      </c>
      <c r="C284" s="25">
        <f t="shared" si="9"/>
        <v>2023</v>
      </c>
      <c r="D284" s="71" t="s">
        <v>610</v>
      </c>
      <c r="E284" s="4" t="s">
        <v>93</v>
      </c>
      <c r="F284" s="4" t="s">
        <v>631</v>
      </c>
      <c r="G284" s="4"/>
      <c r="H284" s="7" t="s">
        <v>545</v>
      </c>
      <c r="I284" s="60"/>
      <c r="J284" s="118"/>
      <c r="K284" s="118">
        <v>14100.28</v>
      </c>
      <c r="L284" s="118"/>
      <c r="M284" s="118"/>
      <c r="N284" s="127"/>
      <c r="O284" s="26"/>
    </row>
    <row r="285" spans="1:15" ht="15" customHeight="1" x14ac:dyDescent="0.25">
      <c r="A285" s="54">
        <v>45265</v>
      </c>
      <c r="B285" s="25">
        <f t="shared" si="8"/>
        <v>12</v>
      </c>
      <c r="C285" s="25">
        <f t="shared" si="9"/>
        <v>2023</v>
      </c>
      <c r="D285" s="71" t="s">
        <v>610</v>
      </c>
      <c r="E285" s="4" t="s">
        <v>93</v>
      </c>
      <c r="F285" s="4" t="s">
        <v>632</v>
      </c>
      <c r="G285" s="4"/>
      <c r="H285" s="7" t="s">
        <v>545</v>
      </c>
      <c r="I285" s="60"/>
      <c r="J285" s="118"/>
      <c r="K285" s="118">
        <v>48541.45</v>
      </c>
      <c r="L285" s="118"/>
      <c r="M285" s="118"/>
      <c r="N285" s="127"/>
      <c r="O285" s="26"/>
    </row>
    <row r="286" spans="1:15" ht="15" customHeight="1" x14ac:dyDescent="0.25">
      <c r="A286" s="54">
        <v>45265</v>
      </c>
      <c r="B286" s="25">
        <f t="shared" si="8"/>
        <v>12</v>
      </c>
      <c r="C286" s="25">
        <f t="shared" si="9"/>
        <v>2023</v>
      </c>
      <c r="D286" s="71" t="s">
        <v>352</v>
      </c>
      <c r="E286" s="4" t="s">
        <v>93</v>
      </c>
      <c r="F286" s="4" t="s">
        <v>634</v>
      </c>
      <c r="G286" s="4"/>
      <c r="H286" s="7" t="s">
        <v>130</v>
      </c>
      <c r="I286" s="60"/>
      <c r="J286" s="118">
        <v>108500</v>
      </c>
      <c r="K286" s="118"/>
      <c r="L286" s="118"/>
      <c r="M286" s="118"/>
      <c r="N286" s="127"/>
      <c r="O286" s="26"/>
    </row>
    <row r="287" spans="1:15" ht="15" customHeight="1" x14ac:dyDescent="0.25">
      <c r="A287" s="93">
        <v>45266</v>
      </c>
      <c r="B287" s="25">
        <f t="shared" si="8"/>
        <v>12</v>
      </c>
      <c r="C287" s="25">
        <f t="shared" si="9"/>
        <v>2023</v>
      </c>
      <c r="D287" s="124" t="s">
        <v>420</v>
      </c>
      <c r="E287" s="125" t="s">
        <v>92</v>
      </c>
      <c r="F287" s="125" t="s">
        <v>624</v>
      </c>
      <c r="G287" s="125"/>
      <c r="H287" s="95" t="s">
        <v>420</v>
      </c>
      <c r="I287" s="95"/>
      <c r="J287" s="139"/>
      <c r="K287" s="139">
        <v>5500</v>
      </c>
      <c r="L287" s="139"/>
      <c r="M287" s="139"/>
      <c r="N287" s="140"/>
    </row>
    <row r="288" spans="1:15" ht="15" customHeight="1" x14ac:dyDescent="0.25">
      <c r="A288" s="54">
        <v>45267</v>
      </c>
      <c r="B288" s="25">
        <f t="shared" si="8"/>
        <v>12</v>
      </c>
      <c r="C288" s="25">
        <f t="shared" si="9"/>
        <v>2023</v>
      </c>
      <c r="D288" s="7" t="s">
        <v>92</v>
      </c>
      <c r="E288" s="4" t="s">
        <v>92</v>
      </c>
      <c r="F288" s="4" t="s">
        <v>296</v>
      </c>
      <c r="G288" s="4"/>
      <c r="H288" s="7" t="s">
        <v>545</v>
      </c>
      <c r="I288" s="60"/>
      <c r="J288" s="118"/>
      <c r="K288" s="118">
        <v>159580</v>
      </c>
      <c r="L288" s="118"/>
      <c r="M288" s="118"/>
      <c r="N288" s="127"/>
      <c r="O288" s="26"/>
    </row>
    <row r="289" spans="1:15" ht="15" customHeight="1" x14ac:dyDescent="0.25">
      <c r="A289" s="93">
        <v>45267</v>
      </c>
      <c r="B289" s="25">
        <f t="shared" si="8"/>
        <v>12</v>
      </c>
      <c r="C289" s="25">
        <f t="shared" si="9"/>
        <v>2023</v>
      </c>
      <c r="D289" s="124" t="s">
        <v>420</v>
      </c>
      <c r="E289" s="125" t="s">
        <v>92</v>
      </c>
      <c r="F289" s="125" t="s">
        <v>624</v>
      </c>
      <c r="G289" s="125"/>
      <c r="H289" s="95" t="s">
        <v>420</v>
      </c>
      <c r="I289" s="95"/>
      <c r="J289" s="139"/>
      <c r="K289" s="139">
        <v>10500</v>
      </c>
      <c r="L289" s="139"/>
      <c r="M289" s="139"/>
      <c r="N289" s="140"/>
    </row>
    <row r="290" spans="1:15" ht="15" customHeight="1" x14ac:dyDescent="0.25">
      <c r="A290" s="54">
        <v>45268</v>
      </c>
      <c r="B290" s="25">
        <f t="shared" si="8"/>
        <v>12</v>
      </c>
      <c r="C290" s="25">
        <f t="shared" si="9"/>
        <v>2023</v>
      </c>
      <c r="D290" s="71" t="s">
        <v>501</v>
      </c>
      <c r="E290" s="4" t="s">
        <v>93</v>
      </c>
      <c r="F290" s="4"/>
      <c r="G290" s="4"/>
      <c r="H290" s="7" t="s">
        <v>130</v>
      </c>
      <c r="I290" s="60"/>
      <c r="J290" s="118"/>
      <c r="K290" s="118">
        <v>220000</v>
      </c>
      <c r="L290" s="118"/>
      <c r="M290" s="118"/>
      <c r="N290" s="127"/>
      <c r="O290" s="26"/>
    </row>
    <row r="291" spans="1:15" ht="15" customHeight="1" x14ac:dyDescent="0.25">
      <c r="A291" s="54">
        <v>45268</v>
      </c>
      <c r="B291" s="25">
        <f t="shared" si="8"/>
        <v>12</v>
      </c>
      <c r="C291" s="25">
        <f t="shared" si="9"/>
        <v>2023</v>
      </c>
      <c r="D291" s="71" t="s">
        <v>500</v>
      </c>
      <c r="E291" s="4" t="s">
        <v>93</v>
      </c>
      <c r="F291" s="4"/>
      <c r="G291" s="4"/>
      <c r="H291" s="7" t="s">
        <v>130</v>
      </c>
      <c r="I291" s="60"/>
      <c r="J291" s="118"/>
      <c r="K291" s="118">
        <v>50000</v>
      </c>
      <c r="L291" s="118"/>
      <c r="M291" s="118"/>
      <c r="N291" s="127"/>
      <c r="O291" s="26"/>
    </row>
    <row r="292" spans="1:15" ht="15" customHeight="1" x14ac:dyDescent="0.25">
      <c r="A292" s="54">
        <v>45269</v>
      </c>
      <c r="B292" s="25">
        <f t="shared" si="8"/>
        <v>12</v>
      </c>
      <c r="C292" s="25">
        <f t="shared" si="9"/>
        <v>2023</v>
      </c>
      <c r="D292" s="71" t="s">
        <v>352</v>
      </c>
      <c r="E292" s="4" t="s">
        <v>93</v>
      </c>
      <c r="F292" s="4" t="s">
        <v>517</v>
      </c>
      <c r="G292" s="4"/>
      <c r="H292" s="7" t="s">
        <v>130</v>
      </c>
      <c r="I292" s="60"/>
      <c r="J292" s="118">
        <v>100000</v>
      </c>
      <c r="K292" s="118"/>
      <c r="L292" s="118"/>
      <c r="M292" s="118"/>
      <c r="N292" s="127"/>
      <c r="O292" s="26"/>
    </row>
    <row r="293" spans="1:15" ht="15" customHeight="1" x14ac:dyDescent="0.25">
      <c r="A293" s="93">
        <v>45269</v>
      </c>
      <c r="B293" s="25">
        <f t="shared" si="8"/>
        <v>12</v>
      </c>
      <c r="C293" s="25">
        <f t="shared" si="9"/>
        <v>2023</v>
      </c>
      <c r="D293" s="124" t="s">
        <v>420</v>
      </c>
      <c r="E293" s="125" t="s">
        <v>92</v>
      </c>
      <c r="F293" s="125" t="s">
        <v>624</v>
      </c>
      <c r="G293" s="125"/>
      <c r="H293" s="95" t="s">
        <v>420</v>
      </c>
      <c r="I293" s="95"/>
      <c r="J293" s="139"/>
      <c r="K293" s="139">
        <v>84200</v>
      </c>
      <c r="L293" s="139"/>
      <c r="M293" s="139"/>
      <c r="N293" s="140"/>
    </row>
    <row r="294" spans="1:15" ht="15" customHeight="1" x14ac:dyDescent="0.25">
      <c r="A294" s="54">
        <v>45271</v>
      </c>
      <c r="B294" s="25">
        <f t="shared" si="8"/>
        <v>12</v>
      </c>
      <c r="C294" s="25">
        <f t="shared" si="9"/>
        <v>2023</v>
      </c>
      <c r="D294" s="71" t="s">
        <v>352</v>
      </c>
      <c r="E294" s="4" t="s">
        <v>93</v>
      </c>
      <c r="F294" s="4" t="s">
        <v>450</v>
      </c>
      <c r="G294" s="4"/>
      <c r="H294" s="7" t="s">
        <v>131</v>
      </c>
      <c r="I294" s="60"/>
      <c r="J294" s="118">
        <v>39325</v>
      </c>
      <c r="K294" s="118"/>
      <c r="L294" s="118"/>
      <c r="M294" s="118"/>
      <c r="N294" s="127"/>
      <c r="O294" s="26"/>
    </row>
    <row r="295" spans="1:15" ht="15" customHeight="1" x14ac:dyDescent="0.25">
      <c r="A295" s="54">
        <v>45271</v>
      </c>
      <c r="B295" s="25">
        <f t="shared" si="8"/>
        <v>12</v>
      </c>
      <c r="C295" s="25">
        <f t="shared" si="9"/>
        <v>2023</v>
      </c>
      <c r="D295" s="71" t="s">
        <v>352</v>
      </c>
      <c r="E295" s="4" t="s">
        <v>93</v>
      </c>
      <c r="F295" s="4" t="s">
        <v>580</v>
      </c>
      <c r="G295" s="4"/>
      <c r="H295" s="7" t="s">
        <v>131</v>
      </c>
      <c r="I295" s="60"/>
      <c r="J295" s="118">
        <v>12000</v>
      </c>
      <c r="K295" s="118"/>
      <c r="L295" s="118"/>
      <c r="M295" s="118"/>
      <c r="N295" s="127"/>
      <c r="O295" s="26"/>
    </row>
    <row r="296" spans="1:15" ht="15" customHeight="1" x14ac:dyDescent="0.25">
      <c r="A296" s="54">
        <v>45271</v>
      </c>
      <c r="B296" s="25">
        <f t="shared" si="8"/>
        <v>12</v>
      </c>
      <c r="C296" s="25">
        <f t="shared" si="9"/>
        <v>2023</v>
      </c>
      <c r="D296" s="71" t="s">
        <v>352</v>
      </c>
      <c r="E296" s="4" t="s">
        <v>93</v>
      </c>
      <c r="F296" s="4" t="s">
        <v>580</v>
      </c>
      <c r="G296" s="4"/>
      <c r="H296" s="7" t="s">
        <v>131</v>
      </c>
      <c r="I296" s="60"/>
      <c r="J296" s="118">
        <v>10000</v>
      </c>
      <c r="K296" s="118"/>
      <c r="L296" s="118"/>
      <c r="M296" s="118"/>
      <c r="N296" s="127"/>
      <c r="O296" s="26"/>
    </row>
    <row r="297" spans="1:15" ht="15" customHeight="1" x14ac:dyDescent="0.25">
      <c r="A297" s="54">
        <v>45271</v>
      </c>
      <c r="B297" s="25">
        <f t="shared" si="8"/>
        <v>12</v>
      </c>
      <c r="C297" s="25">
        <f t="shared" si="9"/>
        <v>2023</v>
      </c>
      <c r="D297" s="71" t="s">
        <v>352</v>
      </c>
      <c r="E297" s="4" t="s">
        <v>93</v>
      </c>
      <c r="F297" s="4" t="s">
        <v>581</v>
      </c>
      <c r="G297" s="4"/>
      <c r="H297" s="7" t="s">
        <v>130</v>
      </c>
      <c r="I297" s="60"/>
      <c r="J297" s="118">
        <v>179605</v>
      </c>
      <c r="K297" s="118"/>
      <c r="L297" s="118"/>
      <c r="M297" s="118"/>
      <c r="N297" s="127"/>
      <c r="O297" s="26"/>
    </row>
    <row r="298" spans="1:15" ht="15" customHeight="1" x14ac:dyDescent="0.25">
      <c r="A298" s="54">
        <v>45271</v>
      </c>
      <c r="B298" s="25">
        <f t="shared" si="8"/>
        <v>12</v>
      </c>
      <c r="C298" s="25">
        <f t="shared" si="9"/>
        <v>2023</v>
      </c>
      <c r="D298" s="71" t="s">
        <v>352</v>
      </c>
      <c r="E298" s="4" t="s">
        <v>93</v>
      </c>
      <c r="F298" s="4" t="s">
        <v>641</v>
      </c>
      <c r="G298" s="4"/>
      <c r="H298" s="7" t="s">
        <v>130</v>
      </c>
      <c r="I298" s="60"/>
      <c r="J298" s="118">
        <v>100000</v>
      </c>
      <c r="K298" s="118"/>
      <c r="L298" s="118"/>
      <c r="M298" s="118"/>
      <c r="N298" s="127"/>
      <c r="O298" s="26"/>
    </row>
    <row r="299" spans="1:15" ht="15" customHeight="1" x14ac:dyDescent="0.25">
      <c r="A299" s="54">
        <v>45272</v>
      </c>
      <c r="B299" s="25">
        <f t="shared" si="8"/>
        <v>12</v>
      </c>
      <c r="C299" s="25">
        <f t="shared" si="9"/>
        <v>2023</v>
      </c>
      <c r="D299" s="71" t="s">
        <v>89</v>
      </c>
      <c r="E299" s="4" t="s">
        <v>93</v>
      </c>
      <c r="F299" s="4" t="s">
        <v>583</v>
      </c>
      <c r="G299" s="4"/>
      <c r="H299" s="7" t="s">
        <v>131</v>
      </c>
      <c r="I299" s="60"/>
      <c r="J299" s="118">
        <v>89000</v>
      </c>
      <c r="K299" s="118"/>
      <c r="L299" s="118"/>
      <c r="M299" s="118"/>
      <c r="N299" s="127"/>
      <c r="O299" s="26"/>
    </row>
    <row r="300" spans="1:15" ht="15" customHeight="1" x14ac:dyDescent="0.25">
      <c r="A300" s="54">
        <v>45272</v>
      </c>
      <c r="B300" s="25">
        <f t="shared" si="8"/>
        <v>12</v>
      </c>
      <c r="C300" s="25">
        <f t="shared" si="9"/>
        <v>2023</v>
      </c>
      <c r="D300" s="71" t="s">
        <v>352</v>
      </c>
      <c r="E300" s="4" t="s">
        <v>93</v>
      </c>
      <c r="F300" s="4" t="s">
        <v>640</v>
      </c>
      <c r="G300" s="4"/>
      <c r="H300" s="7" t="s">
        <v>545</v>
      </c>
      <c r="I300" s="60"/>
      <c r="J300" s="118">
        <v>218740</v>
      </c>
      <c r="K300" s="118"/>
      <c r="L300" s="118"/>
      <c r="M300" s="118"/>
      <c r="N300" s="127"/>
      <c r="O300" s="26"/>
    </row>
    <row r="301" spans="1:15" ht="15" customHeight="1" x14ac:dyDescent="0.25">
      <c r="A301" s="54">
        <v>45273</v>
      </c>
      <c r="B301" s="25">
        <f t="shared" si="8"/>
        <v>12</v>
      </c>
      <c r="C301" s="25">
        <f t="shared" si="9"/>
        <v>2023</v>
      </c>
      <c r="D301" s="71" t="s">
        <v>124</v>
      </c>
      <c r="E301" s="4" t="s">
        <v>93</v>
      </c>
      <c r="F301" s="4"/>
      <c r="G301" s="4" t="s">
        <v>553</v>
      </c>
      <c r="H301" s="7" t="s">
        <v>131</v>
      </c>
      <c r="I301" s="60"/>
      <c r="J301" s="118"/>
      <c r="K301" s="118">
        <v>39325</v>
      </c>
      <c r="L301" s="118"/>
      <c r="M301" s="118"/>
      <c r="N301" s="127"/>
      <c r="O301" s="26"/>
    </row>
    <row r="302" spans="1:15" ht="15" customHeight="1" x14ac:dyDescent="0.25">
      <c r="A302" s="54">
        <v>45273</v>
      </c>
      <c r="B302" s="25">
        <f t="shared" si="8"/>
        <v>12</v>
      </c>
      <c r="C302" s="25">
        <f t="shared" si="9"/>
        <v>2023</v>
      </c>
      <c r="D302" s="71" t="s">
        <v>124</v>
      </c>
      <c r="E302" s="4" t="s">
        <v>93</v>
      </c>
      <c r="F302" s="4"/>
      <c r="G302" s="4" t="s">
        <v>553</v>
      </c>
      <c r="H302" s="7" t="s">
        <v>131</v>
      </c>
      <c r="I302" s="60"/>
      <c r="J302" s="118"/>
      <c r="K302" s="118">
        <v>44400</v>
      </c>
      <c r="L302" s="118"/>
      <c r="M302" s="118"/>
      <c r="N302" s="127"/>
      <c r="O302" s="26"/>
    </row>
    <row r="303" spans="1:15" ht="15" customHeight="1" x14ac:dyDescent="0.25">
      <c r="A303" s="54">
        <v>45273</v>
      </c>
      <c r="B303" s="25">
        <f t="shared" si="8"/>
        <v>12</v>
      </c>
      <c r="C303" s="25">
        <f t="shared" si="9"/>
        <v>2023</v>
      </c>
      <c r="D303" s="71" t="s">
        <v>124</v>
      </c>
      <c r="E303" s="4" t="s">
        <v>93</v>
      </c>
      <c r="F303" s="4"/>
      <c r="G303" s="4" t="s">
        <v>553</v>
      </c>
      <c r="H303" s="7" t="s">
        <v>131</v>
      </c>
      <c r="I303" s="60"/>
      <c r="J303" s="118"/>
      <c r="K303" s="118">
        <v>10000</v>
      </c>
      <c r="L303" s="118"/>
      <c r="M303" s="118"/>
      <c r="N303" s="127"/>
      <c r="O303" s="26"/>
    </row>
    <row r="304" spans="1:15" ht="15" customHeight="1" x14ac:dyDescent="0.25">
      <c r="A304" s="54">
        <v>45273</v>
      </c>
      <c r="B304" s="25">
        <f t="shared" si="8"/>
        <v>12</v>
      </c>
      <c r="C304" s="25">
        <f t="shared" si="9"/>
        <v>2023</v>
      </c>
      <c r="D304" s="71" t="s">
        <v>124</v>
      </c>
      <c r="E304" s="4" t="s">
        <v>93</v>
      </c>
      <c r="F304" s="4"/>
      <c r="G304" s="4" t="s">
        <v>553</v>
      </c>
      <c r="H304" s="7" t="s">
        <v>131</v>
      </c>
      <c r="I304" s="60"/>
      <c r="J304" s="118"/>
      <c r="K304" s="118">
        <v>12000</v>
      </c>
      <c r="L304" s="118"/>
      <c r="M304" s="118"/>
      <c r="N304" s="127"/>
      <c r="O304" s="26"/>
    </row>
    <row r="305" spans="1:15" ht="15" customHeight="1" x14ac:dyDescent="0.25">
      <c r="A305" s="54">
        <v>45273</v>
      </c>
      <c r="B305" s="25">
        <f t="shared" si="8"/>
        <v>12</v>
      </c>
      <c r="C305" s="25">
        <f t="shared" si="9"/>
        <v>2023</v>
      </c>
      <c r="D305" s="71" t="s">
        <v>124</v>
      </c>
      <c r="E305" s="4" t="s">
        <v>93</v>
      </c>
      <c r="F305" s="4"/>
      <c r="G305" s="4" t="s">
        <v>553</v>
      </c>
      <c r="H305" s="7" t="s">
        <v>131</v>
      </c>
      <c r="I305" s="60"/>
      <c r="J305" s="118"/>
      <c r="K305" s="118">
        <v>89000</v>
      </c>
      <c r="L305" s="118"/>
      <c r="M305" s="118"/>
      <c r="N305" s="127"/>
      <c r="O305" s="26"/>
    </row>
    <row r="306" spans="1:15" ht="15" customHeight="1" x14ac:dyDescent="0.25">
      <c r="A306" s="54">
        <v>45273</v>
      </c>
      <c r="B306" s="25">
        <f t="shared" si="8"/>
        <v>12</v>
      </c>
      <c r="C306" s="25">
        <f t="shared" si="9"/>
        <v>2023</v>
      </c>
      <c r="D306" s="71" t="s">
        <v>352</v>
      </c>
      <c r="E306" s="4" t="s">
        <v>93</v>
      </c>
      <c r="F306" s="4" t="s">
        <v>587</v>
      </c>
      <c r="G306" s="4"/>
      <c r="H306" s="7" t="s">
        <v>130</v>
      </c>
      <c r="I306" s="60"/>
      <c r="J306" s="118">
        <v>92500</v>
      </c>
      <c r="K306" s="118"/>
      <c r="L306" s="118"/>
      <c r="M306" s="118"/>
      <c r="N306" s="127"/>
      <c r="O306" s="26"/>
    </row>
    <row r="307" spans="1:15" ht="15" customHeight="1" x14ac:dyDescent="0.25">
      <c r="A307" s="54">
        <v>45273</v>
      </c>
      <c r="B307" s="25">
        <f t="shared" si="8"/>
        <v>12</v>
      </c>
      <c r="C307" s="25">
        <f t="shared" si="9"/>
        <v>2023</v>
      </c>
      <c r="D307" s="71" t="s">
        <v>352</v>
      </c>
      <c r="E307" s="4" t="s">
        <v>93</v>
      </c>
      <c r="F307" s="4" t="s">
        <v>639</v>
      </c>
      <c r="G307" s="4"/>
      <c r="H307" s="7" t="s">
        <v>130</v>
      </c>
      <c r="I307" s="60"/>
      <c r="J307" s="118">
        <v>21800</v>
      </c>
      <c r="K307" s="118"/>
      <c r="L307" s="118"/>
      <c r="M307" s="118"/>
      <c r="N307" s="127"/>
      <c r="O307" s="26"/>
    </row>
    <row r="308" spans="1:15" ht="15" customHeight="1" x14ac:dyDescent="0.25">
      <c r="A308" s="54">
        <v>45274</v>
      </c>
      <c r="B308" s="25">
        <f t="shared" si="8"/>
        <v>12</v>
      </c>
      <c r="C308" s="25">
        <f t="shared" si="9"/>
        <v>2023</v>
      </c>
      <c r="D308" s="71" t="s">
        <v>352</v>
      </c>
      <c r="E308" s="4" t="s">
        <v>93</v>
      </c>
      <c r="F308" s="4" t="s">
        <v>590</v>
      </c>
      <c r="G308" s="4"/>
      <c r="H308" s="7" t="s">
        <v>130</v>
      </c>
      <c r="I308" s="60"/>
      <c r="J308" s="118">
        <v>112600</v>
      </c>
      <c r="K308" s="118"/>
      <c r="L308" s="118"/>
      <c r="M308" s="118"/>
      <c r="N308" s="127"/>
      <c r="O308" s="26"/>
    </row>
    <row r="309" spans="1:15" ht="15" customHeight="1" x14ac:dyDescent="0.25">
      <c r="A309" s="54">
        <v>45274</v>
      </c>
      <c r="B309" s="25">
        <f t="shared" si="8"/>
        <v>12</v>
      </c>
      <c r="C309" s="25">
        <f t="shared" si="9"/>
        <v>2023</v>
      </c>
      <c r="D309" s="71" t="s">
        <v>352</v>
      </c>
      <c r="E309" s="4" t="s">
        <v>93</v>
      </c>
      <c r="F309" s="4" t="s">
        <v>591</v>
      </c>
      <c r="G309" s="4"/>
      <c r="H309" s="7" t="s">
        <v>545</v>
      </c>
      <c r="I309" s="60"/>
      <c r="J309" s="118">
        <v>128250</v>
      </c>
      <c r="K309" s="118"/>
      <c r="L309" s="118"/>
      <c r="M309" s="118"/>
      <c r="N309" s="127">
        <v>45278</v>
      </c>
      <c r="O309" s="26">
        <v>124992.09</v>
      </c>
    </row>
    <row r="310" spans="1:15" ht="15" customHeight="1" x14ac:dyDescent="0.25">
      <c r="A310" s="54">
        <v>45274</v>
      </c>
      <c r="B310" s="25">
        <f t="shared" si="8"/>
        <v>12</v>
      </c>
      <c r="C310" s="25">
        <f t="shared" si="9"/>
        <v>2023</v>
      </c>
      <c r="D310" s="71" t="s">
        <v>352</v>
      </c>
      <c r="E310" s="4" t="s">
        <v>93</v>
      </c>
      <c r="F310" s="4" t="s">
        <v>516</v>
      </c>
      <c r="G310" s="4"/>
      <c r="H310" s="7" t="s">
        <v>131</v>
      </c>
      <c r="I310" s="60"/>
      <c r="J310" s="118">
        <v>475106.5</v>
      </c>
      <c r="K310" s="118"/>
      <c r="L310" s="118"/>
      <c r="M310" s="118"/>
      <c r="N310" s="127"/>
      <c r="O310" s="26"/>
    </row>
    <row r="311" spans="1:15" ht="15" customHeight="1" x14ac:dyDescent="0.25">
      <c r="A311" s="54">
        <v>45274</v>
      </c>
      <c r="B311" s="25">
        <f t="shared" si="8"/>
        <v>12</v>
      </c>
      <c r="C311" s="25">
        <f t="shared" si="9"/>
        <v>2023</v>
      </c>
      <c r="D311" s="71" t="s">
        <v>89</v>
      </c>
      <c r="E311" s="4" t="s">
        <v>93</v>
      </c>
      <c r="F311" s="4" t="s">
        <v>441</v>
      </c>
      <c r="G311" s="4"/>
      <c r="H311" s="7" t="s">
        <v>130</v>
      </c>
      <c r="I311" s="60"/>
      <c r="J311" s="118">
        <v>91350</v>
      </c>
      <c r="K311" s="118"/>
      <c r="L311" s="118"/>
      <c r="M311" s="118"/>
      <c r="N311" s="127"/>
      <c r="O311" s="26"/>
    </row>
    <row r="312" spans="1:15" ht="15" customHeight="1" x14ac:dyDescent="0.25">
      <c r="A312" s="54">
        <v>45274</v>
      </c>
      <c r="B312" s="25">
        <f t="shared" si="8"/>
        <v>12</v>
      </c>
      <c r="C312" s="25">
        <f t="shared" si="9"/>
        <v>2023</v>
      </c>
      <c r="D312" s="71" t="s">
        <v>89</v>
      </c>
      <c r="E312" s="4" t="s">
        <v>93</v>
      </c>
      <c r="F312" s="4" t="s">
        <v>441</v>
      </c>
      <c r="G312" s="4"/>
      <c r="H312" s="7" t="s">
        <v>130</v>
      </c>
      <c r="I312" s="60"/>
      <c r="J312" s="118">
        <v>93950</v>
      </c>
      <c r="K312" s="118"/>
      <c r="L312" s="118"/>
      <c r="M312" s="118"/>
      <c r="N312" s="127"/>
      <c r="O312" s="26"/>
    </row>
    <row r="313" spans="1:15" ht="15" customHeight="1" x14ac:dyDescent="0.25">
      <c r="A313" s="54">
        <v>45274</v>
      </c>
      <c r="B313" s="25">
        <f t="shared" si="8"/>
        <v>12</v>
      </c>
      <c r="C313" s="25">
        <f t="shared" si="9"/>
        <v>2023</v>
      </c>
      <c r="D313" s="71" t="s">
        <v>124</v>
      </c>
      <c r="E313" s="4" t="s">
        <v>93</v>
      </c>
      <c r="F313" s="4"/>
      <c r="G313" s="4" t="s">
        <v>553</v>
      </c>
      <c r="H313" s="7" t="s">
        <v>130</v>
      </c>
      <c r="I313" s="60"/>
      <c r="J313" s="118"/>
      <c r="K313" s="118">
        <v>91350</v>
      </c>
      <c r="L313" s="118"/>
      <c r="M313" s="118"/>
      <c r="N313" s="127"/>
      <c r="O313" s="26"/>
    </row>
    <row r="314" spans="1:15" ht="15" customHeight="1" x14ac:dyDescent="0.25">
      <c r="A314" s="54">
        <v>45274</v>
      </c>
      <c r="B314" s="25">
        <f t="shared" si="8"/>
        <v>12</v>
      </c>
      <c r="C314" s="25">
        <f t="shared" si="9"/>
        <v>2023</v>
      </c>
      <c r="D314" s="71" t="s">
        <v>124</v>
      </c>
      <c r="E314" s="4" t="s">
        <v>93</v>
      </c>
      <c r="F314" s="4"/>
      <c r="G314" s="4" t="s">
        <v>553</v>
      </c>
      <c r="H314" s="7" t="s">
        <v>130</v>
      </c>
      <c r="I314" s="60"/>
      <c r="J314" s="118"/>
      <c r="K314" s="118">
        <v>93950</v>
      </c>
      <c r="L314" s="118"/>
      <c r="M314" s="118"/>
      <c r="N314" s="127"/>
      <c r="O314" s="26"/>
    </row>
    <row r="315" spans="1:15" ht="15" customHeight="1" x14ac:dyDescent="0.25">
      <c r="A315" s="54">
        <v>45274</v>
      </c>
      <c r="B315" s="25">
        <f t="shared" si="8"/>
        <v>12</v>
      </c>
      <c r="C315" s="25">
        <f t="shared" si="9"/>
        <v>2023</v>
      </c>
      <c r="D315" s="71" t="s">
        <v>149</v>
      </c>
      <c r="E315" s="4" t="s">
        <v>93</v>
      </c>
      <c r="F315" s="4" t="s">
        <v>593</v>
      </c>
      <c r="G315" s="4"/>
      <c r="H315" s="7" t="s">
        <v>130</v>
      </c>
      <c r="I315" s="60"/>
      <c r="J315" s="118"/>
      <c r="K315" s="118">
        <v>70000</v>
      </c>
      <c r="L315" s="118"/>
      <c r="M315" s="118"/>
      <c r="N315" s="127"/>
      <c r="O315" s="26"/>
    </row>
    <row r="316" spans="1:15" ht="15" customHeight="1" x14ac:dyDescent="0.25">
      <c r="A316" s="93">
        <v>45274</v>
      </c>
      <c r="B316" s="25">
        <f t="shared" si="8"/>
        <v>12</v>
      </c>
      <c r="C316" s="25">
        <f t="shared" si="9"/>
        <v>2023</v>
      </c>
      <c r="D316" s="124" t="s">
        <v>420</v>
      </c>
      <c r="E316" s="125" t="s">
        <v>92</v>
      </c>
      <c r="F316" s="125" t="s">
        <v>624</v>
      </c>
      <c r="G316" s="125"/>
      <c r="H316" s="95" t="s">
        <v>420</v>
      </c>
      <c r="I316" s="95"/>
      <c r="J316" s="139"/>
      <c r="K316" s="139">
        <v>2250</v>
      </c>
      <c r="L316" s="139"/>
      <c r="M316" s="139"/>
      <c r="N316" s="140"/>
    </row>
    <row r="317" spans="1:15" ht="15" customHeight="1" x14ac:dyDescent="0.25">
      <c r="A317" s="54">
        <v>45275</v>
      </c>
      <c r="B317" s="25">
        <f t="shared" si="8"/>
        <v>12</v>
      </c>
      <c r="C317" s="25">
        <f t="shared" si="9"/>
        <v>2023</v>
      </c>
      <c r="D317" s="71" t="s">
        <v>352</v>
      </c>
      <c r="E317" s="4" t="s">
        <v>93</v>
      </c>
      <c r="F317" s="4" t="s">
        <v>594</v>
      </c>
      <c r="G317" s="4"/>
      <c r="H317" s="7" t="s">
        <v>130</v>
      </c>
      <c r="I317" s="60"/>
      <c r="J317" s="118">
        <v>50000</v>
      </c>
      <c r="K317" s="118"/>
      <c r="L317" s="118"/>
      <c r="M317" s="118"/>
      <c r="N317" s="127"/>
      <c r="O317" s="26"/>
    </row>
    <row r="318" spans="1:15" ht="15" customHeight="1" x14ac:dyDescent="0.25">
      <c r="A318" s="54">
        <v>45275</v>
      </c>
      <c r="B318" s="25">
        <f t="shared" si="8"/>
        <v>12</v>
      </c>
      <c r="C318" s="25">
        <f t="shared" si="9"/>
        <v>2023</v>
      </c>
      <c r="D318" s="71" t="s">
        <v>501</v>
      </c>
      <c r="E318" s="4" t="s">
        <v>93</v>
      </c>
      <c r="F318" s="4"/>
      <c r="G318" s="4"/>
      <c r="H318" s="7" t="s">
        <v>130</v>
      </c>
      <c r="I318" s="60"/>
      <c r="J318" s="118"/>
      <c r="K318" s="118">
        <v>220000</v>
      </c>
      <c r="L318" s="118"/>
      <c r="M318" s="118"/>
      <c r="N318" s="127"/>
      <c r="O318" s="26"/>
    </row>
    <row r="319" spans="1:15" ht="15" customHeight="1" x14ac:dyDescent="0.25">
      <c r="A319" s="54">
        <v>45275</v>
      </c>
      <c r="B319" s="25">
        <f t="shared" si="8"/>
        <v>12</v>
      </c>
      <c r="C319" s="25">
        <f t="shared" si="9"/>
        <v>2023</v>
      </c>
      <c r="D319" s="71" t="s">
        <v>500</v>
      </c>
      <c r="E319" s="4" t="s">
        <v>93</v>
      </c>
      <c r="F319" s="4"/>
      <c r="G319" s="4"/>
      <c r="H319" s="7" t="s">
        <v>130</v>
      </c>
      <c r="I319" s="60"/>
      <c r="J319" s="118"/>
      <c r="K319" s="118">
        <v>60800</v>
      </c>
      <c r="L319" s="118"/>
      <c r="M319" s="118"/>
      <c r="N319" s="127"/>
      <c r="O319" s="26"/>
    </row>
    <row r="320" spans="1:15" ht="15" customHeight="1" x14ac:dyDescent="0.25">
      <c r="A320" s="54">
        <v>45275</v>
      </c>
      <c r="B320" s="25">
        <f t="shared" si="8"/>
        <v>12</v>
      </c>
      <c r="C320" s="25">
        <f t="shared" si="9"/>
        <v>2023</v>
      </c>
      <c r="D320" s="71" t="s">
        <v>89</v>
      </c>
      <c r="E320" s="4" t="s">
        <v>93</v>
      </c>
      <c r="F320" s="4" t="s">
        <v>552</v>
      </c>
      <c r="G320" s="4"/>
      <c r="H320" s="7" t="s">
        <v>130</v>
      </c>
      <c r="I320" s="60"/>
      <c r="J320" s="118">
        <v>50000</v>
      </c>
      <c r="K320" s="118"/>
      <c r="L320" s="118"/>
      <c r="M320" s="118"/>
      <c r="N320" s="127"/>
      <c r="O320" s="26"/>
    </row>
    <row r="321" spans="1:15" ht="15" customHeight="1" x14ac:dyDescent="0.25">
      <c r="A321" s="54">
        <v>45275</v>
      </c>
      <c r="B321" s="25">
        <f t="shared" si="8"/>
        <v>12</v>
      </c>
      <c r="C321" s="25">
        <f t="shared" si="9"/>
        <v>2023</v>
      </c>
      <c r="D321" s="71" t="s">
        <v>89</v>
      </c>
      <c r="E321" s="4" t="s">
        <v>93</v>
      </c>
      <c r="F321" s="4" t="s">
        <v>586</v>
      </c>
      <c r="G321" s="4"/>
      <c r="H321" s="7" t="s">
        <v>545</v>
      </c>
      <c r="I321" s="60"/>
      <c r="J321" s="118">
        <v>68900</v>
      </c>
      <c r="K321" s="118"/>
      <c r="L321" s="118"/>
      <c r="M321" s="118"/>
      <c r="N321" s="127">
        <v>45279</v>
      </c>
      <c r="O321" s="26">
        <v>64323.040000000001</v>
      </c>
    </row>
    <row r="322" spans="1:15" ht="15" customHeight="1" x14ac:dyDescent="0.25">
      <c r="A322" s="93">
        <v>45275</v>
      </c>
      <c r="B322" s="25">
        <f t="shared" si="8"/>
        <v>12</v>
      </c>
      <c r="C322" s="25">
        <f t="shared" si="9"/>
        <v>2023</v>
      </c>
      <c r="D322" s="124" t="s">
        <v>420</v>
      </c>
      <c r="E322" s="125" t="s">
        <v>92</v>
      </c>
      <c r="F322" s="125" t="s">
        <v>18</v>
      </c>
      <c r="G322" s="125"/>
      <c r="H322" s="95" t="s">
        <v>420</v>
      </c>
      <c r="I322" s="95"/>
      <c r="J322" s="139"/>
      <c r="K322" s="139">
        <v>43034</v>
      </c>
      <c r="L322" s="139"/>
      <c r="M322" s="139"/>
      <c r="N322" s="140"/>
    </row>
    <row r="323" spans="1:15" ht="15" customHeight="1" x14ac:dyDescent="0.25">
      <c r="A323" s="93">
        <v>45275</v>
      </c>
      <c r="B323" s="25">
        <f t="shared" ref="B323:B386" si="10">MONTH(A323)</f>
        <v>12</v>
      </c>
      <c r="C323" s="25">
        <f t="shared" ref="C323:C386" si="11">YEAR((A323))</f>
        <v>2023</v>
      </c>
      <c r="D323" s="124" t="s">
        <v>420</v>
      </c>
      <c r="E323" s="125" t="s">
        <v>92</v>
      </c>
      <c r="F323" s="125" t="s">
        <v>709</v>
      </c>
      <c r="G323" s="125"/>
      <c r="H323" s="95" t="s">
        <v>420</v>
      </c>
      <c r="I323" s="95"/>
      <c r="J323" s="139"/>
      <c r="K323" s="139">
        <v>40000</v>
      </c>
      <c r="L323" s="139"/>
      <c r="M323" s="139"/>
      <c r="N323" s="140"/>
    </row>
    <row r="324" spans="1:15" ht="15" customHeight="1" x14ac:dyDescent="0.25">
      <c r="A324" s="93">
        <v>45276</v>
      </c>
      <c r="B324" s="25">
        <f t="shared" si="10"/>
        <v>12</v>
      </c>
      <c r="C324" s="25">
        <f t="shared" si="11"/>
        <v>2023</v>
      </c>
      <c r="D324" s="124" t="s">
        <v>420</v>
      </c>
      <c r="E324" s="125" t="s">
        <v>92</v>
      </c>
      <c r="F324" s="125" t="s">
        <v>624</v>
      </c>
      <c r="G324" s="125"/>
      <c r="H324" s="95" t="s">
        <v>420</v>
      </c>
      <c r="I324" s="95"/>
      <c r="J324" s="139"/>
      <c r="K324" s="139">
        <v>17000</v>
      </c>
      <c r="L324" s="139"/>
      <c r="M324" s="139"/>
      <c r="N324" s="140"/>
    </row>
    <row r="325" spans="1:15" ht="15" customHeight="1" x14ac:dyDescent="0.25">
      <c r="A325" s="54">
        <v>45278</v>
      </c>
      <c r="B325" s="25">
        <f t="shared" si="10"/>
        <v>12</v>
      </c>
      <c r="C325" s="25">
        <f t="shared" si="11"/>
        <v>2023</v>
      </c>
      <c r="D325" s="71" t="s">
        <v>352</v>
      </c>
      <c r="E325" s="4" t="s">
        <v>93</v>
      </c>
      <c r="F325" s="4" t="s">
        <v>599</v>
      </c>
      <c r="G325" s="4"/>
      <c r="H325" s="7" t="s">
        <v>131</v>
      </c>
      <c r="I325" s="60"/>
      <c r="J325" s="118">
        <v>275800</v>
      </c>
      <c r="K325" s="118"/>
      <c r="L325" s="118"/>
      <c r="M325" s="118"/>
      <c r="N325" s="127"/>
      <c r="O325" s="26"/>
    </row>
    <row r="326" spans="1:15" ht="15" customHeight="1" x14ac:dyDescent="0.25">
      <c r="A326" s="54">
        <v>45278</v>
      </c>
      <c r="B326" s="25">
        <f t="shared" si="10"/>
        <v>12</v>
      </c>
      <c r="C326" s="25">
        <f t="shared" si="11"/>
        <v>2023</v>
      </c>
      <c r="D326" s="71" t="s">
        <v>352</v>
      </c>
      <c r="E326" s="4" t="s">
        <v>93</v>
      </c>
      <c r="F326" s="4" t="s">
        <v>636</v>
      </c>
      <c r="G326" s="4"/>
      <c r="H326" s="7" t="s">
        <v>545</v>
      </c>
      <c r="I326" s="60"/>
      <c r="J326" s="118">
        <v>110000</v>
      </c>
      <c r="K326" s="118"/>
      <c r="L326" s="118"/>
      <c r="M326" s="118"/>
      <c r="N326" s="127"/>
      <c r="O326" s="26"/>
    </row>
    <row r="327" spans="1:15" ht="15" customHeight="1" x14ac:dyDescent="0.25">
      <c r="A327" s="54">
        <v>45278</v>
      </c>
      <c r="B327" s="25">
        <f t="shared" si="10"/>
        <v>12</v>
      </c>
      <c r="C327" s="25">
        <f t="shared" si="11"/>
        <v>2023</v>
      </c>
      <c r="D327" s="71" t="s">
        <v>352</v>
      </c>
      <c r="E327" s="4" t="s">
        <v>93</v>
      </c>
      <c r="F327" s="4" t="s">
        <v>560</v>
      </c>
      <c r="G327" s="4"/>
      <c r="H327" s="7" t="s">
        <v>130</v>
      </c>
      <c r="I327" s="60"/>
      <c r="J327" s="118">
        <v>35000</v>
      </c>
      <c r="K327" s="118"/>
      <c r="L327" s="118"/>
      <c r="M327" s="118"/>
      <c r="N327" s="127"/>
      <c r="O327" s="26"/>
    </row>
    <row r="328" spans="1:15" ht="15" customHeight="1" x14ac:dyDescent="0.25">
      <c r="A328" s="93">
        <v>45278</v>
      </c>
      <c r="B328" s="25">
        <f t="shared" si="10"/>
        <v>12</v>
      </c>
      <c r="C328" s="25">
        <f t="shared" si="11"/>
        <v>2023</v>
      </c>
      <c r="D328" s="124" t="s">
        <v>420</v>
      </c>
      <c r="E328" s="125" t="s">
        <v>92</v>
      </c>
      <c r="F328" s="125" t="s">
        <v>710</v>
      </c>
      <c r="G328" s="125"/>
      <c r="H328" s="95" t="s">
        <v>420</v>
      </c>
      <c r="I328" s="95"/>
      <c r="J328" s="139"/>
      <c r="K328" s="139">
        <v>30000</v>
      </c>
      <c r="L328" s="139"/>
      <c r="M328" s="139"/>
      <c r="N328" s="140"/>
    </row>
    <row r="329" spans="1:15" ht="15" customHeight="1" x14ac:dyDescent="0.25">
      <c r="A329" s="93">
        <v>45278</v>
      </c>
      <c r="B329" s="25">
        <f t="shared" si="10"/>
        <v>12</v>
      </c>
      <c r="C329" s="25">
        <f t="shared" si="11"/>
        <v>2023</v>
      </c>
      <c r="D329" s="124" t="s">
        <v>420</v>
      </c>
      <c r="E329" s="125" t="s">
        <v>92</v>
      </c>
      <c r="F329" s="125" t="s">
        <v>675</v>
      </c>
      <c r="G329" s="125"/>
      <c r="H329" s="95" t="s">
        <v>420</v>
      </c>
      <c r="I329" s="95"/>
      <c r="J329" s="139"/>
      <c r="K329" s="139">
        <v>34450</v>
      </c>
      <c r="L329" s="139"/>
      <c r="M329" s="139"/>
      <c r="N329" s="140"/>
    </row>
    <row r="330" spans="1:15" ht="15" customHeight="1" x14ac:dyDescent="0.25">
      <c r="A330" s="54">
        <v>45279</v>
      </c>
      <c r="B330" s="25">
        <f t="shared" si="10"/>
        <v>12</v>
      </c>
      <c r="C330" s="25">
        <f t="shared" si="11"/>
        <v>2023</v>
      </c>
      <c r="D330" s="71" t="s">
        <v>89</v>
      </c>
      <c r="E330" s="4" t="s">
        <v>93</v>
      </c>
      <c r="F330" s="4" t="s">
        <v>601</v>
      </c>
      <c r="G330" s="4"/>
      <c r="H330" s="7" t="s">
        <v>130</v>
      </c>
      <c r="I330" s="60"/>
      <c r="J330" s="118">
        <v>51520</v>
      </c>
      <c r="K330" s="118"/>
      <c r="L330" s="118"/>
      <c r="M330" s="118"/>
      <c r="N330" s="127"/>
      <c r="O330" s="26"/>
    </row>
    <row r="331" spans="1:15" ht="15" customHeight="1" x14ac:dyDescent="0.25">
      <c r="A331" s="54">
        <v>45280</v>
      </c>
      <c r="B331" s="25">
        <f t="shared" si="10"/>
        <v>12</v>
      </c>
      <c r="C331" s="25">
        <f t="shared" si="11"/>
        <v>2023</v>
      </c>
      <c r="D331" s="71" t="s">
        <v>124</v>
      </c>
      <c r="E331" s="4" t="s">
        <v>93</v>
      </c>
      <c r="F331" s="4"/>
      <c r="G331" s="4" t="s">
        <v>554</v>
      </c>
      <c r="H331" s="7" t="s">
        <v>130</v>
      </c>
      <c r="I331" s="60"/>
      <c r="J331" s="118"/>
      <c r="K331" s="118">
        <v>111700.08</v>
      </c>
      <c r="L331" s="118"/>
      <c r="M331" s="118"/>
      <c r="N331" s="127"/>
      <c r="O331" s="26"/>
    </row>
    <row r="332" spans="1:15" ht="15" customHeight="1" x14ac:dyDescent="0.25">
      <c r="A332" s="54">
        <v>45280</v>
      </c>
      <c r="B332" s="25">
        <f t="shared" si="10"/>
        <v>12</v>
      </c>
      <c r="C332" s="25">
        <f t="shared" si="11"/>
        <v>2023</v>
      </c>
      <c r="D332" s="71" t="s">
        <v>124</v>
      </c>
      <c r="E332" s="4" t="s">
        <v>93</v>
      </c>
      <c r="F332" s="4"/>
      <c r="G332" s="4" t="s">
        <v>602</v>
      </c>
      <c r="H332" s="7" t="s">
        <v>130</v>
      </c>
      <c r="I332" s="60"/>
      <c r="J332" s="118"/>
      <c r="K332" s="118">
        <v>185000</v>
      </c>
      <c r="L332" s="118"/>
      <c r="M332" s="118"/>
      <c r="N332" s="127"/>
      <c r="O332" s="26"/>
    </row>
    <row r="333" spans="1:15" ht="15" customHeight="1" x14ac:dyDescent="0.25">
      <c r="A333" s="54">
        <v>45280</v>
      </c>
      <c r="B333" s="25">
        <f t="shared" si="10"/>
        <v>12</v>
      </c>
      <c r="C333" s="25">
        <f t="shared" si="11"/>
        <v>2023</v>
      </c>
      <c r="D333" s="71" t="s">
        <v>89</v>
      </c>
      <c r="E333" s="4" t="s">
        <v>93</v>
      </c>
      <c r="F333" s="4" t="s">
        <v>604</v>
      </c>
      <c r="G333" s="4"/>
      <c r="H333" s="7" t="s">
        <v>130</v>
      </c>
      <c r="I333" s="60"/>
      <c r="J333" s="118">
        <v>109550</v>
      </c>
      <c r="K333" s="118"/>
      <c r="L333" s="118"/>
      <c r="M333" s="118"/>
      <c r="N333" s="127"/>
      <c r="O333" s="26"/>
    </row>
    <row r="334" spans="1:15" ht="15" customHeight="1" x14ac:dyDescent="0.25">
      <c r="A334" s="54">
        <v>45280</v>
      </c>
      <c r="B334" s="25">
        <f t="shared" si="10"/>
        <v>12</v>
      </c>
      <c r="C334" s="25">
        <f t="shared" si="11"/>
        <v>2023</v>
      </c>
      <c r="D334" s="71" t="s">
        <v>89</v>
      </c>
      <c r="E334" s="4" t="s">
        <v>93</v>
      </c>
      <c r="F334" s="4" t="s">
        <v>605</v>
      </c>
      <c r="G334" s="4"/>
      <c r="H334" s="7" t="s">
        <v>130</v>
      </c>
      <c r="I334" s="60"/>
      <c r="J334" s="118">
        <v>31000</v>
      </c>
      <c r="K334" s="118"/>
      <c r="L334" s="118"/>
      <c r="M334" s="118"/>
      <c r="N334" s="127"/>
      <c r="O334" s="26"/>
    </row>
    <row r="335" spans="1:15" ht="15" customHeight="1" x14ac:dyDescent="0.25">
      <c r="A335" s="54">
        <v>45280</v>
      </c>
      <c r="B335" s="25">
        <f t="shared" si="10"/>
        <v>12</v>
      </c>
      <c r="C335" s="25">
        <f t="shared" si="11"/>
        <v>2023</v>
      </c>
      <c r="D335" s="71" t="s">
        <v>89</v>
      </c>
      <c r="E335" s="4" t="s">
        <v>93</v>
      </c>
      <c r="F335" s="4" t="s">
        <v>606</v>
      </c>
      <c r="G335" s="4"/>
      <c r="H335" s="7" t="s">
        <v>130</v>
      </c>
      <c r="I335" s="60"/>
      <c r="J335" s="118">
        <v>146200</v>
      </c>
      <c r="K335" s="118"/>
      <c r="L335" s="118"/>
      <c r="M335" s="118"/>
      <c r="N335" s="127"/>
      <c r="O335" s="26"/>
    </row>
    <row r="336" spans="1:15" ht="15" customHeight="1" x14ac:dyDescent="0.25">
      <c r="A336" s="93">
        <v>45280</v>
      </c>
      <c r="B336" s="25">
        <f t="shared" si="10"/>
        <v>12</v>
      </c>
      <c r="C336" s="25">
        <f t="shared" si="11"/>
        <v>2023</v>
      </c>
      <c r="D336" s="124" t="s">
        <v>420</v>
      </c>
      <c r="E336" s="125" t="s">
        <v>92</v>
      </c>
      <c r="F336" s="125" t="s">
        <v>624</v>
      </c>
      <c r="G336" s="125"/>
      <c r="H336" s="95" t="s">
        <v>420</v>
      </c>
      <c r="I336" s="95"/>
      <c r="J336" s="139"/>
      <c r="K336" s="139">
        <v>6200</v>
      </c>
      <c r="L336" s="139"/>
      <c r="M336" s="139"/>
      <c r="N336" s="140"/>
    </row>
    <row r="337" spans="1:15" ht="15" customHeight="1" x14ac:dyDescent="0.25">
      <c r="A337" s="93">
        <v>45280</v>
      </c>
      <c r="B337" s="25">
        <f t="shared" si="10"/>
        <v>12</v>
      </c>
      <c r="C337" s="25">
        <f t="shared" si="11"/>
        <v>2023</v>
      </c>
      <c r="D337" s="124" t="s">
        <v>420</v>
      </c>
      <c r="E337" s="125" t="s">
        <v>92</v>
      </c>
      <c r="F337" s="125" t="s">
        <v>624</v>
      </c>
      <c r="G337" s="125"/>
      <c r="H337" s="95" t="s">
        <v>420</v>
      </c>
      <c r="I337" s="95"/>
      <c r="J337" s="139"/>
      <c r="K337" s="139">
        <v>13200</v>
      </c>
      <c r="L337" s="139"/>
      <c r="M337" s="139"/>
      <c r="N337" s="140"/>
    </row>
    <row r="338" spans="1:15" ht="15" customHeight="1" x14ac:dyDescent="0.25">
      <c r="A338" s="54">
        <v>45281</v>
      </c>
      <c r="B338" s="25">
        <f t="shared" si="10"/>
        <v>12</v>
      </c>
      <c r="C338" s="25">
        <f t="shared" si="11"/>
        <v>2023</v>
      </c>
      <c r="D338" s="71" t="s">
        <v>89</v>
      </c>
      <c r="E338" s="4" t="s">
        <v>93</v>
      </c>
      <c r="F338" s="4" t="s">
        <v>607</v>
      </c>
      <c r="G338" s="4"/>
      <c r="H338" s="7" t="s">
        <v>545</v>
      </c>
      <c r="I338" s="60"/>
      <c r="J338" s="118">
        <v>144878</v>
      </c>
      <c r="K338" s="118"/>
      <c r="L338" s="118"/>
      <c r="M338" s="118"/>
      <c r="N338" s="127">
        <v>45286</v>
      </c>
      <c r="O338" s="26">
        <v>135253.9</v>
      </c>
    </row>
    <row r="339" spans="1:15" ht="15" customHeight="1" x14ac:dyDescent="0.25">
      <c r="A339" s="54">
        <v>45281</v>
      </c>
      <c r="B339" s="25">
        <f t="shared" si="10"/>
        <v>12</v>
      </c>
      <c r="C339" s="25">
        <f t="shared" si="11"/>
        <v>2023</v>
      </c>
      <c r="D339" s="71" t="s">
        <v>352</v>
      </c>
      <c r="E339" s="4" t="s">
        <v>93</v>
      </c>
      <c r="F339" s="4" t="s">
        <v>635</v>
      </c>
      <c r="G339" s="4"/>
      <c r="H339" s="7" t="s">
        <v>130</v>
      </c>
      <c r="I339" s="60"/>
      <c r="J339" s="118">
        <v>25000</v>
      </c>
      <c r="K339" s="118"/>
      <c r="L339" s="118"/>
      <c r="M339" s="118"/>
      <c r="N339" s="127"/>
      <c r="O339" s="26"/>
    </row>
    <row r="340" spans="1:15" ht="15" customHeight="1" x14ac:dyDescent="0.25">
      <c r="A340" s="54">
        <v>45281</v>
      </c>
      <c r="B340" s="25">
        <f t="shared" si="10"/>
        <v>12</v>
      </c>
      <c r="C340" s="25">
        <f t="shared" si="11"/>
        <v>2023</v>
      </c>
      <c r="D340" s="71" t="s">
        <v>89</v>
      </c>
      <c r="E340" s="4" t="s">
        <v>93</v>
      </c>
      <c r="F340" s="4" t="s">
        <v>637</v>
      </c>
      <c r="G340" s="4"/>
      <c r="H340" s="7" t="s">
        <v>130</v>
      </c>
      <c r="I340" s="60"/>
      <c r="J340" s="118">
        <v>222400</v>
      </c>
      <c r="K340" s="118"/>
      <c r="L340" s="118"/>
      <c r="M340" s="118"/>
      <c r="N340" s="127"/>
      <c r="O340" s="26"/>
    </row>
    <row r="341" spans="1:15" ht="15" customHeight="1" x14ac:dyDescent="0.25">
      <c r="A341" s="93">
        <v>45281</v>
      </c>
      <c r="B341" s="25">
        <f t="shared" si="10"/>
        <v>12</v>
      </c>
      <c r="C341" s="25">
        <f t="shared" si="11"/>
        <v>2023</v>
      </c>
      <c r="D341" s="124" t="s">
        <v>420</v>
      </c>
      <c r="E341" s="125" t="s">
        <v>92</v>
      </c>
      <c r="F341" s="125" t="s">
        <v>675</v>
      </c>
      <c r="G341" s="125"/>
      <c r="H341" s="95" t="s">
        <v>420</v>
      </c>
      <c r="I341" s="95"/>
      <c r="J341" s="139"/>
      <c r="K341" s="139">
        <v>10000</v>
      </c>
      <c r="L341" s="139"/>
      <c r="M341" s="139"/>
      <c r="N341" s="140"/>
    </row>
    <row r="342" spans="1:15" ht="15" customHeight="1" x14ac:dyDescent="0.25">
      <c r="A342" s="54">
        <v>45282</v>
      </c>
      <c r="B342" s="25">
        <f t="shared" si="10"/>
        <v>12</v>
      </c>
      <c r="C342" s="25">
        <f t="shared" si="11"/>
        <v>2023</v>
      </c>
      <c r="D342" s="71" t="s">
        <v>89</v>
      </c>
      <c r="E342" s="4" t="s">
        <v>93</v>
      </c>
      <c r="F342" s="4" t="s">
        <v>397</v>
      </c>
      <c r="G342" s="4"/>
      <c r="H342" s="7" t="s">
        <v>131</v>
      </c>
      <c r="I342" s="60"/>
      <c r="J342" s="118">
        <v>76048.850000000006</v>
      </c>
      <c r="K342" s="118"/>
      <c r="L342" s="118"/>
      <c r="M342" s="118"/>
      <c r="N342" s="127"/>
      <c r="O342" s="26"/>
    </row>
    <row r="343" spans="1:15" ht="15" customHeight="1" x14ac:dyDescent="0.25">
      <c r="A343" s="54">
        <v>45282</v>
      </c>
      <c r="B343" s="25">
        <f t="shared" si="10"/>
        <v>12</v>
      </c>
      <c r="C343" s="25">
        <f t="shared" si="11"/>
        <v>2023</v>
      </c>
      <c r="D343" s="71" t="s">
        <v>89</v>
      </c>
      <c r="E343" s="4" t="s">
        <v>93</v>
      </c>
      <c r="F343" s="4" t="s">
        <v>397</v>
      </c>
      <c r="G343" s="4"/>
      <c r="H343" s="7" t="s">
        <v>131</v>
      </c>
      <c r="I343" s="60"/>
      <c r="J343" s="118">
        <v>42420</v>
      </c>
      <c r="K343" s="118"/>
      <c r="L343" s="118"/>
      <c r="M343" s="118"/>
      <c r="N343" s="127"/>
      <c r="O343" s="26"/>
    </row>
    <row r="344" spans="1:15" ht="15" customHeight="1" x14ac:dyDescent="0.25">
      <c r="A344" s="54">
        <v>45282</v>
      </c>
      <c r="B344" s="25">
        <f t="shared" si="10"/>
        <v>12</v>
      </c>
      <c r="C344" s="25">
        <f t="shared" si="11"/>
        <v>2023</v>
      </c>
      <c r="D344" s="71" t="s">
        <v>352</v>
      </c>
      <c r="E344" s="4" t="s">
        <v>93</v>
      </c>
      <c r="F344" s="4" t="s">
        <v>397</v>
      </c>
      <c r="G344" s="4"/>
      <c r="H344" s="7" t="s">
        <v>130</v>
      </c>
      <c r="I344" s="60"/>
      <c r="J344" s="118">
        <v>8332</v>
      </c>
      <c r="K344" s="118"/>
      <c r="L344" s="118"/>
      <c r="M344" s="118"/>
      <c r="N344" s="127"/>
      <c r="O344" s="26"/>
    </row>
    <row r="345" spans="1:15" ht="15" customHeight="1" x14ac:dyDescent="0.25">
      <c r="A345" s="54">
        <v>45282</v>
      </c>
      <c r="B345" s="25">
        <f t="shared" si="10"/>
        <v>12</v>
      </c>
      <c r="C345" s="25">
        <f t="shared" si="11"/>
        <v>2023</v>
      </c>
      <c r="D345" s="71" t="s">
        <v>352</v>
      </c>
      <c r="E345" s="4" t="s">
        <v>93</v>
      </c>
      <c r="F345" s="4" t="s">
        <v>612</v>
      </c>
      <c r="G345" s="4"/>
      <c r="H345" s="7" t="s">
        <v>545</v>
      </c>
      <c r="I345" s="60"/>
      <c r="J345" s="118">
        <v>225187</v>
      </c>
      <c r="K345" s="118"/>
      <c r="L345" s="118"/>
      <c r="M345" s="118"/>
      <c r="N345" s="127">
        <v>45287</v>
      </c>
      <c r="O345" s="26">
        <v>210228.05</v>
      </c>
    </row>
    <row r="346" spans="1:15" ht="15" customHeight="1" x14ac:dyDescent="0.25">
      <c r="A346" s="54">
        <v>45282</v>
      </c>
      <c r="B346" s="25">
        <f t="shared" si="10"/>
        <v>12</v>
      </c>
      <c r="C346" s="25">
        <f t="shared" si="11"/>
        <v>2023</v>
      </c>
      <c r="D346" s="71" t="s">
        <v>352</v>
      </c>
      <c r="E346" s="4" t="s">
        <v>93</v>
      </c>
      <c r="F346" s="4" t="s">
        <v>485</v>
      </c>
      <c r="G346" s="4"/>
      <c r="H346" s="7" t="s">
        <v>131</v>
      </c>
      <c r="I346" s="60"/>
      <c r="J346" s="118">
        <v>182500</v>
      </c>
      <c r="K346" s="118"/>
      <c r="L346" s="118"/>
      <c r="M346" s="118"/>
      <c r="N346" s="127"/>
      <c r="O346" s="26"/>
    </row>
    <row r="347" spans="1:15" ht="15" customHeight="1" x14ac:dyDescent="0.25">
      <c r="A347" s="54">
        <v>45282</v>
      </c>
      <c r="B347" s="25">
        <f t="shared" si="10"/>
        <v>12</v>
      </c>
      <c r="C347" s="25">
        <f t="shared" si="11"/>
        <v>2023</v>
      </c>
      <c r="D347" s="71" t="s">
        <v>352</v>
      </c>
      <c r="E347" s="4" t="s">
        <v>93</v>
      </c>
      <c r="F347" s="4" t="s">
        <v>485</v>
      </c>
      <c r="G347" s="4"/>
      <c r="H347" s="7" t="s">
        <v>131</v>
      </c>
      <c r="I347" s="60"/>
      <c r="J347" s="118">
        <v>272750</v>
      </c>
      <c r="K347" s="118"/>
      <c r="L347" s="118"/>
      <c r="M347" s="118"/>
      <c r="N347" s="127"/>
      <c r="O347" s="26"/>
    </row>
    <row r="348" spans="1:15" ht="15" customHeight="1" x14ac:dyDescent="0.25">
      <c r="A348" s="54">
        <v>45282</v>
      </c>
      <c r="B348" s="25">
        <f t="shared" si="10"/>
        <v>12</v>
      </c>
      <c r="C348" s="25">
        <f t="shared" si="11"/>
        <v>2023</v>
      </c>
      <c r="D348" s="71" t="s">
        <v>500</v>
      </c>
      <c r="E348" s="4" t="s">
        <v>93</v>
      </c>
      <c r="F348" s="4" t="s">
        <v>628</v>
      </c>
      <c r="G348" s="4"/>
      <c r="H348" s="7" t="s">
        <v>130</v>
      </c>
      <c r="I348" s="60"/>
      <c r="J348" s="118"/>
      <c r="K348" s="118">
        <v>231600</v>
      </c>
      <c r="L348" s="118"/>
      <c r="M348" s="118"/>
      <c r="N348" s="127"/>
      <c r="O348" s="26"/>
    </row>
    <row r="349" spans="1:15" ht="15" customHeight="1" x14ac:dyDescent="0.25">
      <c r="A349" s="54">
        <v>45282</v>
      </c>
      <c r="B349" s="25">
        <f t="shared" si="10"/>
        <v>12</v>
      </c>
      <c r="C349" s="25">
        <f t="shared" si="11"/>
        <v>2023</v>
      </c>
      <c r="D349" s="71" t="s">
        <v>352</v>
      </c>
      <c r="E349" s="4" t="s">
        <v>93</v>
      </c>
      <c r="F349" s="4" t="s">
        <v>298</v>
      </c>
      <c r="G349" s="4"/>
      <c r="H349" s="7" t="s">
        <v>131</v>
      </c>
      <c r="I349" s="60"/>
      <c r="J349" s="118">
        <v>53900</v>
      </c>
      <c r="K349" s="118"/>
      <c r="L349" s="118"/>
      <c r="M349" s="118"/>
      <c r="N349" s="127"/>
      <c r="O349" s="26"/>
    </row>
    <row r="350" spans="1:15" ht="15" customHeight="1" x14ac:dyDescent="0.25">
      <c r="A350" s="54">
        <v>45282</v>
      </c>
      <c r="B350" s="25">
        <f t="shared" si="10"/>
        <v>12</v>
      </c>
      <c r="C350" s="25">
        <f t="shared" si="11"/>
        <v>2023</v>
      </c>
      <c r="D350" s="71" t="s">
        <v>501</v>
      </c>
      <c r="E350" s="4" t="s">
        <v>93</v>
      </c>
      <c r="F350" s="4" t="s">
        <v>628</v>
      </c>
      <c r="G350" s="4"/>
      <c r="H350" s="7" t="s">
        <v>130</v>
      </c>
      <c r="I350" s="60"/>
      <c r="J350" s="118"/>
      <c r="K350" s="118">
        <v>660000</v>
      </c>
      <c r="L350" s="118"/>
      <c r="M350" s="118"/>
      <c r="N350" s="127"/>
      <c r="O350" s="26"/>
    </row>
    <row r="351" spans="1:15" ht="15" customHeight="1" x14ac:dyDescent="0.25">
      <c r="A351" s="54">
        <v>45282</v>
      </c>
      <c r="B351" s="25">
        <f t="shared" si="10"/>
        <v>12</v>
      </c>
      <c r="C351" s="25">
        <f t="shared" si="11"/>
        <v>2023</v>
      </c>
      <c r="D351" s="71" t="s">
        <v>352</v>
      </c>
      <c r="E351" s="4" t="s">
        <v>93</v>
      </c>
      <c r="F351" s="4" t="s">
        <v>636</v>
      </c>
      <c r="G351" s="4"/>
      <c r="H351" s="7" t="s">
        <v>545</v>
      </c>
      <c r="I351" s="60"/>
      <c r="J351" s="118">
        <v>83400</v>
      </c>
      <c r="K351" s="118"/>
      <c r="L351" s="118"/>
      <c r="M351" s="118"/>
      <c r="N351" s="127"/>
      <c r="O351" s="26"/>
    </row>
    <row r="352" spans="1:15" ht="15" customHeight="1" x14ac:dyDescent="0.25">
      <c r="A352" s="93">
        <v>45283</v>
      </c>
      <c r="B352" s="25">
        <f t="shared" si="10"/>
        <v>12</v>
      </c>
      <c r="C352" s="25">
        <f t="shared" si="11"/>
        <v>2023</v>
      </c>
      <c r="D352" s="124" t="s">
        <v>420</v>
      </c>
      <c r="E352" s="125" t="s">
        <v>92</v>
      </c>
      <c r="F352" s="125" t="s">
        <v>675</v>
      </c>
      <c r="G352" s="125"/>
      <c r="H352" s="95" t="s">
        <v>420</v>
      </c>
      <c r="I352" s="95"/>
      <c r="J352" s="139"/>
      <c r="K352" s="139">
        <v>10000</v>
      </c>
      <c r="L352" s="139"/>
      <c r="M352" s="139"/>
      <c r="N352" s="140"/>
    </row>
    <row r="353" spans="1:15" ht="15" customHeight="1" x14ac:dyDescent="0.25">
      <c r="A353" s="93">
        <v>45285</v>
      </c>
      <c r="B353" s="25">
        <f t="shared" si="10"/>
        <v>12</v>
      </c>
      <c r="C353" s="25">
        <f t="shared" si="11"/>
        <v>2023</v>
      </c>
      <c r="D353" s="124" t="s">
        <v>420</v>
      </c>
      <c r="E353" s="125" t="s">
        <v>92</v>
      </c>
      <c r="F353" s="125" t="s">
        <v>624</v>
      </c>
      <c r="G353" s="125"/>
      <c r="H353" s="95" t="s">
        <v>420</v>
      </c>
      <c r="I353" s="95"/>
      <c r="J353" s="139"/>
      <c r="K353" s="139">
        <v>12000</v>
      </c>
      <c r="L353" s="139"/>
      <c r="M353" s="139"/>
      <c r="N353" s="140"/>
    </row>
    <row r="354" spans="1:15" ht="15" customHeight="1" x14ac:dyDescent="0.25">
      <c r="A354" s="93">
        <v>45285</v>
      </c>
      <c r="B354" s="25">
        <f t="shared" si="10"/>
        <v>12</v>
      </c>
      <c r="C354" s="25">
        <f t="shared" si="11"/>
        <v>2023</v>
      </c>
      <c r="D354" s="124" t="s">
        <v>420</v>
      </c>
      <c r="E354" s="125" t="s">
        <v>92</v>
      </c>
      <c r="F354" s="125" t="s">
        <v>239</v>
      </c>
      <c r="G354" s="125"/>
      <c r="H354" s="95" t="s">
        <v>420</v>
      </c>
      <c r="I354" s="95"/>
      <c r="J354" s="139"/>
      <c r="K354" s="139">
        <v>2000</v>
      </c>
      <c r="L354" s="139"/>
      <c r="M354" s="139"/>
      <c r="N354" s="140"/>
    </row>
    <row r="355" spans="1:15" ht="15" customHeight="1" x14ac:dyDescent="0.25">
      <c r="A355" s="93">
        <v>45286</v>
      </c>
      <c r="B355" s="25">
        <f t="shared" si="10"/>
        <v>12</v>
      </c>
      <c r="C355" s="25">
        <f t="shared" si="11"/>
        <v>2023</v>
      </c>
      <c r="D355" s="124" t="s">
        <v>420</v>
      </c>
      <c r="E355" s="125" t="s">
        <v>92</v>
      </c>
      <c r="F355" s="125" t="s">
        <v>675</v>
      </c>
      <c r="G355" s="125"/>
      <c r="H355" s="95" t="s">
        <v>420</v>
      </c>
      <c r="I355" s="95"/>
      <c r="J355" s="139"/>
      <c r="K355" s="139">
        <v>5000</v>
      </c>
      <c r="L355" s="139"/>
      <c r="M355" s="139"/>
      <c r="N355" s="140"/>
    </row>
    <row r="356" spans="1:15" ht="15" customHeight="1" x14ac:dyDescent="0.25">
      <c r="A356" s="93">
        <v>45286</v>
      </c>
      <c r="B356" s="25">
        <f t="shared" si="10"/>
        <v>12</v>
      </c>
      <c r="C356" s="25">
        <f t="shared" si="11"/>
        <v>2023</v>
      </c>
      <c r="D356" s="124" t="s">
        <v>420</v>
      </c>
      <c r="E356" s="125" t="s">
        <v>92</v>
      </c>
      <c r="F356" s="125" t="s">
        <v>18</v>
      </c>
      <c r="G356" s="125"/>
      <c r="H356" s="95" t="s">
        <v>420</v>
      </c>
      <c r="I356" s="95"/>
      <c r="J356" s="139"/>
      <c r="K356" s="139">
        <v>15000</v>
      </c>
      <c r="L356" s="139"/>
      <c r="M356" s="139"/>
      <c r="N356" s="140"/>
    </row>
    <row r="357" spans="1:15" ht="15" customHeight="1" x14ac:dyDescent="0.25">
      <c r="A357" s="93">
        <v>45286</v>
      </c>
      <c r="B357" s="25">
        <f t="shared" si="10"/>
        <v>12</v>
      </c>
      <c r="C357" s="25">
        <f t="shared" si="11"/>
        <v>2023</v>
      </c>
      <c r="D357" s="124" t="s">
        <v>420</v>
      </c>
      <c r="E357" s="125" t="s">
        <v>92</v>
      </c>
      <c r="F357" s="125" t="s">
        <v>18</v>
      </c>
      <c r="G357" s="125"/>
      <c r="H357" s="95" t="s">
        <v>420</v>
      </c>
      <c r="I357" s="95"/>
      <c r="J357" s="139"/>
      <c r="K357" s="139">
        <v>35000</v>
      </c>
      <c r="L357" s="139"/>
      <c r="M357" s="139"/>
      <c r="N357" s="140"/>
    </row>
    <row r="358" spans="1:15" ht="15" customHeight="1" x14ac:dyDescent="0.25">
      <c r="A358" s="93">
        <v>45287</v>
      </c>
      <c r="B358" s="25">
        <f t="shared" si="10"/>
        <v>12</v>
      </c>
      <c r="C358" s="25">
        <f t="shared" si="11"/>
        <v>2023</v>
      </c>
      <c r="D358" s="124" t="s">
        <v>420</v>
      </c>
      <c r="E358" s="125" t="s">
        <v>92</v>
      </c>
      <c r="F358" s="125" t="s">
        <v>711</v>
      </c>
      <c r="G358" s="125"/>
      <c r="H358" s="95" t="s">
        <v>420</v>
      </c>
      <c r="I358" s="95"/>
      <c r="J358" s="139"/>
      <c r="K358" s="139">
        <v>2500</v>
      </c>
      <c r="L358" s="139"/>
      <c r="M358" s="139"/>
      <c r="N358" s="140"/>
    </row>
    <row r="359" spans="1:15" ht="15" customHeight="1" x14ac:dyDescent="0.25">
      <c r="A359" s="54">
        <v>45288</v>
      </c>
      <c r="B359" s="25">
        <f t="shared" si="10"/>
        <v>12</v>
      </c>
      <c r="C359" s="25">
        <f t="shared" si="11"/>
        <v>2023</v>
      </c>
      <c r="D359" s="71" t="s">
        <v>352</v>
      </c>
      <c r="E359" s="4" t="s">
        <v>93</v>
      </c>
      <c r="F359" s="4" t="s">
        <v>577</v>
      </c>
      <c r="G359" s="4"/>
      <c r="H359" s="7" t="s">
        <v>130</v>
      </c>
      <c r="I359" s="60"/>
      <c r="J359" s="118">
        <v>175675</v>
      </c>
      <c r="K359" s="118"/>
      <c r="L359" s="118"/>
      <c r="M359" s="118"/>
      <c r="N359" s="127"/>
      <c r="O359" s="26"/>
    </row>
    <row r="360" spans="1:15" ht="15" customHeight="1" x14ac:dyDescent="0.25">
      <c r="A360" s="54">
        <v>45288</v>
      </c>
      <c r="B360" s="25">
        <f t="shared" si="10"/>
        <v>12</v>
      </c>
      <c r="C360" s="25">
        <f t="shared" si="11"/>
        <v>2023</v>
      </c>
      <c r="D360" s="71" t="s">
        <v>352</v>
      </c>
      <c r="E360" s="4" t="s">
        <v>93</v>
      </c>
      <c r="F360" s="4" t="s">
        <v>638</v>
      </c>
      <c r="G360" s="4"/>
      <c r="H360" s="7" t="s">
        <v>130</v>
      </c>
      <c r="I360" s="60"/>
      <c r="J360" s="118">
        <v>51050</v>
      </c>
      <c r="K360" s="118"/>
      <c r="L360" s="118"/>
      <c r="M360" s="118"/>
      <c r="N360" s="127"/>
      <c r="O360" s="26"/>
    </row>
    <row r="361" spans="1:15" ht="15" customHeight="1" x14ac:dyDescent="0.25">
      <c r="A361" s="93">
        <v>45291</v>
      </c>
      <c r="B361" s="25">
        <f t="shared" si="10"/>
        <v>12</v>
      </c>
      <c r="C361" s="25">
        <f t="shared" si="11"/>
        <v>2023</v>
      </c>
      <c r="D361" s="124" t="s">
        <v>420</v>
      </c>
      <c r="E361" s="125" t="s">
        <v>92</v>
      </c>
      <c r="F361" s="125" t="s">
        <v>675</v>
      </c>
      <c r="G361" s="125"/>
      <c r="H361" s="95" t="s">
        <v>420</v>
      </c>
      <c r="I361" s="95"/>
      <c r="J361" s="139"/>
      <c r="K361" s="139">
        <v>60000</v>
      </c>
      <c r="L361" s="139"/>
      <c r="M361" s="139"/>
      <c r="N361" s="140"/>
    </row>
    <row r="362" spans="1:15" ht="15" customHeight="1" x14ac:dyDescent="0.25">
      <c r="A362" s="54">
        <v>45292</v>
      </c>
      <c r="B362" s="25">
        <f t="shared" si="10"/>
        <v>1</v>
      </c>
      <c r="C362" s="25">
        <f t="shared" si="11"/>
        <v>2024</v>
      </c>
      <c r="D362" s="71" t="s">
        <v>92</v>
      </c>
      <c r="E362" s="4" t="s">
        <v>92</v>
      </c>
      <c r="F362" s="4" t="s">
        <v>112</v>
      </c>
      <c r="G362" s="4"/>
      <c r="H362" s="7" t="s">
        <v>92</v>
      </c>
      <c r="I362" s="60"/>
      <c r="J362" s="118"/>
      <c r="K362" s="118">
        <v>53000</v>
      </c>
      <c r="L362" s="118"/>
      <c r="M362" s="118"/>
      <c r="N362" s="127"/>
      <c r="O362" s="26"/>
    </row>
    <row r="363" spans="1:15" ht="15" customHeight="1" x14ac:dyDescent="0.25">
      <c r="A363" s="93">
        <v>45292</v>
      </c>
      <c r="B363" s="25">
        <f t="shared" si="10"/>
        <v>1</v>
      </c>
      <c r="C363" s="25">
        <f t="shared" si="11"/>
        <v>2024</v>
      </c>
      <c r="D363" s="124" t="s">
        <v>420</v>
      </c>
      <c r="E363" s="125" t="s">
        <v>92</v>
      </c>
      <c r="F363" s="125" t="s">
        <v>675</v>
      </c>
      <c r="G363" s="125"/>
      <c r="H363" s="95" t="s">
        <v>420</v>
      </c>
      <c r="I363" s="95"/>
      <c r="J363" s="139"/>
      <c r="K363" s="139">
        <v>53000</v>
      </c>
      <c r="L363" s="139"/>
      <c r="M363" s="139"/>
      <c r="N363" s="140"/>
    </row>
    <row r="364" spans="1:15" ht="15" customHeight="1" x14ac:dyDescent="0.25">
      <c r="A364" s="93">
        <v>45292</v>
      </c>
      <c r="B364" s="25">
        <f t="shared" si="10"/>
        <v>1</v>
      </c>
      <c r="C364" s="25">
        <f t="shared" si="11"/>
        <v>2024</v>
      </c>
      <c r="D364" s="124" t="s">
        <v>420</v>
      </c>
      <c r="E364" s="125" t="s">
        <v>92</v>
      </c>
      <c r="F364" s="125" t="s">
        <v>712</v>
      </c>
      <c r="G364" s="125"/>
      <c r="H364" s="95" t="s">
        <v>420</v>
      </c>
      <c r="I364" s="95"/>
      <c r="J364" s="139"/>
      <c r="K364" s="139">
        <v>59998</v>
      </c>
      <c r="L364" s="139"/>
      <c r="M364" s="139"/>
      <c r="N364" s="140"/>
    </row>
    <row r="365" spans="1:15" ht="15" customHeight="1" x14ac:dyDescent="0.25">
      <c r="A365" s="54">
        <v>45293</v>
      </c>
      <c r="B365" s="25">
        <f t="shared" si="10"/>
        <v>1</v>
      </c>
      <c r="C365" s="25">
        <f t="shared" si="11"/>
        <v>2024</v>
      </c>
      <c r="D365" s="71" t="s">
        <v>124</v>
      </c>
      <c r="E365" s="4" t="s">
        <v>93</v>
      </c>
      <c r="F365" s="4"/>
      <c r="G365" s="4" t="s">
        <v>553</v>
      </c>
      <c r="H365" s="7" t="s">
        <v>131</v>
      </c>
      <c r="I365" s="60"/>
      <c r="J365" s="118"/>
      <c r="K365" s="118">
        <v>76048.850000000006</v>
      </c>
      <c r="L365" s="118"/>
      <c r="M365" s="118"/>
      <c r="N365" s="127"/>
      <c r="O365" s="26"/>
    </row>
    <row r="366" spans="1:15" ht="15" customHeight="1" x14ac:dyDescent="0.25">
      <c r="A366" s="54">
        <v>45293</v>
      </c>
      <c r="B366" s="25">
        <f t="shared" si="10"/>
        <v>1</v>
      </c>
      <c r="C366" s="25">
        <f t="shared" si="11"/>
        <v>2024</v>
      </c>
      <c r="D366" s="71" t="s">
        <v>124</v>
      </c>
      <c r="E366" s="4" t="s">
        <v>93</v>
      </c>
      <c r="F366" s="4"/>
      <c r="G366" s="4" t="s">
        <v>553</v>
      </c>
      <c r="H366" s="7" t="s">
        <v>131</v>
      </c>
      <c r="I366" s="60"/>
      <c r="J366" s="118"/>
      <c r="K366" s="118">
        <v>42420</v>
      </c>
      <c r="L366" s="118"/>
      <c r="M366" s="118"/>
      <c r="N366" s="127"/>
      <c r="O366" s="26"/>
    </row>
    <row r="367" spans="1:15" ht="15" customHeight="1" x14ac:dyDescent="0.25">
      <c r="A367" s="54">
        <v>45293</v>
      </c>
      <c r="B367" s="25">
        <f t="shared" si="10"/>
        <v>1</v>
      </c>
      <c r="C367" s="25">
        <f t="shared" si="11"/>
        <v>2024</v>
      </c>
      <c r="D367" s="71" t="s">
        <v>124</v>
      </c>
      <c r="E367" s="4" t="s">
        <v>93</v>
      </c>
      <c r="F367" s="4"/>
      <c r="G367" s="4" t="s">
        <v>553</v>
      </c>
      <c r="H367" s="7" t="s">
        <v>131</v>
      </c>
      <c r="I367" s="60"/>
      <c r="J367" s="118"/>
      <c r="K367" s="118">
        <v>272750</v>
      </c>
      <c r="L367" s="118"/>
      <c r="M367" s="118"/>
      <c r="N367" s="127"/>
      <c r="O367" s="26"/>
    </row>
    <row r="368" spans="1:15" ht="15" customHeight="1" x14ac:dyDescent="0.25">
      <c r="A368" s="54">
        <v>45293</v>
      </c>
      <c r="B368" s="25">
        <f t="shared" si="10"/>
        <v>1</v>
      </c>
      <c r="C368" s="25">
        <f t="shared" si="11"/>
        <v>2024</v>
      </c>
      <c r="D368" s="71" t="s">
        <v>124</v>
      </c>
      <c r="E368" s="4" t="s">
        <v>93</v>
      </c>
      <c r="F368" s="4"/>
      <c r="G368" s="4" t="s">
        <v>553</v>
      </c>
      <c r="H368" s="7" t="s">
        <v>131</v>
      </c>
      <c r="I368" s="60"/>
      <c r="J368" s="118"/>
      <c r="K368" s="118">
        <v>182500</v>
      </c>
      <c r="L368" s="118"/>
      <c r="M368" s="118"/>
      <c r="N368" s="127"/>
      <c r="O368" s="26"/>
    </row>
    <row r="369" spans="1:15" ht="15" customHeight="1" x14ac:dyDescent="0.25">
      <c r="A369" s="54">
        <v>45293</v>
      </c>
      <c r="B369" s="25">
        <f t="shared" si="10"/>
        <v>1</v>
      </c>
      <c r="C369" s="25">
        <f t="shared" si="11"/>
        <v>2024</v>
      </c>
      <c r="D369" s="71" t="s">
        <v>124</v>
      </c>
      <c r="E369" s="4" t="s">
        <v>93</v>
      </c>
      <c r="F369" s="4"/>
      <c r="G369" s="4" t="s">
        <v>553</v>
      </c>
      <c r="H369" s="7" t="s">
        <v>131</v>
      </c>
      <c r="I369" s="60"/>
      <c r="J369" s="118"/>
      <c r="K369" s="118">
        <v>53900</v>
      </c>
      <c r="L369" s="118"/>
      <c r="M369" s="118"/>
      <c r="N369" s="127"/>
      <c r="O369" s="26"/>
    </row>
    <row r="370" spans="1:15" ht="15" customHeight="1" x14ac:dyDescent="0.25">
      <c r="A370" s="54">
        <v>45293</v>
      </c>
      <c r="B370" s="25">
        <f t="shared" si="10"/>
        <v>1</v>
      </c>
      <c r="C370" s="25">
        <f t="shared" si="11"/>
        <v>2024</v>
      </c>
      <c r="D370" s="71" t="s">
        <v>92</v>
      </c>
      <c r="E370" s="4" t="s">
        <v>92</v>
      </c>
      <c r="F370" s="4"/>
      <c r="G370" s="4"/>
      <c r="H370" s="7" t="s">
        <v>92</v>
      </c>
      <c r="I370" s="60"/>
      <c r="J370" s="118"/>
      <c r="K370" s="118">
        <v>21300</v>
      </c>
      <c r="L370" s="118"/>
      <c r="M370" s="118"/>
      <c r="N370" s="127"/>
      <c r="O370" s="26"/>
    </row>
    <row r="371" spans="1:15" ht="15" customHeight="1" x14ac:dyDescent="0.25">
      <c r="A371" s="54">
        <v>45293</v>
      </c>
      <c r="B371" s="25">
        <f t="shared" si="10"/>
        <v>1</v>
      </c>
      <c r="C371" s="25">
        <f t="shared" si="11"/>
        <v>2024</v>
      </c>
      <c r="D371" s="71" t="s">
        <v>92</v>
      </c>
      <c r="E371" s="4" t="s">
        <v>92</v>
      </c>
      <c r="F371" s="4" t="s">
        <v>112</v>
      </c>
      <c r="G371" s="4"/>
      <c r="H371" s="7" t="s">
        <v>92</v>
      </c>
      <c r="I371" s="60"/>
      <c r="J371" s="118"/>
      <c r="K371" s="118">
        <v>60000</v>
      </c>
      <c r="L371" s="118"/>
      <c r="M371" s="118"/>
      <c r="N371" s="127"/>
      <c r="O371" s="26"/>
    </row>
    <row r="372" spans="1:15" ht="15" customHeight="1" x14ac:dyDescent="0.25">
      <c r="A372" s="54">
        <v>45294</v>
      </c>
      <c r="B372" s="25">
        <f t="shared" si="10"/>
        <v>1</v>
      </c>
      <c r="C372" s="25">
        <f t="shared" si="11"/>
        <v>2024</v>
      </c>
      <c r="D372" s="71" t="s">
        <v>89</v>
      </c>
      <c r="E372" s="4" t="s">
        <v>93</v>
      </c>
      <c r="F372" s="4" t="s">
        <v>615</v>
      </c>
      <c r="G372" s="4"/>
      <c r="H372" s="7" t="s">
        <v>130</v>
      </c>
      <c r="I372" s="60"/>
      <c r="J372" s="118">
        <v>477525</v>
      </c>
      <c r="K372" s="118"/>
      <c r="L372" s="118"/>
      <c r="M372" s="118"/>
      <c r="N372" s="127"/>
      <c r="O372" s="26"/>
    </row>
    <row r="373" spans="1:15" ht="15" customHeight="1" x14ac:dyDescent="0.25">
      <c r="A373" s="93">
        <v>45294</v>
      </c>
      <c r="B373" s="25">
        <f t="shared" si="10"/>
        <v>1</v>
      </c>
      <c r="C373" s="25">
        <f t="shared" si="11"/>
        <v>2024</v>
      </c>
      <c r="D373" s="124" t="s">
        <v>420</v>
      </c>
      <c r="E373" s="125" t="s">
        <v>92</v>
      </c>
      <c r="F373" s="125" t="s">
        <v>675</v>
      </c>
      <c r="G373" s="125"/>
      <c r="H373" s="95" t="s">
        <v>420</v>
      </c>
      <c r="I373" s="95"/>
      <c r="J373" s="139"/>
      <c r="K373" s="139">
        <v>51000</v>
      </c>
      <c r="L373" s="139"/>
      <c r="M373" s="139"/>
      <c r="N373" s="140"/>
    </row>
    <row r="374" spans="1:15" ht="15" customHeight="1" x14ac:dyDescent="0.25">
      <c r="A374" s="93">
        <v>45294</v>
      </c>
      <c r="B374" s="25">
        <f t="shared" si="10"/>
        <v>1</v>
      </c>
      <c r="C374" s="25">
        <f t="shared" si="11"/>
        <v>2024</v>
      </c>
      <c r="D374" s="124" t="s">
        <v>420</v>
      </c>
      <c r="E374" s="125" t="s">
        <v>92</v>
      </c>
      <c r="F374" s="125" t="s">
        <v>713</v>
      </c>
      <c r="G374" s="125"/>
      <c r="H374" s="95" t="s">
        <v>420</v>
      </c>
      <c r="I374" s="95"/>
      <c r="J374" s="139"/>
      <c r="K374" s="139">
        <v>5000</v>
      </c>
      <c r="L374" s="139"/>
      <c r="M374" s="139"/>
      <c r="N374" s="140"/>
    </row>
    <row r="375" spans="1:15" s="92" customFormat="1" ht="15" customHeight="1" x14ac:dyDescent="0.25">
      <c r="A375" s="54">
        <v>45294</v>
      </c>
      <c r="B375" s="25">
        <f t="shared" si="10"/>
        <v>1</v>
      </c>
      <c r="C375" s="25">
        <f t="shared" si="11"/>
        <v>2024</v>
      </c>
      <c r="D375" s="71" t="s">
        <v>420</v>
      </c>
      <c r="E375" s="4" t="s">
        <v>92</v>
      </c>
      <c r="F375" s="4" t="s">
        <v>791</v>
      </c>
      <c r="G375" s="4"/>
      <c r="H375" s="7" t="s">
        <v>92</v>
      </c>
      <c r="I375" s="60"/>
      <c r="J375" s="118"/>
      <c r="K375" s="118">
        <v>198000</v>
      </c>
      <c r="L375" s="118"/>
      <c r="M375" s="118"/>
      <c r="N375" s="127"/>
      <c r="O375" s="26"/>
    </row>
    <row r="376" spans="1:15" ht="15" customHeight="1" x14ac:dyDescent="0.25">
      <c r="A376" s="54">
        <v>45294</v>
      </c>
      <c r="B376" s="25">
        <f t="shared" si="10"/>
        <v>1</v>
      </c>
      <c r="C376" s="25">
        <f t="shared" si="11"/>
        <v>2024</v>
      </c>
      <c r="D376" s="71" t="s">
        <v>92</v>
      </c>
      <c r="E376" s="4" t="s">
        <v>92</v>
      </c>
      <c r="F376" s="4" t="s">
        <v>112</v>
      </c>
      <c r="G376" s="4"/>
      <c r="H376" s="7" t="s">
        <v>92</v>
      </c>
      <c r="I376" s="60"/>
      <c r="J376" s="118"/>
      <c r="K376" s="118">
        <v>51000</v>
      </c>
      <c r="L376" s="118"/>
      <c r="M376" s="118"/>
      <c r="N376" s="127"/>
      <c r="O376" s="26"/>
    </row>
    <row r="377" spans="1:15" ht="15" customHeight="1" x14ac:dyDescent="0.25">
      <c r="A377" s="54">
        <v>45295</v>
      </c>
      <c r="B377" s="25">
        <f t="shared" si="10"/>
        <v>1</v>
      </c>
      <c r="C377" s="25">
        <f t="shared" si="11"/>
        <v>2024</v>
      </c>
      <c r="D377" s="71" t="s">
        <v>89</v>
      </c>
      <c r="E377" s="4" t="s">
        <v>93</v>
      </c>
      <c r="F377" s="4" t="s">
        <v>512</v>
      </c>
      <c r="G377" s="4"/>
      <c r="H377" s="7" t="s">
        <v>131</v>
      </c>
      <c r="I377" s="60"/>
      <c r="J377" s="118">
        <v>155206.54999999999</v>
      </c>
      <c r="K377" s="118"/>
      <c r="L377" s="118"/>
      <c r="M377" s="118"/>
      <c r="N377" s="127"/>
      <c r="O377" s="26"/>
    </row>
    <row r="378" spans="1:15" ht="15" customHeight="1" x14ac:dyDescent="0.25">
      <c r="A378" s="54">
        <v>45295</v>
      </c>
      <c r="B378" s="25">
        <f t="shared" si="10"/>
        <v>1</v>
      </c>
      <c r="C378" s="25">
        <f t="shared" si="11"/>
        <v>2024</v>
      </c>
      <c r="D378" s="71" t="s">
        <v>92</v>
      </c>
      <c r="E378" s="4" t="s">
        <v>92</v>
      </c>
      <c r="F378" s="4" t="s">
        <v>630</v>
      </c>
      <c r="G378" s="4"/>
      <c r="H378" s="7" t="s">
        <v>545</v>
      </c>
      <c r="I378" s="60"/>
      <c r="J378" s="118"/>
      <c r="K378" s="118">
        <v>6250.35</v>
      </c>
      <c r="L378" s="118"/>
      <c r="M378" s="118"/>
      <c r="N378" s="127"/>
      <c r="O378" s="26"/>
    </row>
    <row r="379" spans="1:15" ht="15" customHeight="1" x14ac:dyDescent="0.25">
      <c r="A379" s="54">
        <v>45295</v>
      </c>
      <c r="B379" s="25">
        <f t="shared" si="10"/>
        <v>1</v>
      </c>
      <c r="C379" s="25">
        <f t="shared" si="11"/>
        <v>2024</v>
      </c>
      <c r="D379" s="71" t="s">
        <v>610</v>
      </c>
      <c r="E379" s="4" t="s">
        <v>93</v>
      </c>
      <c r="F379" s="4" t="s">
        <v>631</v>
      </c>
      <c r="G379" s="4"/>
      <c r="H379" s="7" t="s">
        <v>545</v>
      </c>
      <c r="I379" s="60"/>
      <c r="J379" s="118"/>
      <c r="K379" s="118">
        <v>3964.57</v>
      </c>
      <c r="L379" s="118"/>
      <c r="M379" s="118"/>
      <c r="N379" s="127"/>
      <c r="O379" s="26"/>
    </row>
    <row r="380" spans="1:15" ht="15" customHeight="1" x14ac:dyDescent="0.25">
      <c r="A380" s="54">
        <v>45295</v>
      </c>
      <c r="B380" s="25">
        <f t="shared" si="10"/>
        <v>1</v>
      </c>
      <c r="C380" s="25">
        <f t="shared" si="11"/>
        <v>2024</v>
      </c>
      <c r="D380" s="71" t="s">
        <v>610</v>
      </c>
      <c r="E380" s="4" t="s">
        <v>93</v>
      </c>
      <c r="F380" s="4" t="s">
        <v>632</v>
      </c>
      <c r="G380" s="4"/>
      <c r="H380" s="7" t="s">
        <v>545</v>
      </c>
      <c r="I380" s="60"/>
      <c r="J380" s="118"/>
      <c r="K380" s="118">
        <v>60027.87</v>
      </c>
      <c r="L380" s="118"/>
      <c r="M380" s="118"/>
      <c r="N380" s="127"/>
      <c r="O380" s="26"/>
    </row>
    <row r="381" spans="1:15" ht="15" customHeight="1" x14ac:dyDescent="0.25">
      <c r="A381" s="93">
        <v>45295</v>
      </c>
      <c r="B381" s="25">
        <f t="shared" si="10"/>
        <v>1</v>
      </c>
      <c r="C381" s="25">
        <f t="shared" si="11"/>
        <v>2024</v>
      </c>
      <c r="D381" s="124" t="s">
        <v>420</v>
      </c>
      <c r="E381" s="125" t="s">
        <v>92</v>
      </c>
      <c r="F381" s="125" t="s">
        <v>624</v>
      </c>
      <c r="G381" s="125"/>
      <c r="H381" s="95" t="s">
        <v>420</v>
      </c>
      <c r="I381" s="95"/>
      <c r="J381" s="139"/>
      <c r="K381" s="139">
        <v>4600</v>
      </c>
      <c r="L381" s="139"/>
      <c r="M381" s="139"/>
      <c r="N381" s="140"/>
    </row>
    <row r="382" spans="1:15" ht="15" customHeight="1" x14ac:dyDescent="0.25">
      <c r="A382" s="54">
        <v>45295</v>
      </c>
      <c r="B382" s="25">
        <f t="shared" si="10"/>
        <v>1</v>
      </c>
      <c r="C382" s="25">
        <f t="shared" si="11"/>
        <v>2024</v>
      </c>
      <c r="D382" s="71" t="s">
        <v>92</v>
      </c>
      <c r="E382" s="4" t="s">
        <v>92</v>
      </c>
      <c r="F382" s="4" t="s">
        <v>792</v>
      </c>
      <c r="G382" s="4"/>
      <c r="H382" s="7" t="s">
        <v>92</v>
      </c>
      <c r="I382" s="60"/>
      <c r="J382" s="118"/>
      <c r="K382" s="118">
        <v>52207</v>
      </c>
      <c r="L382" s="118"/>
      <c r="M382" s="118"/>
      <c r="N382" s="127"/>
      <c r="O382" s="26"/>
    </row>
    <row r="383" spans="1:15" ht="15" customHeight="1" x14ac:dyDescent="0.25">
      <c r="A383" s="54">
        <v>45296</v>
      </c>
      <c r="B383" s="25">
        <f t="shared" si="10"/>
        <v>1</v>
      </c>
      <c r="C383" s="25">
        <f t="shared" si="11"/>
        <v>2024</v>
      </c>
      <c r="D383" s="71" t="s">
        <v>89</v>
      </c>
      <c r="E383" s="4" t="s">
        <v>93</v>
      </c>
      <c r="F383" s="4" t="s">
        <v>517</v>
      </c>
      <c r="G383" s="4"/>
      <c r="H383" s="7" t="s">
        <v>130</v>
      </c>
      <c r="I383" s="60"/>
      <c r="J383" s="118">
        <v>109000</v>
      </c>
      <c r="K383" s="118"/>
      <c r="L383" s="118"/>
      <c r="M383" s="118"/>
      <c r="N383" s="127"/>
      <c r="O383" s="26"/>
    </row>
    <row r="384" spans="1:15" ht="15" customHeight="1" x14ac:dyDescent="0.25">
      <c r="A384" s="54">
        <v>45296</v>
      </c>
      <c r="B384" s="25">
        <f t="shared" si="10"/>
        <v>1</v>
      </c>
      <c r="C384" s="25">
        <f t="shared" si="11"/>
        <v>2024</v>
      </c>
      <c r="D384" s="71" t="s">
        <v>501</v>
      </c>
      <c r="E384" s="4" t="s">
        <v>93</v>
      </c>
      <c r="F384" s="4"/>
      <c r="G384" s="4"/>
      <c r="H384" s="7" t="s">
        <v>130</v>
      </c>
      <c r="I384" s="60"/>
      <c r="J384" s="118"/>
      <c r="K384" s="118">
        <v>220000</v>
      </c>
      <c r="L384" s="118"/>
      <c r="M384" s="118"/>
      <c r="N384" s="127"/>
      <c r="O384" s="26"/>
    </row>
    <row r="385" spans="1:15" ht="15" customHeight="1" x14ac:dyDescent="0.25">
      <c r="A385" s="54">
        <v>45296</v>
      </c>
      <c r="B385" s="25">
        <f t="shared" si="10"/>
        <v>1</v>
      </c>
      <c r="C385" s="25">
        <f t="shared" si="11"/>
        <v>2024</v>
      </c>
      <c r="D385" s="71" t="s">
        <v>626</v>
      </c>
      <c r="E385" s="4" t="s">
        <v>93</v>
      </c>
      <c r="F385" s="4"/>
      <c r="G385" s="4"/>
      <c r="H385" s="7" t="s">
        <v>130</v>
      </c>
      <c r="I385" s="60"/>
      <c r="J385" s="118"/>
      <c r="K385" s="118">
        <v>60800</v>
      </c>
      <c r="L385" s="118"/>
      <c r="M385" s="118"/>
      <c r="N385" s="127"/>
      <c r="O385" s="26"/>
    </row>
    <row r="386" spans="1:15" ht="15" customHeight="1" x14ac:dyDescent="0.25">
      <c r="A386" s="54">
        <v>45297</v>
      </c>
      <c r="B386" s="25">
        <f t="shared" si="10"/>
        <v>1</v>
      </c>
      <c r="C386" s="25">
        <f t="shared" si="11"/>
        <v>2024</v>
      </c>
      <c r="D386" s="71" t="s">
        <v>89</v>
      </c>
      <c r="E386" s="4" t="s">
        <v>93</v>
      </c>
      <c r="F386" s="4" t="s">
        <v>623</v>
      </c>
      <c r="G386" s="4"/>
      <c r="H386" s="7" t="s">
        <v>130</v>
      </c>
      <c r="I386" s="60"/>
      <c r="J386" s="118">
        <v>100000</v>
      </c>
      <c r="K386" s="118"/>
      <c r="L386" s="118"/>
      <c r="M386" s="118"/>
      <c r="N386" s="127"/>
      <c r="O386" s="26"/>
    </row>
    <row r="387" spans="1:15" ht="15" customHeight="1" x14ac:dyDescent="0.25">
      <c r="A387" s="54">
        <v>45297</v>
      </c>
      <c r="B387" s="25">
        <f t="shared" ref="B387:B450" si="12">MONTH(A387)</f>
        <v>1</v>
      </c>
      <c r="C387" s="25">
        <f t="shared" ref="C387:C450" si="13">YEAR((A387))</f>
        <v>2024</v>
      </c>
      <c r="D387" s="71" t="s">
        <v>89</v>
      </c>
      <c r="E387" s="4" t="s">
        <v>93</v>
      </c>
      <c r="F387" s="4" t="s">
        <v>590</v>
      </c>
      <c r="G387" s="4"/>
      <c r="H387" s="7" t="s">
        <v>130</v>
      </c>
      <c r="I387" s="60"/>
      <c r="J387" s="118">
        <v>180000</v>
      </c>
      <c r="K387" s="118"/>
      <c r="L387" s="118"/>
      <c r="M387" s="118"/>
      <c r="N387" s="127"/>
      <c r="O387" s="26"/>
    </row>
    <row r="388" spans="1:15" ht="15" customHeight="1" x14ac:dyDescent="0.25">
      <c r="A388" s="93">
        <v>45297</v>
      </c>
      <c r="B388" s="25">
        <f t="shared" si="12"/>
        <v>1</v>
      </c>
      <c r="C388" s="25">
        <f t="shared" si="13"/>
        <v>2024</v>
      </c>
      <c r="D388" s="124" t="s">
        <v>420</v>
      </c>
      <c r="E388" s="125" t="s">
        <v>92</v>
      </c>
      <c r="F388" s="125" t="s">
        <v>624</v>
      </c>
      <c r="G388" s="125"/>
      <c r="H388" s="95" t="s">
        <v>420</v>
      </c>
      <c r="I388" s="95"/>
      <c r="J388" s="139"/>
      <c r="K388" s="139">
        <v>5500</v>
      </c>
      <c r="L388" s="139"/>
      <c r="M388" s="139"/>
      <c r="N388" s="140"/>
    </row>
    <row r="389" spans="1:15" ht="15" customHeight="1" x14ac:dyDescent="0.25">
      <c r="A389" s="93">
        <v>45297</v>
      </c>
      <c r="B389" s="25">
        <f t="shared" si="12"/>
        <v>1</v>
      </c>
      <c r="C389" s="25">
        <f t="shared" si="13"/>
        <v>2024</v>
      </c>
      <c r="D389" s="124" t="s">
        <v>420</v>
      </c>
      <c r="E389" s="125" t="s">
        <v>92</v>
      </c>
      <c r="F389" s="125" t="s">
        <v>624</v>
      </c>
      <c r="G389" s="125"/>
      <c r="H389" s="95" t="s">
        <v>420</v>
      </c>
      <c r="I389" s="95"/>
      <c r="J389" s="139"/>
      <c r="K389" s="139">
        <v>7000</v>
      </c>
      <c r="L389" s="139"/>
      <c r="M389" s="139"/>
      <c r="N389" s="140"/>
    </row>
    <row r="390" spans="1:15" ht="15" customHeight="1" x14ac:dyDescent="0.25">
      <c r="A390" s="93">
        <v>45298</v>
      </c>
      <c r="B390" s="25">
        <f t="shared" si="12"/>
        <v>1</v>
      </c>
      <c r="C390" s="25">
        <f t="shared" si="13"/>
        <v>2024</v>
      </c>
      <c r="D390" s="124" t="s">
        <v>420</v>
      </c>
      <c r="E390" s="125" t="s">
        <v>92</v>
      </c>
      <c r="F390" s="125" t="s">
        <v>705</v>
      </c>
      <c r="G390" s="125"/>
      <c r="H390" s="95" t="s">
        <v>420</v>
      </c>
      <c r="I390" s="95"/>
      <c r="J390" s="139"/>
      <c r="K390" s="139">
        <v>18650</v>
      </c>
      <c r="L390" s="139"/>
      <c r="M390" s="139"/>
      <c r="N390" s="140"/>
    </row>
    <row r="391" spans="1:15" ht="15" customHeight="1" x14ac:dyDescent="0.25">
      <c r="A391" s="54">
        <v>45299</v>
      </c>
      <c r="B391" s="25">
        <f t="shared" si="12"/>
        <v>1</v>
      </c>
      <c r="C391" s="25">
        <f t="shared" si="13"/>
        <v>2024</v>
      </c>
      <c r="D391" s="71" t="s">
        <v>92</v>
      </c>
      <c r="E391" s="4" t="s">
        <v>92</v>
      </c>
      <c r="F391" s="4" t="s">
        <v>625</v>
      </c>
      <c r="G391" s="4"/>
      <c r="H391" s="7" t="s">
        <v>131</v>
      </c>
      <c r="I391" s="60"/>
      <c r="J391" s="118"/>
      <c r="K391" s="118">
        <v>155206.54999999999</v>
      </c>
      <c r="L391" s="118"/>
      <c r="M391" s="118"/>
      <c r="N391" s="127"/>
      <c r="O391" s="26"/>
    </row>
    <row r="392" spans="1:15" ht="15" customHeight="1" x14ac:dyDescent="0.25">
      <c r="A392" s="54">
        <v>45299</v>
      </c>
      <c r="B392" s="25">
        <f t="shared" si="12"/>
        <v>1</v>
      </c>
      <c r="C392" s="25">
        <f t="shared" si="13"/>
        <v>2024</v>
      </c>
      <c r="D392" s="71" t="s">
        <v>352</v>
      </c>
      <c r="E392" s="4" t="s">
        <v>93</v>
      </c>
      <c r="F392" s="4" t="s">
        <v>629</v>
      </c>
      <c r="G392" s="4"/>
      <c r="H392" s="7" t="s">
        <v>130</v>
      </c>
      <c r="I392" s="60"/>
      <c r="J392" s="118">
        <v>108200</v>
      </c>
      <c r="K392" s="118"/>
      <c r="L392" s="118"/>
      <c r="M392" s="118"/>
      <c r="N392" s="127"/>
      <c r="O392" s="26"/>
    </row>
    <row r="393" spans="1:15" ht="15" customHeight="1" x14ac:dyDescent="0.25">
      <c r="A393" s="54">
        <v>45300</v>
      </c>
      <c r="B393" s="25">
        <f t="shared" si="12"/>
        <v>1</v>
      </c>
      <c r="C393" s="25">
        <f t="shared" si="13"/>
        <v>2024</v>
      </c>
      <c r="D393" s="71" t="s">
        <v>352</v>
      </c>
      <c r="E393" s="4" t="s">
        <v>93</v>
      </c>
      <c r="F393" s="4" t="s">
        <v>150</v>
      </c>
      <c r="G393" s="4"/>
      <c r="H393" s="7" t="s">
        <v>131</v>
      </c>
      <c r="I393" s="60"/>
      <c r="J393" s="118">
        <v>100000</v>
      </c>
      <c r="K393" s="118"/>
      <c r="L393" s="118"/>
      <c r="M393" s="118"/>
      <c r="N393" s="127"/>
      <c r="O393" s="26"/>
    </row>
    <row r="394" spans="1:15" ht="15" customHeight="1" x14ac:dyDescent="0.25">
      <c r="A394" s="93">
        <v>45300</v>
      </c>
      <c r="B394" s="94">
        <f t="shared" si="12"/>
        <v>1</v>
      </c>
      <c r="C394" s="94">
        <f t="shared" si="13"/>
        <v>2024</v>
      </c>
      <c r="D394" s="124" t="s">
        <v>352</v>
      </c>
      <c r="E394" s="125" t="s">
        <v>93</v>
      </c>
      <c r="F394" s="125" t="s">
        <v>150</v>
      </c>
      <c r="G394" s="125"/>
      <c r="H394" s="95" t="s">
        <v>131</v>
      </c>
      <c r="I394" s="126"/>
      <c r="J394" s="139">
        <v>150000</v>
      </c>
      <c r="K394" s="139"/>
      <c r="L394" s="139"/>
      <c r="M394" s="139"/>
      <c r="N394" s="131"/>
    </row>
    <row r="395" spans="1:15" ht="15" customHeight="1" x14ac:dyDescent="0.25">
      <c r="A395" s="54">
        <v>45300</v>
      </c>
      <c r="B395" s="25">
        <f t="shared" si="12"/>
        <v>1</v>
      </c>
      <c r="C395" s="25">
        <f t="shared" si="13"/>
        <v>2024</v>
      </c>
      <c r="D395" s="71" t="s">
        <v>92</v>
      </c>
      <c r="E395" s="4" t="s">
        <v>92</v>
      </c>
      <c r="F395" s="4" t="s">
        <v>784</v>
      </c>
      <c r="G395" s="4"/>
      <c r="H395" s="7" t="s">
        <v>92</v>
      </c>
      <c r="I395" s="60"/>
      <c r="J395" s="118"/>
      <c r="K395" s="118">
        <v>69300</v>
      </c>
      <c r="L395" s="118"/>
      <c r="M395" s="118"/>
      <c r="N395" s="127"/>
      <c r="O395" s="26"/>
    </row>
    <row r="396" spans="1:15" ht="15" customHeight="1" x14ac:dyDescent="0.25">
      <c r="A396" s="54">
        <v>45301</v>
      </c>
      <c r="B396" s="25">
        <f t="shared" si="12"/>
        <v>1</v>
      </c>
      <c r="C396" s="25">
        <f t="shared" si="13"/>
        <v>2024</v>
      </c>
      <c r="D396" s="71" t="s">
        <v>420</v>
      </c>
      <c r="E396" s="4" t="s">
        <v>92</v>
      </c>
      <c r="F396" s="4" t="s">
        <v>791</v>
      </c>
      <c r="G396" s="4"/>
      <c r="H396" s="7" t="s">
        <v>92</v>
      </c>
      <c r="I396" s="60"/>
      <c r="J396" s="118"/>
      <c r="K396" s="118">
        <v>11765</v>
      </c>
      <c r="L396" s="118"/>
      <c r="M396" s="118"/>
      <c r="N396" s="127"/>
      <c r="O396" s="26"/>
    </row>
    <row r="397" spans="1:15" ht="15" customHeight="1" x14ac:dyDescent="0.25">
      <c r="A397" s="54">
        <v>45302</v>
      </c>
      <c r="B397" s="25">
        <f t="shared" si="12"/>
        <v>1</v>
      </c>
      <c r="C397" s="25">
        <f t="shared" si="13"/>
        <v>2024</v>
      </c>
      <c r="D397" s="71" t="s">
        <v>352</v>
      </c>
      <c r="E397" s="4" t="s">
        <v>93</v>
      </c>
      <c r="F397" s="4" t="s">
        <v>650</v>
      </c>
      <c r="G397" s="4"/>
      <c r="H397" s="7" t="s">
        <v>130</v>
      </c>
      <c r="I397" s="60"/>
      <c r="J397" s="118">
        <v>277020</v>
      </c>
      <c r="K397" s="118"/>
      <c r="L397" s="118"/>
      <c r="M397" s="118"/>
      <c r="N397" s="127"/>
      <c r="O397" s="26"/>
    </row>
    <row r="398" spans="1:15" ht="15" customHeight="1" x14ac:dyDescent="0.25">
      <c r="A398" s="54">
        <v>45302</v>
      </c>
      <c r="B398" s="25">
        <f t="shared" si="12"/>
        <v>1</v>
      </c>
      <c r="C398" s="25">
        <f t="shared" si="13"/>
        <v>2024</v>
      </c>
      <c r="D398" s="71" t="s">
        <v>124</v>
      </c>
      <c r="E398" s="4" t="s">
        <v>93</v>
      </c>
      <c r="F398" s="4"/>
      <c r="G398" s="4" t="s">
        <v>553</v>
      </c>
      <c r="H398" s="7" t="s">
        <v>130</v>
      </c>
      <c r="I398" s="60"/>
      <c r="J398" s="118"/>
      <c r="K398" s="118">
        <v>177000</v>
      </c>
      <c r="L398" s="118"/>
      <c r="M398" s="118"/>
      <c r="N398" s="127"/>
      <c r="O398" s="26"/>
    </row>
    <row r="399" spans="1:15" ht="15" customHeight="1" x14ac:dyDescent="0.25">
      <c r="A399" s="54">
        <v>45302</v>
      </c>
      <c r="B399" s="25">
        <f t="shared" si="12"/>
        <v>1</v>
      </c>
      <c r="C399" s="25">
        <f t="shared" si="13"/>
        <v>2024</v>
      </c>
      <c r="D399" s="71" t="s">
        <v>250</v>
      </c>
      <c r="E399" s="4" t="s">
        <v>93</v>
      </c>
      <c r="F399" s="4" t="s">
        <v>651</v>
      </c>
      <c r="G399" s="4"/>
      <c r="H399" s="7" t="s">
        <v>545</v>
      </c>
      <c r="I399" s="60"/>
      <c r="J399" s="118"/>
      <c r="K399" s="118">
        <v>30000</v>
      </c>
      <c r="L399" s="118"/>
      <c r="M399" s="118"/>
      <c r="N399" s="127"/>
      <c r="O399" s="26"/>
    </row>
    <row r="400" spans="1:15" ht="15" customHeight="1" x14ac:dyDescent="0.25">
      <c r="A400" s="54">
        <v>45302</v>
      </c>
      <c r="B400" s="25">
        <f t="shared" si="12"/>
        <v>1</v>
      </c>
      <c r="C400" s="25">
        <f t="shared" si="13"/>
        <v>2024</v>
      </c>
      <c r="D400" s="71" t="s">
        <v>89</v>
      </c>
      <c r="E400" s="4" t="s">
        <v>93</v>
      </c>
      <c r="F400" s="4" t="s">
        <v>652</v>
      </c>
      <c r="G400" s="4"/>
      <c r="H400" s="7" t="s">
        <v>130</v>
      </c>
      <c r="I400" s="60"/>
      <c r="J400" s="118">
        <v>63000</v>
      </c>
      <c r="K400" s="118"/>
      <c r="L400" s="118"/>
      <c r="M400" s="118"/>
      <c r="N400" s="127"/>
      <c r="O400" s="26"/>
    </row>
    <row r="401" spans="1:15" ht="15" customHeight="1" x14ac:dyDescent="0.25">
      <c r="A401" s="93">
        <v>45302</v>
      </c>
      <c r="B401" s="25">
        <f t="shared" si="12"/>
        <v>1</v>
      </c>
      <c r="C401" s="25">
        <f t="shared" si="13"/>
        <v>2024</v>
      </c>
      <c r="D401" s="124" t="s">
        <v>420</v>
      </c>
      <c r="E401" s="125" t="s">
        <v>92</v>
      </c>
      <c r="F401" s="125" t="s">
        <v>714</v>
      </c>
      <c r="G401" s="125"/>
      <c r="H401" s="95" t="s">
        <v>420</v>
      </c>
      <c r="I401" s="95"/>
      <c r="J401" s="139"/>
      <c r="K401" s="139">
        <v>15000</v>
      </c>
      <c r="L401" s="139"/>
      <c r="M401" s="139"/>
      <c r="N401" s="140"/>
    </row>
    <row r="402" spans="1:15" ht="15" customHeight="1" x14ac:dyDescent="0.25">
      <c r="A402" s="93">
        <v>45302</v>
      </c>
      <c r="B402" s="25">
        <f t="shared" si="12"/>
        <v>1</v>
      </c>
      <c r="C402" s="25">
        <f t="shared" si="13"/>
        <v>2024</v>
      </c>
      <c r="D402" s="124" t="s">
        <v>420</v>
      </c>
      <c r="E402" s="125" t="s">
        <v>92</v>
      </c>
      <c r="F402" s="125" t="s">
        <v>715</v>
      </c>
      <c r="G402" s="125"/>
      <c r="H402" s="95" t="s">
        <v>420</v>
      </c>
      <c r="I402" s="95"/>
      <c r="J402" s="139"/>
      <c r="K402" s="139">
        <v>8500</v>
      </c>
      <c r="L402" s="139"/>
      <c r="M402" s="139"/>
      <c r="N402" s="140"/>
    </row>
    <row r="403" spans="1:15" ht="15" customHeight="1" x14ac:dyDescent="0.25">
      <c r="A403" s="54">
        <v>45302</v>
      </c>
      <c r="B403" s="25">
        <f t="shared" si="12"/>
        <v>1</v>
      </c>
      <c r="C403" s="25">
        <f t="shared" si="13"/>
        <v>2024</v>
      </c>
      <c r="D403" s="71" t="s">
        <v>92</v>
      </c>
      <c r="E403" s="4" t="s">
        <v>92</v>
      </c>
      <c r="F403" s="4" t="s">
        <v>792</v>
      </c>
      <c r="G403" s="4"/>
      <c r="H403" s="7" t="s">
        <v>92</v>
      </c>
      <c r="I403" s="60"/>
      <c r="J403" s="118"/>
      <c r="K403" s="118">
        <v>4196</v>
      </c>
      <c r="L403" s="118"/>
      <c r="M403" s="118"/>
      <c r="N403" s="127"/>
      <c r="O403" s="26"/>
    </row>
    <row r="404" spans="1:15" ht="15" customHeight="1" x14ac:dyDescent="0.25">
      <c r="A404" s="54">
        <v>45303</v>
      </c>
      <c r="B404" s="25">
        <f t="shared" si="12"/>
        <v>1</v>
      </c>
      <c r="C404" s="25">
        <f t="shared" si="13"/>
        <v>2024</v>
      </c>
      <c r="D404" s="71" t="s">
        <v>89</v>
      </c>
      <c r="E404" s="4" t="s">
        <v>93</v>
      </c>
      <c r="F404" s="4" t="s">
        <v>653</v>
      </c>
      <c r="G404" s="4"/>
      <c r="H404" s="7" t="s">
        <v>130</v>
      </c>
      <c r="I404" s="60"/>
      <c r="J404" s="118">
        <v>150000</v>
      </c>
      <c r="K404" s="118"/>
      <c r="L404" s="118"/>
      <c r="M404" s="118"/>
      <c r="N404" s="127"/>
      <c r="O404" s="26"/>
    </row>
    <row r="405" spans="1:15" ht="15" customHeight="1" x14ac:dyDescent="0.25">
      <c r="A405" s="54">
        <v>45303</v>
      </c>
      <c r="B405" s="25">
        <f t="shared" si="12"/>
        <v>1</v>
      </c>
      <c r="C405" s="25">
        <f t="shared" si="13"/>
        <v>2024</v>
      </c>
      <c r="D405" s="71" t="s">
        <v>89</v>
      </c>
      <c r="E405" s="4" t="s">
        <v>93</v>
      </c>
      <c r="F405" s="4" t="s">
        <v>654</v>
      </c>
      <c r="G405" s="4"/>
      <c r="H405" s="7" t="s">
        <v>130</v>
      </c>
      <c r="I405" s="60"/>
      <c r="J405" s="118">
        <v>121710</v>
      </c>
      <c r="K405" s="118"/>
      <c r="L405" s="118"/>
      <c r="M405" s="118"/>
      <c r="N405" s="127"/>
      <c r="O405" s="26"/>
    </row>
    <row r="406" spans="1:15" ht="15" customHeight="1" x14ac:dyDescent="0.25">
      <c r="A406" s="93">
        <v>45303</v>
      </c>
      <c r="B406" s="25">
        <f t="shared" si="12"/>
        <v>1</v>
      </c>
      <c r="C406" s="25">
        <f t="shared" si="13"/>
        <v>2024</v>
      </c>
      <c r="D406" s="124" t="s">
        <v>420</v>
      </c>
      <c r="E406" s="125" t="s">
        <v>92</v>
      </c>
      <c r="F406" s="125" t="s">
        <v>624</v>
      </c>
      <c r="G406" s="125"/>
      <c r="H406" s="95" t="s">
        <v>420</v>
      </c>
      <c r="I406" s="95"/>
      <c r="J406" s="139"/>
      <c r="K406" s="139">
        <v>15000</v>
      </c>
      <c r="L406" s="139"/>
      <c r="M406" s="139"/>
      <c r="N406" s="140"/>
    </row>
    <row r="407" spans="1:15" ht="15" customHeight="1" x14ac:dyDescent="0.25">
      <c r="A407" s="54">
        <v>45304</v>
      </c>
      <c r="B407" s="25">
        <f t="shared" si="12"/>
        <v>1</v>
      </c>
      <c r="C407" s="25">
        <f t="shared" si="13"/>
        <v>2024</v>
      </c>
      <c r="D407" s="71" t="s">
        <v>501</v>
      </c>
      <c r="E407" s="4" t="s">
        <v>93</v>
      </c>
      <c r="F407" s="4" t="s">
        <v>169</v>
      </c>
      <c r="G407" s="4"/>
      <c r="H407" s="7" t="s">
        <v>130</v>
      </c>
      <c r="I407" s="60"/>
      <c r="J407" s="118"/>
      <c r="K407" s="118">
        <v>100000</v>
      </c>
      <c r="L407" s="118"/>
      <c r="M407" s="118"/>
      <c r="N407" s="127"/>
      <c r="O407" s="26"/>
    </row>
    <row r="408" spans="1:15" ht="15" customHeight="1" x14ac:dyDescent="0.25">
      <c r="A408" s="54">
        <v>45304</v>
      </c>
      <c r="B408" s="25">
        <f t="shared" si="12"/>
        <v>1</v>
      </c>
      <c r="C408" s="25">
        <f t="shared" si="13"/>
        <v>2024</v>
      </c>
      <c r="D408" s="71" t="s">
        <v>500</v>
      </c>
      <c r="E408" s="4" t="s">
        <v>93</v>
      </c>
      <c r="F408" s="4"/>
      <c r="G408" s="4"/>
      <c r="H408" s="7" t="s">
        <v>130</v>
      </c>
      <c r="I408" s="60"/>
      <c r="J408" s="118"/>
      <c r="K408" s="118">
        <v>60800</v>
      </c>
      <c r="L408" s="118"/>
      <c r="M408" s="118"/>
      <c r="N408" s="127"/>
      <c r="O408" s="26"/>
    </row>
    <row r="409" spans="1:15" ht="15" customHeight="1" x14ac:dyDescent="0.25">
      <c r="A409" s="54">
        <v>45304</v>
      </c>
      <c r="B409" s="25">
        <f t="shared" si="12"/>
        <v>1</v>
      </c>
      <c r="C409" s="25">
        <f t="shared" si="13"/>
        <v>2024</v>
      </c>
      <c r="D409" s="71" t="s">
        <v>352</v>
      </c>
      <c r="E409" s="4" t="s">
        <v>93</v>
      </c>
      <c r="F409" s="4" t="s">
        <v>657</v>
      </c>
      <c r="G409" s="4"/>
      <c r="H409" s="7" t="s">
        <v>130</v>
      </c>
      <c r="I409" s="60"/>
      <c r="J409" s="118">
        <v>180800</v>
      </c>
      <c r="K409" s="118"/>
      <c r="L409" s="118"/>
      <c r="M409" s="118"/>
      <c r="N409" s="127"/>
      <c r="O409" s="26"/>
    </row>
    <row r="410" spans="1:15" ht="15" customHeight="1" x14ac:dyDescent="0.25">
      <c r="A410" s="54">
        <v>45305</v>
      </c>
      <c r="B410" s="25">
        <f t="shared" si="12"/>
        <v>1</v>
      </c>
      <c r="C410" s="25">
        <f t="shared" si="13"/>
        <v>2024</v>
      </c>
      <c r="D410" s="71" t="s">
        <v>92</v>
      </c>
      <c r="E410" s="4" t="s">
        <v>92</v>
      </c>
      <c r="F410" s="4" t="s">
        <v>658</v>
      </c>
      <c r="G410" s="4"/>
      <c r="H410" s="7" t="s">
        <v>92</v>
      </c>
      <c r="I410" s="60"/>
      <c r="J410" s="118"/>
      <c r="K410" s="118">
        <v>29000</v>
      </c>
      <c r="L410" s="118"/>
      <c r="M410" s="118"/>
      <c r="N410" s="127"/>
      <c r="O410" s="26"/>
    </row>
    <row r="411" spans="1:15" ht="15" customHeight="1" x14ac:dyDescent="0.25">
      <c r="A411" s="54">
        <v>45305</v>
      </c>
      <c r="B411" s="25">
        <f t="shared" si="12"/>
        <v>1</v>
      </c>
      <c r="C411" s="25">
        <f t="shared" si="13"/>
        <v>2024</v>
      </c>
      <c r="D411" s="71" t="s">
        <v>92</v>
      </c>
      <c r="E411" s="4" t="s">
        <v>92</v>
      </c>
      <c r="F411" s="4" t="s">
        <v>624</v>
      </c>
      <c r="G411" s="4"/>
      <c r="H411" s="7" t="s">
        <v>92</v>
      </c>
      <c r="I411" s="60"/>
      <c r="J411" s="118"/>
      <c r="K411" s="118">
        <v>8800</v>
      </c>
      <c r="L411" s="118"/>
      <c r="M411" s="118"/>
      <c r="N411" s="127"/>
      <c r="O411" s="26"/>
    </row>
    <row r="412" spans="1:15" ht="15" customHeight="1" x14ac:dyDescent="0.25">
      <c r="A412" s="54">
        <v>45306</v>
      </c>
      <c r="B412" s="25">
        <f t="shared" si="12"/>
        <v>1</v>
      </c>
      <c r="C412" s="25">
        <f t="shared" si="13"/>
        <v>2024</v>
      </c>
      <c r="D412" s="71" t="s">
        <v>92</v>
      </c>
      <c r="E412" s="4" t="s">
        <v>92</v>
      </c>
      <c r="F412" s="4" t="s">
        <v>112</v>
      </c>
      <c r="G412" s="4"/>
      <c r="H412" s="7" t="s">
        <v>545</v>
      </c>
      <c r="I412" s="60"/>
      <c r="J412" s="118"/>
      <c r="K412" s="118">
        <v>75000</v>
      </c>
      <c r="L412" s="118"/>
      <c r="M412" s="118"/>
      <c r="N412" s="127"/>
      <c r="O412" s="26"/>
    </row>
    <row r="413" spans="1:15" ht="15" customHeight="1" x14ac:dyDescent="0.25">
      <c r="A413" s="54">
        <v>45306</v>
      </c>
      <c r="B413" s="25">
        <f t="shared" si="12"/>
        <v>1</v>
      </c>
      <c r="C413" s="25">
        <f t="shared" si="13"/>
        <v>2024</v>
      </c>
      <c r="D413" s="71" t="s">
        <v>92</v>
      </c>
      <c r="E413" s="4" t="s">
        <v>92</v>
      </c>
      <c r="F413" s="4" t="s">
        <v>624</v>
      </c>
      <c r="G413" s="4"/>
      <c r="H413" s="7" t="s">
        <v>92</v>
      </c>
      <c r="I413" s="60"/>
      <c r="J413" s="118"/>
      <c r="K413" s="118">
        <v>11000</v>
      </c>
      <c r="L413" s="118"/>
      <c r="M413" s="118"/>
      <c r="N413" s="127"/>
      <c r="O413" s="26"/>
    </row>
    <row r="414" spans="1:15" ht="15" customHeight="1" x14ac:dyDescent="0.25">
      <c r="A414" s="54">
        <v>45306</v>
      </c>
      <c r="B414" s="25">
        <f t="shared" si="12"/>
        <v>1</v>
      </c>
      <c r="C414" s="25">
        <f t="shared" si="13"/>
        <v>2024</v>
      </c>
      <c r="D414" s="71" t="s">
        <v>502</v>
      </c>
      <c r="E414" s="4" t="s">
        <v>93</v>
      </c>
      <c r="F414" s="4"/>
      <c r="G414" s="4"/>
      <c r="H414" s="7" t="s">
        <v>545</v>
      </c>
      <c r="I414" s="60"/>
      <c r="J414" s="118"/>
      <c r="K414" s="118">
        <v>60000</v>
      </c>
      <c r="L414" s="118"/>
      <c r="M414" s="118"/>
      <c r="N414" s="127"/>
      <c r="O414" s="26"/>
    </row>
    <row r="415" spans="1:15" ht="15" customHeight="1" x14ac:dyDescent="0.25">
      <c r="A415" s="54">
        <v>45306</v>
      </c>
      <c r="B415" s="25">
        <f t="shared" si="12"/>
        <v>1</v>
      </c>
      <c r="C415" s="25">
        <f t="shared" si="13"/>
        <v>2024</v>
      </c>
      <c r="D415" s="71" t="s">
        <v>610</v>
      </c>
      <c r="E415" s="4" t="s">
        <v>92</v>
      </c>
      <c r="F415" s="4" t="s">
        <v>793</v>
      </c>
      <c r="G415" s="4"/>
      <c r="H415" s="7" t="s">
        <v>92</v>
      </c>
      <c r="I415" s="60"/>
      <c r="J415" s="118"/>
      <c r="K415" s="118">
        <v>10850</v>
      </c>
      <c r="L415" s="118"/>
      <c r="M415" s="118"/>
      <c r="N415" s="127"/>
      <c r="O415" s="26"/>
    </row>
    <row r="416" spans="1:15" ht="15" customHeight="1" x14ac:dyDescent="0.25">
      <c r="A416" s="54">
        <v>45306</v>
      </c>
      <c r="B416" s="25">
        <f t="shared" si="12"/>
        <v>1</v>
      </c>
      <c r="C416" s="25">
        <f t="shared" si="13"/>
        <v>2024</v>
      </c>
      <c r="D416" s="71" t="s">
        <v>420</v>
      </c>
      <c r="E416" s="4" t="s">
        <v>92</v>
      </c>
      <c r="F416" s="4" t="s">
        <v>791</v>
      </c>
      <c r="G416" s="4"/>
      <c r="H416" s="7" t="s">
        <v>92</v>
      </c>
      <c r="I416" s="60"/>
      <c r="J416" s="118"/>
      <c r="K416" s="118">
        <v>75000</v>
      </c>
      <c r="L416" s="118"/>
      <c r="M416" s="118"/>
      <c r="N416" s="127"/>
      <c r="O416" s="26"/>
    </row>
    <row r="417" spans="1:15" ht="15" customHeight="1" x14ac:dyDescent="0.25">
      <c r="A417" s="54">
        <v>45307</v>
      </c>
      <c r="B417" s="25">
        <f t="shared" si="12"/>
        <v>1</v>
      </c>
      <c r="C417" s="25">
        <f t="shared" si="13"/>
        <v>2024</v>
      </c>
      <c r="D417" s="71" t="s">
        <v>89</v>
      </c>
      <c r="E417" s="4" t="s">
        <v>93</v>
      </c>
      <c r="F417" s="4" t="s">
        <v>661</v>
      </c>
      <c r="G417" s="4"/>
      <c r="H417" s="7" t="s">
        <v>130</v>
      </c>
      <c r="I417" s="60"/>
      <c r="J417" s="118">
        <v>313550</v>
      </c>
      <c r="K417" s="118"/>
      <c r="L417" s="118"/>
      <c r="M417" s="118"/>
      <c r="N417" s="127"/>
      <c r="O417" s="26"/>
    </row>
    <row r="418" spans="1:15" ht="15" customHeight="1" x14ac:dyDescent="0.25">
      <c r="A418" s="54">
        <v>45307</v>
      </c>
      <c r="B418" s="25">
        <f t="shared" si="12"/>
        <v>1</v>
      </c>
      <c r="C418" s="25">
        <f t="shared" si="13"/>
        <v>2024</v>
      </c>
      <c r="D418" s="71" t="s">
        <v>124</v>
      </c>
      <c r="E418" s="4" t="s">
        <v>93</v>
      </c>
      <c r="F418" s="4" t="s">
        <v>662</v>
      </c>
      <c r="G418" s="4" t="s">
        <v>553</v>
      </c>
      <c r="H418" s="7" t="s">
        <v>130</v>
      </c>
      <c r="I418" s="60"/>
      <c r="J418" s="118"/>
      <c r="K418" s="118">
        <v>248550</v>
      </c>
      <c r="L418" s="118"/>
      <c r="M418" s="118"/>
      <c r="N418" s="127"/>
      <c r="O418" s="26"/>
    </row>
    <row r="419" spans="1:15" ht="15" customHeight="1" x14ac:dyDescent="0.25">
      <c r="A419" s="54">
        <v>45309</v>
      </c>
      <c r="B419" s="25">
        <f t="shared" si="12"/>
        <v>1</v>
      </c>
      <c r="C419" s="25">
        <f t="shared" si="13"/>
        <v>2024</v>
      </c>
      <c r="D419" s="71" t="s">
        <v>124</v>
      </c>
      <c r="E419" s="4" t="s">
        <v>93</v>
      </c>
      <c r="F419" s="4"/>
      <c r="G419" s="4" t="s">
        <v>665</v>
      </c>
      <c r="H419" s="7" t="s">
        <v>131</v>
      </c>
      <c r="I419" s="60"/>
      <c r="J419" s="118"/>
      <c r="K419" s="118">
        <v>100000</v>
      </c>
      <c r="L419" s="118"/>
      <c r="M419" s="118"/>
      <c r="N419" s="127"/>
      <c r="O419" s="26"/>
    </row>
    <row r="420" spans="1:15" ht="15" customHeight="1" x14ac:dyDescent="0.25">
      <c r="A420" s="54">
        <v>45309</v>
      </c>
      <c r="B420" s="25">
        <f t="shared" si="12"/>
        <v>1</v>
      </c>
      <c r="C420" s="25">
        <f t="shared" si="13"/>
        <v>2024</v>
      </c>
      <c r="D420" s="71" t="s">
        <v>124</v>
      </c>
      <c r="E420" s="4" t="s">
        <v>93</v>
      </c>
      <c r="F420" s="4"/>
      <c r="G420" s="4" t="s">
        <v>665</v>
      </c>
      <c r="H420" s="7" t="s">
        <v>131</v>
      </c>
      <c r="I420" s="60"/>
      <c r="J420" s="118"/>
      <c r="K420" s="118">
        <v>150000</v>
      </c>
      <c r="L420" s="118"/>
      <c r="M420" s="118"/>
      <c r="N420" s="127"/>
      <c r="O420" s="26"/>
    </row>
    <row r="421" spans="1:15" ht="15" customHeight="1" x14ac:dyDescent="0.25">
      <c r="A421" s="54">
        <v>45309</v>
      </c>
      <c r="B421" s="25">
        <f t="shared" si="12"/>
        <v>1</v>
      </c>
      <c r="C421" s="25">
        <f t="shared" si="13"/>
        <v>2024</v>
      </c>
      <c r="D421" s="71" t="s">
        <v>89</v>
      </c>
      <c r="E421" s="4" t="s">
        <v>93</v>
      </c>
      <c r="F421" s="4" t="s">
        <v>654</v>
      </c>
      <c r="G421" s="4"/>
      <c r="H421" s="7" t="s">
        <v>131</v>
      </c>
      <c r="I421" s="60"/>
      <c r="J421" s="118">
        <v>200000</v>
      </c>
      <c r="K421" s="118"/>
      <c r="L421" s="118"/>
      <c r="M421" s="118"/>
      <c r="N421" s="127"/>
      <c r="O421" s="26"/>
    </row>
    <row r="422" spans="1:15" ht="15" customHeight="1" x14ac:dyDescent="0.25">
      <c r="A422" s="54">
        <v>45309</v>
      </c>
      <c r="B422" s="25">
        <f t="shared" si="12"/>
        <v>1</v>
      </c>
      <c r="C422" s="25">
        <f t="shared" si="13"/>
        <v>2024</v>
      </c>
      <c r="D422" s="71" t="s">
        <v>124</v>
      </c>
      <c r="E422" s="4" t="s">
        <v>93</v>
      </c>
      <c r="F422" s="4"/>
      <c r="G422" s="4" t="s">
        <v>665</v>
      </c>
      <c r="H422" s="7" t="s">
        <v>131</v>
      </c>
      <c r="I422" s="60"/>
      <c r="J422" s="118"/>
      <c r="K422" s="118">
        <v>200000</v>
      </c>
      <c r="L422" s="118"/>
      <c r="M422" s="118"/>
      <c r="N422" s="127"/>
      <c r="O422" s="26"/>
    </row>
    <row r="423" spans="1:15" ht="15" customHeight="1" x14ac:dyDescent="0.25">
      <c r="A423" s="54">
        <v>45309</v>
      </c>
      <c r="B423" s="25">
        <f t="shared" si="12"/>
        <v>1</v>
      </c>
      <c r="C423" s="25">
        <f t="shared" si="13"/>
        <v>2024</v>
      </c>
      <c r="D423" s="71" t="s">
        <v>352</v>
      </c>
      <c r="E423" s="4" t="s">
        <v>93</v>
      </c>
      <c r="F423" s="4" t="s">
        <v>666</v>
      </c>
      <c r="G423" s="4"/>
      <c r="H423" s="7" t="s">
        <v>130</v>
      </c>
      <c r="I423" s="60"/>
      <c r="J423" s="118">
        <v>41000</v>
      </c>
      <c r="K423" s="118"/>
      <c r="L423" s="118"/>
      <c r="M423" s="118"/>
      <c r="N423" s="127"/>
      <c r="O423" s="26"/>
    </row>
    <row r="424" spans="1:15" ht="15" customHeight="1" x14ac:dyDescent="0.25">
      <c r="A424" s="54">
        <v>45309</v>
      </c>
      <c r="B424" s="25">
        <f t="shared" si="12"/>
        <v>1</v>
      </c>
      <c r="C424" s="25">
        <f t="shared" si="13"/>
        <v>2024</v>
      </c>
      <c r="D424" s="71" t="s">
        <v>352</v>
      </c>
      <c r="E424" s="4" t="s">
        <v>93</v>
      </c>
      <c r="F424" s="4" t="s">
        <v>667</v>
      </c>
      <c r="G424" s="4"/>
      <c r="H424" s="7" t="s">
        <v>130</v>
      </c>
      <c r="I424" s="60"/>
      <c r="J424" s="118">
        <v>210000</v>
      </c>
      <c r="K424" s="118"/>
      <c r="L424" s="118"/>
      <c r="M424" s="118"/>
      <c r="N424" s="127"/>
      <c r="O424" s="26"/>
    </row>
    <row r="425" spans="1:15" ht="15" customHeight="1" x14ac:dyDescent="0.25">
      <c r="A425" s="54">
        <v>45309</v>
      </c>
      <c r="B425" s="25">
        <f t="shared" si="12"/>
        <v>1</v>
      </c>
      <c r="C425" s="25">
        <f t="shared" si="13"/>
        <v>2024</v>
      </c>
      <c r="D425" s="71" t="s">
        <v>124</v>
      </c>
      <c r="E425" s="4" t="s">
        <v>93</v>
      </c>
      <c r="F425" s="4" t="s">
        <v>668</v>
      </c>
      <c r="G425" s="4"/>
      <c r="H425" s="7" t="s">
        <v>130</v>
      </c>
      <c r="I425" s="60"/>
      <c r="J425" s="118"/>
      <c r="K425" s="118">
        <v>23500</v>
      </c>
      <c r="L425" s="118"/>
      <c r="M425" s="118"/>
      <c r="N425" s="127"/>
      <c r="O425" s="26"/>
    </row>
    <row r="426" spans="1:15" ht="15" customHeight="1" x14ac:dyDescent="0.25">
      <c r="A426" s="54">
        <v>45309</v>
      </c>
      <c r="B426" s="25">
        <f t="shared" si="12"/>
        <v>1</v>
      </c>
      <c r="C426" s="25">
        <f t="shared" si="13"/>
        <v>2024</v>
      </c>
      <c r="D426" s="71" t="s">
        <v>92</v>
      </c>
      <c r="E426" s="4" t="s">
        <v>92</v>
      </c>
      <c r="F426" s="4" t="s">
        <v>792</v>
      </c>
      <c r="G426" s="4"/>
      <c r="H426" s="7" t="s">
        <v>92</v>
      </c>
      <c r="I426" s="60"/>
      <c r="J426" s="118"/>
      <c r="K426" s="118">
        <v>81995</v>
      </c>
      <c r="L426" s="118"/>
      <c r="M426" s="118"/>
      <c r="N426" s="127"/>
      <c r="O426" s="26"/>
    </row>
    <row r="427" spans="1:15" ht="15" customHeight="1" x14ac:dyDescent="0.25">
      <c r="A427" s="54">
        <v>45310</v>
      </c>
      <c r="B427" s="25">
        <f t="shared" si="12"/>
        <v>1</v>
      </c>
      <c r="C427" s="25">
        <f t="shared" si="13"/>
        <v>2024</v>
      </c>
      <c r="D427" s="71" t="s">
        <v>352</v>
      </c>
      <c r="E427" s="4" t="s">
        <v>93</v>
      </c>
      <c r="F427" s="4" t="s">
        <v>356</v>
      </c>
      <c r="G427" s="4"/>
      <c r="H427" s="7" t="s">
        <v>130</v>
      </c>
      <c r="I427" s="60"/>
      <c r="J427" s="118">
        <v>104600</v>
      </c>
      <c r="K427" s="118"/>
      <c r="L427" s="118"/>
      <c r="M427" s="118"/>
      <c r="N427" s="127"/>
      <c r="O427" s="26"/>
    </row>
    <row r="428" spans="1:15" ht="15" customHeight="1" x14ac:dyDescent="0.25">
      <c r="A428" s="54">
        <v>45310</v>
      </c>
      <c r="B428" s="25">
        <f t="shared" si="12"/>
        <v>1</v>
      </c>
      <c r="C428" s="25">
        <f t="shared" si="13"/>
        <v>2024</v>
      </c>
      <c r="D428" s="71" t="s">
        <v>109</v>
      </c>
      <c r="E428" s="4" t="s">
        <v>93</v>
      </c>
      <c r="F428" s="4" t="s">
        <v>669</v>
      </c>
      <c r="G428" s="4"/>
      <c r="H428" s="7" t="s">
        <v>130</v>
      </c>
      <c r="I428" s="60"/>
      <c r="J428" s="118"/>
      <c r="K428" s="118">
        <v>19300</v>
      </c>
      <c r="L428" s="118"/>
      <c r="M428" s="118"/>
      <c r="N428" s="127"/>
      <c r="O428" s="26"/>
    </row>
    <row r="429" spans="1:15" ht="15" customHeight="1" x14ac:dyDescent="0.25">
      <c r="A429" s="54">
        <v>45310</v>
      </c>
      <c r="B429" s="25">
        <f t="shared" si="12"/>
        <v>1</v>
      </c>
      <c r="C429" s="25">
        <f t="shared" si="13"/>
        <v>2024</v>
      </c>
      <c r="D429" s="71" t="s">
        <v>352</v>
      </c>
      <c r="E429" s="4" t="s">
        <v>93</v>
      </c>
      <c r="F429" s="4" t="s">
        <v>606</v>
      </c>
      <c r="G429" s="4"/>
      <c r="H429" s="7" t="s">
        <v>130</v>
      </c>
      <c r="I429" s="60"/>
      <c r="J429" s="118">
        <v>100000</v>
      </c>
      <c r="K429" s="118"/>
      <c r="L429" s="118"/>
      <c r="M429" s="118"/>
      <c r="N429" s="127"/>
      <c r="O429" s="26"/>
    </row>
    <row r="430" spans="1:15" ht="15" customHeight="1" x14ac:dyDescent="0.25">
      <c r="A430" s="54">
        <v>45310</v>
      </c>
      <c r="B430" s="25">
        <f t="shared" si="12"/>
        <v>1</v>
      </c>
      <c r="C430" s="25">
        <f t="shared" si="13"/>
        <v>2024</v>
      </c>
      <c r="D430" s="71" t="s">
        <v>352</v>
      </c>
      <c r="E430" s="4" t="s">
        <v>93</v>
      </c>
      <c r="F430" s="4" t="s">
        <v>670</v>
      </c>
      <c r="G430" s="4"/>
      <c r="H430" s="7" t="s">
        <v>130</v>
      </c>
      <c r="I430" s="60"/>
      <c r="J430" s="118">
        <v>50000</v>
      </c>
      <c r="K430" s="118"/>
      <c r="L430" s="118"/>
      <c r="M430" s="118"/>
      <c r="N430" s="127"/>
      <c r="O430" s="26"/>
    </row>
    <row r="431" spans="1:15" ht="15" customHeight="1" x14ac:dyDescent="0.25">
      <c r="A431" s="54">
        <v>45310</v>
      </c>
      <c r="B431" s="25">
        <f t="shared" si="12"/>
        <v>1</v>
      </c>
      <c r="C431" s="25">
        <f t="shared" si="13"/>
        <v>2024</v>
      </c>
      <c r="D431" s="71" t="s">
        <v>352</v>
      </c>
      <c r="E431" s="4" t="s">
        <v>93</v>
      </c>
      <c r="F431" s="4" t="s">
        <v>516</v>
      </c>
      <c r="G431" s="4"/>
      <c r="H431" s="7" t="s">
        <v>131</v>
      </c>
      <c r="I431" s="60"/>
      <c r="J431" s="118">
        <v>351448.13</v>
      </c>
      <c r="K431" s="118"/>
      <c r="L431" s="118"/>
      <c r="M431" s="118"/>
      <c r="N431" s="127"/>
      <c r="O431" s="26"/>
    </row>
    <row r="432" spans="1:15" ht="15" customHeight="1" x14ac:dyDescent="0.25">
      <c r="A432" s="54">
        <v>45310</v>
      </c>
      <c r="B432" s="25">
        <f t="shared" si="12"/>
        <v>1</v>
      </c>
      <c r="C432" s="25">
        <f t="shared" si="13"/>
        <v>2024</v>
      </c>
      <c r="D432" s="71" t="s">
        <v>352</v>
      </c>
      <c r="E432" s="4" t="s">
        <v>93</v>
      </c>
      <c r="F432" s="4" t="s">
        <v>516</v>
      </c>
      <c r="G432" s="4"/>
      <c r="H432" s="7" t="s">
        <v>131</v>
      </c>
      <c r="I432" s="60"/>
      <c r="J432" s="118">
        <v>351448.13</v>
      </c>
      <c r="K432" s="118"/>
      <c r="L432" s="118"/>
      <c r="M432" s="118"/>
      <c r="N432" s="127"/>
      <c r="O432" s="26"/>
    </row>
    <row r="433" spans="1:15" ht="15" customHeight="1" x14ac:dyDescent="0.25">
      <c r="A433" s="54">
        <v>45310</v>
      </c>
      <c r="B433" s="25">
        <f t="shared" si="12"/>
        <v>1</v>
      </c>
      <c r="C433" s="25">
        <f t="shared" si="13"/>
        <v>2024</v>
      </c>
      <c r="D433" s="71" t="s">
        <v>626</v>
      </c>
      <c r="E433" s="4" t="s">
        <v>93</v>
      </c>
      <c r="F433" s="4"/>
      <c r="G433" s="4"/>
      <c r="H433" s="7" t="s">
        <v>130</v>
      </c>
      <c r="I433" s="60"/>
      <c r="J433" s="118"/>
      <c r="K433" s="118">
        <v>60800</v>
      </c>
      <c r="L433" s="118"/>
      <c r="M433" s="118"/>
      <c r="N433" s="127"/>
      <c r="O433" s="26"/>
    </row>
    <row r="434" spans="1:15" ht="15" customHeight="1" x14ac:dyDescent="0.25">
      <c r="A434" s="54">
        <v>45310</v>
      </c>
      <c r="B434" s="25">
        <f t="shared" si="12"/>
        <v>1</v>
      </c>
      <c r="C434" s="25">
        <f t="shared" si="13"/>
        <v>2024</v>
      </c>
      <c r="D434" s="71" t="s">
        <v>501</v>
      </c>
      <c r="E434" s="4" t="s">
        <v>93</v>
      </c>
      <c r="F434" s="4" t="s">
        <v>169</v>
      </c>
      <c r="G434" s="4"/>
      <c r="H434" s="7" t="s">
        <v>130</v>
      </c>
      <c r="I434" s="60"/>
      <c r="J434" s="118"/>
      <c r="K434" s="118">
        <v>100000</v>
      </c>
      <c r="L434" s="118"/>
      <c r="M434" s="118"/>
      <c r="N434" s="127"/>
      <c r="O434" s="26"/>
    </row>
    <row r="435" spans="1:15" ht="15" customHeight="1" x14ac:dyDescent="0.25">
      <c r="A435" s="93">
        <v>45311</v>
      </c>
      <c r="B435" s="94">
        <f t="shared" si="12"/>
        <v>1</v>
      </c>
      <c r="C435" s="94">
        <f t="shared" si="13"/>
        <v>2024</v>
      </c>
      <c r="D435" s="124" t="s">
        <v>109</v>
      </c>
      <c r="E435" s="125" t="s">
        <v>93</v>
      </c>
      <c r="F435" s="125" t="s">
        <v>673</v>
      </c>
      <c r="G435" s="125"/>
      <c r="H435" s="95" t="s">
        <v>92</v>
      </c>
      <c r="I435" s="126"/>
      <c r="J435" s="139"/>
      <c r="K435" s="139">
        <v>220000</v>
      </c>
      <c r="L435" s="139"/>
      <c r="M435" s="139"/>
      <c r="N435" s="131"/>
    </row>
    <row r="436" spans="1:15" ht="15" customHeight="1" x14ac:dyDescent="0.25">
      <c r="A436" s="54">
        <v>45311</v>
      </c>
      <c r="B436" s="25">
        <f t="shared" si="12"/>
        <v>1</v>
      </c>
      <c r="C436" s="25">
        <f t="shared" si="13"/>
        <v>2024</v>
      </c>
      <c r="D436" s="71" t="s">
        <v>92</v>
      </c>
      <c r="E436" s="4" t="s">
        <v>92</v>
      </c>
      <c r="F436" s="4" t="s">
        <v>674</v>
      </c>
      <c r="G436" s="4"/>
      <c r="H436" s="7" t="s">
        <v>92</v>
      </c>
      <c r="I436" s="60"/>
      <c r="J436" s="118"/>
      <c r="K436" s="118">
        <v>10000</v>
      </c>
      <c r="L436" s="118"/>
      <c r="M436" s="118"/>
      <c r="N436" s="127"/>
      <c r="O436" s="26"/>
    </row>
    <row r="437" spans="1:15" ht="15" customHeight="1" x14ac:dyDescent="0.25">
      <c r="A437" s="54">
        <v>45311</v>
      </c>
      <c r="B437" s="25">
        <f t="shared" si="12"/>
        <v>1</v>
      </c>
      <c r="C437" s="25">
        <f t="shared" si="13"/>
        <v>2024</v>
      </c>
      <c r="D437" s="71" t="s">
        <v>92</v>
      </c>
      <c r="E437" s="4" t="s">
        <v>92</v>
      </c>
      <c r="F437" s="4" t="s">
        <v>624</v>
      </c>
      <c r="G437" s="4"/>
      <c r="H437" s="7" t="s">
        <v>92</v>
      </c>
      <c r="I437" s="60"/>
      <c r="J437" s="118"/>
      <c r="K437" s="118">
        <v>20000</v>
      </c>
      <c r="L437" s="118"/>
      <c r="M437" s="118"/>
      <c r="N437" s="127"/>
      <c r="O437" s="26"/>
    </row>
    <row r="438" spans="1:15" ht="15" customHeight="1" x14ac:dyDescent="0.25">
      <c r="A438" s="54">
        <v>45311</v>
      </c>
      <c r="B438" s="25">
        <f t="shared" si="12"/>
        <v>1</v>
      </c>
      <c r="C438" s="25">
        <f t="shared" si="13"/>
        <v>2024</v>
      </c>
      <c r="D438" s="71" t="s">
        <v>92</v>
      </c>
      <c r="E438" s="4" t="s">
        <v>92</v>
      </c>
      <c r="F438" s="4" t="s">
        <v>675</v>
      </c>
      <c r="G438" s="4"/>
      <c r="H438" s="7" t="s">
        <v>92</v>
      </c>
      <c r="I438" s="60"/>
      <c r="J438" s="118"/>
      <c r="K438" s="118">
        <v>6000</v>
      </c>
      <c r="L438" s="118"/>
      <c r="M438" s="118"/>
      <c r="N438" s="127"/>
      <c r="O438" s="26"/>
    </row>
    <row r="439" spans="1:15" ht="15" customHeight="1" x14ac:dyDescent="0.25">
      <c r="A439" s="54">
        <v>45313</v>
      </c>
      <c r="B439" s="25">
        <f t="shared" si="12"/>
        <v>1</v>
      </c>
      <c r="C439" s="25">
        <f t="shared" si="13"/>
        <v>2024</v>
      </c>
      <c r="D439" s="71" t="s">
        <v>89</v>
      </c>
      <c r="E439" s="4" t="s">
        <v>93</v>
      </c>
      <c r="F439" s="4" t="s">
        <v>677</v>
      </c>
      <c r="G439" s="4"/>
      <c r="H439" s="7" t="s">
        <v>130</v>
      </c>
      <c r="I439" s="60"/>
      <c r="J439" s="118">
        <v>58700</v>
      </c>
      <c r="K439" s="118"/>
      <c r="L439" s="118"/>
      <c r="M439" s="118"/>
      <c r="N439" s="127"/>
      <c r="O439" s="26"/>
    </row>
    <row r="440" spans="1:15" ht="15" customHeight="1" x14ac:dyDescent="0.25">
      <c r="A440" s="54">
        <v>45313</v>
      </c>
      <c r="B440" s="25">
        <f t="shared" si="12"/>
        <v>1</v>
      </c>
      <c r="C440" s="25">
        <f t="shared" si="13"/>
        <v>2024</v>
      </c>
      <c r="D440" s="71" t="s">
        <v>89</v>
      </c>
      <c r="E440" s="4" t="s">
        <v>93</v>
      </c>
      <c r="F440" s="4" t="s">
        <v>596</v>
      </c>
      <c r="G440" s="4"/>
      <c r="H440" s="7" t="s">
        <v>545</v>
      </c>
      <c r="I440" s="60"/>
      <c r="J440" s="118">
        <v>158556</v>
      </c>
      <c r="K440" s="118"/>
      <c r="L440" s="118"/>
      <c r="M440" s="118"/>
      <c r="N440" s="127">
        <v>45316</v>
      </c>
      <c r="O440" s="26"/>
    </row>
    <row r="441" spans="1:15" ht="15" customHeight="1" x14ac:dyDescent="0.25">
      <c r="A441" s="54">
        <v>45313</v>
      </c>
      <c r="B441" s="25">
        <f t="shared" si="12"/>
        <v>1</v>
      </c>
      <c r="C441" s="25">
        <f t="shared" si="13"/>
        <v>2024</v>
      </c>
      <c r="D441" s="71" t="s">
        <v>795</v>
      </c>
      <c r="E441" s="4" t="s">
        <v>92</v>
      </c>
      <c r="F441" s="4" t="s">
        <v>794</v>
      </c>
      <c r="G441" s="4"/>
      <c r="H441" s="7" t="s">
        <v>92</v>
      </c>
      <c r="I441" s="60"/>
      <c r="J441" s="118"/>
      <c r="K441" s="118">
        <v>35736.43</v>
      </c>
      <c r="L441" s="118"/>
      <c r="M441" s="118"/>
      <c r="N441" s="127"/>
      <c r="O441" s="26"/>
    </row>
    <row r="442" spans="1:15" ht="15" customHeight="1" x14ac:dyDescent="0.25">
      <c r="A442" s="54">
        <v>45314</v>
      </c>
      <c r="B442" s="25">
        <f t="shared" si="12"/>
        <v>1</v>
      </c>
      <c r="C442" s="25">
        <f t="shared" si="13"/>
        <v>2024</v>
      </c>
      <c r="D442" s="71" t="s">
        <v>92</v>
      </c>
      <c r="E442" s="4" t="s">
        <v>92</v>
      </c>
      <c r="F442" s="4" t="s">
        <v>624</v>
      </c>
      <c r="G442" s="4"/>
      <c r="H442" s="7" t="s">
        <v>92</v>
      </c>
      <c r="I442" s="60"/>
      <c r="J442" s="118"/>
      <c r="K442" s="118">
        <v>7800</v>
      </c>
      <c r="L442" s="118"/>
      <c r="M442" s="118"/>
      <c r="N442" s="127"/>
      <c r="O442" s="26"/>
    </row>
    <row r="443" spans="1:15" ht="15" customHeight="1" x14ac:dyDescent="0.25">
      <c r="A443" s="54">
        <v>45314</v>
      </c>
      <c r="B443" s="25">
        <f t="shared" si="12"/>
        <v>1</v>
      </c>
      <c r="C443" s="25">
        <f t="shared" si="13"/>
        <v>2024</v>
      </c>
      <c r="D443" s="71" t="s">
        <v>92</v>
      </c>
      <c r="E443" s="4" t="s">
        <v>92</v>
      </c>
      <c r="F443" s="4" t="s">
        <v>624</v>
      </c>
      <c r="G443" s="4"/>
      <c r="H443" s="7" t="s">
        <v>92</v>
      </c>
      <c r="I443" s="60"/>
      <c r="J443" s="118"/>
      <c r="K443" s="118">
        <v>70000</v>
      </c>
      <c r="L443" s="118"/>
      <c r="M443" s="118"/>
      <c r="N443" s="127"/>
      <c r="O443" s="26"/>
    </row>
    <row r="444" spans="1:15" ht="15" customHeight="1" x14ac:dyDescent="0.25">
      <c r="A444" s="54">
        <v>45315</v>
      </c>
      <c r="B444" s="25">
        <f t="shared" si="12"/>
        <v>1</v>
      </c>
      <c r="C444" s="25">
        <f t="shared" si="13"/>
        <v>2024</v>
      </c>
      <c r="D444" s="71" t="s">
        <v>352</v>
      </c>
      <c r="E444" s="4" t="s">
        <v>93</v>
      </c>
      <c r="F444" s="4" t="s">
        <v>678</v>
      </c>
      <c r="G444" s="4"/>
      <c r="H444" s="7" t="s">
        <v>131</v>
      </c>
      <c r="I444" s="60"/>
      <c r="J444" s="118">
        <v>250000</v>
      </c>
      <c r="K444" s="118"/>
      <c r="L444" s="118"/>
      <c r="M444" s="118"/>
      <c r="N444" s="127"/>
      <c r="O444" s="26"/>
    </row>
    <row r="445" spans="1:15" ht="15" customHeight="1" x14ac:dyDescent="0.25">
      <c r="A445" s="54">
        <v>45315</v>
      </c>
      <c r="B445" s="25">
        <f t="shared" si="12"/>
        <v>1</v>
      </c>
      <c r="C445" s="25">
        <f t="shared" si="13"/>
        <v>2024</v>
      </c>
      <c r="D445" s="71" t="s">
        <v>89</v>
      </c>
      <c r="E445" s="4" t="s">
        <v>93</v>
      </c>
      <c r="F445" s="4" t="s">
        <v>512</v>
      </c>
      <c r="G445" s="4"/>
      <c r="H445" s="7" t="s">
        <v>131</v>
      </c>
      <c r="I445" s="60"/>
      <c r="J445" s="118">
        <v>152785.12</v>
      </c>
      <c r="K445" s="118"/>
      <c r="L445" s="118"/>
      <c r="M445" s="118"/>
      <c r="N445" s="127"/>
      <c r="O445" s="26"/>
    </row>
    <row r="446" spans="1:15" ht="15" customHeight="1" x14ac:dyDescent="0.25">
      <c r="A446" s="54">
        <v>45315</v>
      </c>
      <c r="B446" s="25">
        <f t="shared" si="12"/>
        <v>1</v>
      </c>
      <c r="C446" s="25">
        <f t="shared" si="13"/>
        <v>2024</v>
      </c>
      <c r="D446" s="71" t="s">
        <v>89</v>
      </c>
      <c r="E446" s="4" t="s">
        <v>93</v>
      </c>
      <c r="F446" s="4" t="s">
        <v>150</v>
      </c>
      <c r="G446" s="4"/>
      <c r="H446" s="7" t="s">
        <v>131</v>
      </c>
      <c r="I446" s="60"/>
      <c r="J446" s="118">
        <v>60000</v>
      </c>
      <c r="K446" s="118"/>
      <c r="L446" s="118"/>
      <c r="M446" s="118"/>
      <c r="N446" s="127"/>
      <c r="O446" s="26"/>
    </row>
    <row r="447" spans="1:15" ht="15" customHeight="1" x14ac:dyDescent="0.25">
      <c r="A447" s="54">
        <v>45315</v>
      </c>
      <c r="B447" s="25">
        <f t="shared" si="12"/>
        <v>1</v>
      </c>
      <c r="C447" s="25">
        <f t="shared" si="13"/>
        <v>2024</v>
      </c>
      <c r="D447" s="71" t="s">
        <v>89</v>
      </c>
      <c r="E447" s="4" t="s">
        <v>93</v>
      </c>
      <c r="F447" s="4" t="s">
        <v>150</v>
      </c>
      <c r="G447" s="4"/>
      <c r="H447" s="7" t="s">
        <v>131</v>
      </c>
      <c r="I447" s="60"/>
      <c r="J447" s="118">
        <v>34425</v>
      </c>
      <c r="K447" s="118"/>
      <c r="L447" s="118"/>
      <c r="M447" s="118"/>
      <c r="N447" s="127"/>
      <c r="O447" s="26"/>
    </row>
    <row r="448" spans="1:15" ht="15" customHeight="1" x14ac:dyDescent="0.25">
      <c r="A448" s="54">
        <v>45315</v>
      </c>
      <c r="B448" s="25">
        <f t="shared" si="12"/>
        <v>1</v>
      </c>
      <c r="C448" s="25">
        <f t="shared" si="13"/>
        <v>2024</v>
      </c>
      <c r="D448" s="71" t="s">
        <v>89</v>
      </c>
      <c r="E448" s="4" t="s">
        <v>93</v>
      </c>
      <c r="F448" s="4" t="s">
        <v>150</v>
      </c>
      <c r="G448" s="4"/>
      <c r="H448" s="7" t="s">
        <v>131</v>
      </c>
      <c r="I448" s="60"/>
      <c r="J448" s="118">
        <v>44610</v>
      </c>
      <c r="K448" s="118"/>
      <c r="L448" s="118"/>
      <c r="M448" s="118"/>
      <c r="N448" s="127"/>
      <c r="O448" s="26"/>
    </row>
    <row r="449" spans="1:15" ht="15" customHeight="1" x14ac:dyDescent="0.25">
      <c r="A449" s="54">
        <v>45315</v>
      </c>
      <c r="B449" s="25">
        <f t="shared" si="12"/>
        <v>1</v>
      </c>
      <c r="C449" s="25">
        <f t="shared" si="13"/>
        <v>2024</v>
      </c>
      <c r="D449" s="71" t="s">
        <v>89</v>
      </c>
      <c r="E449" s="4" t="s">
        <v>93</v>
      </c>
      <c r="F449" s="4" t="s">
        <v>150</v>
      </c>
      <c r="G449" s="4"/>
      <c r="H449" s="7" t="s">
        <v>131</v>
      </c>
      <c r="I449" s="60"/>
      <c r="J449" s="118">
        <v>149865.5</v>
      </c>
      <c r="K449" s="118"/>
      <c r="L449" s="118"/>
      <c r="M449" s="118"/>
      <c r="N449" s="127"/>
      <c r="O449" s="26"/>
    </row>
    <row r="450" spans="1:15" ht="15" customHeight="1" x14ac:dyDescent="0.25">
      <c r="A450" s="54">
        <v>45315</v>
      </c>
      <c r="B450" s="25">
        <f t="shared" si="12"/>
        <v>1</v>
      </c>
      <c r="C450" s="25">
        <f t="shared" si="13"/>
        <v>2024</v>
      </c>
      <c r="D450" s="71" t="s">
        <v>89</v>
      </c>
      <c r="E450" s="4" t="s">
        <v>93</v>
      </c>
      <c r="F450" s="4" t="s">
        <v>569</v>
      </c>
      <c r="G450" s="4"/>
      <c r="H450" s="7" t="s">
        <v>130</v>
      </c>
      <c r="I450" s="60"/>
      <c r="J450" s="118">
        <v>50000</v>
      </c>
      <c r="K450" s="118"/>
      <c r="L450" s="118"/>
      <c r="M450" s="118"/>
      <c r="N450" s="127"/>
      <c r="O450" s="26"/>
    </row>
    <row r="451" spans="1:15" ht="15" customHeight="1" x14ac:dyDescent="0.25">
      <c r="A451" s="54">
        <v>45315</v>
      </c>
      <c r="B451" s="25">
        <f t="shared" ref="B451:B514" si="14">MONTH(A451)</f>
        <v>1</v>
      </c>
      <c r="C451" s="25">
        <f t="shared" ref="C451:C492" si="15">YEAR((A451))</f>
        <v>2024</v>
      </c>
      <c r="D451" s="71" t="s">
        <v>89</v>
      </c>
      <c r="E451" s="4" t="s">
        <v>93</v>
      </c>
      <c r="F451" s="4" t="s">
        <v>144</v>
      </c>
      <c r="G451" s="4"/>
      <c r="H451" s="7" t="s">
        <v>130</v>
      </c>
      <c r="I451" s="60"/>
      <c r="J451" s="118">
        <v>26200</v>
      </c>
      <c r="K451" s="118"/>
      <c r="L451" s="118"/>
      <c r="M451" s="118"/>
      <c r="N451" s="127"/>
      <c r="O451" s="26"/>
    </row>
    <row r="452" spans="1:15" ht="15" customHeight="1" x14ac:dyDescent="0.25">
      <c r="A452" s="54">
        <v>45315</v>
      </c>
      <c r="B452" s="25">
        <f t="shared" si="14"/>
        <v>1</v>
      </c>
      <c r="C452" s="25">
        <f t="shared" si="15"/>
        <v>2024</v>
      </c>
      <c r="D452" s="71" t="s">
        <v>124</v>
      </c>
      <c r="E452" s="4" t="s">
        <v>93</v>
      </c>
      <c r="F452" s="4"/>
      <c r="G452" s="4" t="s">
        <v>554</v>
      </c>
      <c r="H452" s="7" t="s">
        <v>130</v>
      </c>
      <c r="I452" s="60"/>
      <c r="J452" s="118"/>
      <c r="K452" s="118">
        <v>605272.03</v>
      </c>
      <c r="L452" s="118"/>
      <c r="M452" s="118"/>
      <c r="N452" s="127"/>
      <c r="O452" s="26"/>
    </row>
    <row r="453" spans="1:15" ht="15" customHeight="1" x14ac:dyDescent="0.25">
      <c r="A453" s="54">
        <v>45315</v>
      </c>
      <c r="B453" s="25">
        <f t="shared" si="14"/>
        <v>1</v>
      </c>
      <c r="C453" s="25">
        <f t="shared" si="15"/>
        <v>2024</v>
      </c>
      <c r="D453" s="71" t="s">
        <v>92</v>
      </c>
      <c r="E453" s="4" t="s">
        <v>92</v>
      </c>
      <c r="F453" s="4" t="s">
        <v>112</v>
      </c>
      <c r="G453" s="4"/>
      <c r="H453" s="7" t="s">
        <v>92</v>
      </c>
      <c r="I453" s="60"/>
      <c r="J453" s="118"/>
      <c r="K453" s="118">
        <v>50000</v>
      </c>
      <c r="L453" s="118"/>
      <c r="M453" s="118"/>
      <c r="N453" s="127"/>
      <c r="O453" s="26"/>
    </row>
    <row r="454" spans="1:15" ht="15" customHeight="1" x14ac:dyDescent="0.25">
      <c r="A454" s="54">
        <v>45315</v>
      </c>
      <c r="B454" s="25">
        <f t="shared" si="14"/>
        <v>1</v>
      </c>
      <c r="C454" s="25">
        <f t="shared" si="15"/>
        <v>2024</v>
      </c>
      <c r="D454" s="71" t="s">
        <v>352</v>
      </c>
      <c r="E454" s="4" t="s">
        <v>93</v>
      </c>
      <c r="F454" s="4" t="s">
        <v>680</v>
      </c>
      <c r="G454" s="4"/>
      <c r="H454" s="7" t="s">
        <v>130</v>
      </c>
      <c r="I454" s="60"/>
      <c r="J454" s="118">
        <v>193900</v>
      </c>
      <c r="K454" s="118"/>
      <c r="L454" s="118"/>
      <c r="M454" s="118"/>
      <c r="N454" s="127"/>
      <c r="O454" s="26"/>
    </row>
    <row r="455" spans="1:15" ht="15" customHeight="1" x14ac:dyDescent="0.25">
      <c r="A455" s="54">
        <v>45315</v>
      </c>
      <c r="B455" s="25">
        <f t="shared" si="14"/>
        <v>1</v>
      </c>
      <c r="C455" s="25">
        <f t="shared" si="15"/>
        <v>2024</v>
      </c>
      <c r="D455" s="71" t="s">
        <v>352</v>
      </c>
      <c r="E455" s="4" t="s">
        <v>93</v>
      </c>
      <c r="F455" s="4" t="s">
        <v>450</v>
      </c>
      <c r="G455" s="4"/>
      <c r="H455" s="7" t="s">
        <v>131</v>
      </c>
      <c r="I455" s="60"/>
      <c r="J455" s="118">
        <v>36300</v>
      </c>
      <c r="K455" s="118"/>
      <c r="L455" s="118"/>
      <c r="M455" s="118"/>
      <c r="N455" s="127"/>
      <c r="O455" s="26"/>
    </row>
    <row r="456" spans="1:15" ht="15" customHeight="1" x14ac:dyDescent="0.25">
      <c r="A456" s="54">
        <v>45316</v>
      </c>
      <c r="B456" s="25">
        <f t="shared" si="14"/>
        <v>1</v>
      </c>
      <c r="C456" s="25">
        <f t="shared" si="15"/>
        <v>2024</v>
      </c>
      <c r="D456" s="71" t="s">
        <v>352</v>
      </c>
      <c r="E456" s="4" t="s">
        <v>93</v>
      </c>
      <c r="F456" s="4" t="s">
        <v>681</v>
      </c>
      <c r="G456" s="4"/>
      <c r="H456" s="7" t="s">
        <v>130</v>
      </c>
      <c r="I456" s="60"/>
      <c r="J456" s="118">
        <v>181700</v>
      </c>
      <c r="K456" s="118"/>
      <c r="L456" s="118"/>
      <c r="M456" s="118"/>
      <c r="N456" s="127"/>
      <c r="O456" s="26"/>
    </row>
    <row r="457" spans="1:15" ht="15" customHeight="1" x14ac:dyDescent="0.25">
      <c r="A457" s="54">
        <v>45316</v>
      </c>
      <c r="B457" s="25">
        <f t="shared" si="14"/>
        <v>1</v>
      </c>
      <c r="C457" s="25">
        <f t="shared" si="15"/>
        <v>2024</v>
      </c>
      <c r="D457" s="71" t="s">
        <v>92</v>
      </c>
      <c r="E457" s="4" t="s">
        <v>92</v>
      </c>
      <c r="F457" s="4" t="s">
        <v>682</v>
      </c>
      <c r="G457" s="4"/>
      <c r="H457" s="7" t="s">
        <v>92</v>
      </c>
      <c r="I457" s="60"/>
      <c r="J457" s="118"/>
      <c r="K457" s="118">
        <v>600000</v>
      </c>
      <c r="L457" s="118"/>
      <c r="M457" s="118"/>
      <c r="N457" s="127"/>
      <c r="O457" s="26"/>
    </row>
    <row r="458" spans="1:15" ht="15" customHeight="1" x14ac:dyDescent="0.25">
      <c r="A458" s="54">
        <v>45316</v>
      </c>
      <c r="B458" s="25">
        <f t="shared" si="14"/>
        <v>1</v>
      </c>
      <c r="C458" s="25">
        <f t="shared" si="15"/>
        <v>2024</v>
      </c>
      <c r="D458" s="71" t="s">
        <v>124</v>
      </c>
      <c r="E458" s="4" t="s">
        <v>93</v>
      </c>
      <c r="F458" s="4"/>
      <c r="G458" s="4" t="s">
        <v>665</v>
      </c>
      <c r="H458" s="7" t="s">
        <v>131</v>
      </c>
      <c r="I458" s="60"/>
      <c r="J458" s="118"/>
      <c r="K458" s="118">
        <v>60000</v>
      </c>
      <c r="L458" s="118"/>
      <c r="M458" s="118"/>
      <c r="N458" s="127"/>
      <c r="O458" s="26"/>
    </row>
    <row r="459" spans="1:15" ht="15" customHeight="1" x14ac:dyDescent="0.25">
      <c r="A459" s="54">
        <v>45316</v>
      </c>
      <c r="B459" s="25">
        <f t="shared" si="14"/>
        <v>1</v>
      </c>
      <c r="C459" s="25">
        <f t="shared" si="15"/>
        <v>2024</v>
      </c>
      <c r="D459" s="71" t="s">
        <v>124</v>
      </c>
      <c r="E459" s="4" t="s">
        <v>93</v>
      </c>
      <c r="F459" s="4"/>
      <c r="G459" s="4" t="s">
        <v>665</v>
      </c>
      <c r="H459" s="7" t="s">
        <v>131</v>
      </c>
      <c r="I459" s="60"/>
      <c r="J459" s="118"/>
      <c r="K459" s="118">
        <v>250000</v>
      </c>
      <c r="L459" s="118"/>
      <c r="M459" s="118"/>
      <c r="N459" s="127"/>
      <c r="O459" s="26"/>
    </row>
    <row r="460" spans="1:15" ht="15" customHeight="1" x14ac:dyDescent="0.25">
      <c r="A460" s="54">
        <v>45316</v>
      </c>
      <c r="B460" s="25">
        <f t="shared" si="14"/>
        <v>1</v>
      </c>
      <c r="C460" s="25">
        <f t="shared" si="15"/>
        <v>2024</v>
      </c>
      <c r="D460" s="71" t="s">
        <v>124</v>
      </c>
      <c r="E460" s="4" t="s">
        <v>93</v>
      </c>
      <c r="F460" s="4"/>
      <c r="G460" s="4" t="s">
        <v>665</v>
      </c>
      <c r="H460" s="7" t="s">
        <v>131</v>
      </c>
      <c r="I460" s="60"/>
      <c r="J460" s="118"/>
      <c r="K460" s="118">
        <v>152785.12</v>
      </c>
      <c r="L460" s="118"/>
      <c r="M460" s="118"/>
      <c r="N460" s="127"/>
      <c r="O460" s="26"/>
    </row>
    <row r="461" spans="1:15" ht="15" customHeight="1" x14ac:dyDescent="0.25">
      <c r="A461" s="54">
        <v>45316</v>
      </c>
      <c r="B461" s="25">
        <f t="shared" si="14"/>
        <v>1</v>
      </c>
      <c r="C461" s="25">
        <f t="shared" si="15"/>
        <v>2024</v>
      </c>
      <c r="D461" s="71" t="s">
        <v>89</v>
      </c>
      <c r="E461" s="4" t="s">
        <v>93</v>
      </c>
      <c r="F461" s="4" t="s">
        <v>685</v>
      </c>
      <c r="G461" s="4"/>
      <c r="H461" s="7" t="s">
        <v>130</v>
      </c>
      <c r="I461" s="60"/>
      <c r="J461" s="118">
        <v>59500</v>
      </c>
      <c r="K461" s="118"/>
      <c r="L461" s="118"/>
      <c r="M461" s="118"/>
      <c r="N461" s="127"/>
      <c r="O461" s="26"/>
    </row>
    <row r="462" spans="1:15" ht="15" customHeight="1" x14ac:dyDescent="0.25">
      <c r="A462" s="54">
        <v>45317</v>
      </c>
      <c r="B462" s="25">
        <f t="shared" si="14"/>
        <v>1</v>
      </c>
      <c r="C462" s="25">
        <f t="shared" si="15"/>
        <v>2024</v>
      </c>
      <c r="D462" s="71" t="s">
        <v>352</v>
      </c>
      <c r="E462" s="4" t="s">
        <v>93</v>
      </c>
      <c r="F462" s="4" t="s">
        <v>686</v>
      </c>
      <c r="G462" s="4"/>
      <c r="H462" s="7" t="s">
        <v>545</v>
      </c>
      <c r="I462" s="60"/>
      <c r="J462" s="118">
        <v>42000</v>
      </c>
      <c r="K462" s="118"/>
      <c r="L462" s="118"/>
      <c r="M462" s="118"/>
      <c r="N462" s="127">
        <v>45321</v>
      </c>
      <c r="O462" s="26">
        <v>39209.980000000003</v>
      </c>
    </row>
    <row r="463" spans="1:15" ht="15" customHeight="1" x14ac:dyDescent="0.25">
      <c r="A463" s="54">
        <v>45317</v>
      </c>
      <c r="B463" s="25">
        <f t="shared" si="14"/>
        <v>1</v>
      </c>
      <c r="C463" s="25">
        <f t="shared" si="15"/>
        <v>2024</v>
      </c>
      <c r="D463" s="71" t="s">
        <v>689</v>
      </c>
      <c r="E463" s="4" t="s">
        <v>93</v>
      </c>
      <c r="F463" s="4" t="s">
        <v>169</v>
      </c>
      <c r="G463" s="4"/>
      <c r="H463" s="7" t="s">
        <v>130</v>
      </c>
      <c r="I463" s="60"/>
      <c r="J463" s="118"/>
      <c r="K463" s="118">
        <v>100000</v>
      </c>
      <c r="L463" s="118"/>
      <c r="M463" s="118"/>
      <c r="N463" s="127"/>
      <c r="O463" s="26"/>
    </row>
    <row r="464" spans="1:15" ht="15" customHeight="1" x14ac:dyDescent="0.25">
      <c r="A464" s="54">
        <v>45317</v>
      </c>
      <c r="B464" s="25">
        <f t="shared" si="14"/>
        <v>1</v>
      </c>
      <c r="C464" s="25">
        <f t="shared" si="15"/>
        <v>2024</v>
      </c>
      <c r="D464" s="71" t="s">
        <v>626</v>
      </c>
      <c r="E464" s="4" t="s">
        <v>93</v>
      </c>
      <c r="F464" s="4"/>
      <c r="G464" s="4"/>
      <c r="H464" s="7" t="s">
        <v>130</v>
      </c>
      <c r="I464" s="60"/>
      <c r="J464" s="118"/>
      <c r="K464" s="118">
        <v>100000</v>
      </c>
      <c r="L464" s="118"/>
      <c r="M464" s="118"/>
      <c r="N464" s="127"/>
      <c r="O464" s="26"/>
    </row>
    <row r="465" spans="1:15" ht="15" customHeight="1" x14ac:dyDescent="0.25">
      <c r="A465" s="54">
        <v>45317</v>
      </c>
      <c r="B465" s="25">
        <f t="shared" si="14"/>
        <v>1</v>
      </c>
      <c r="C465" s="25">
        <f t="shared" si="15"/>
        <v>2024</v>
      </c>
      <c r="D465" s="71" t="s">
        <v>92</v>
      </c>
      <c r="E465" s="4" t="s">
        <v>92</v>
      </c>
      <c r="F465" s="4" t="s">
        <v>792</v>
      </c>
      <c r="G465" s="4"/>
      <c r="H465" s="7" t="s">
        <v>92</v>
      </c>
      <c r="I465" s="60"/>
      <c r="J465" s="118"/>
      <c r="K465" s="118">
        <v>20811</v>
      </c>
      <c r="L465" s="118"/>
      <c r="M465" s="118"/>
      <c r="N465" s="127"/>
      <c r="O465" s="26"/>
    </row>
    <row r="466" spans="1:15" ht="15" customHeight="1" x14ac:dyDescent="0.25">
      <c r="A466" s="54">
        <v>45317</v>
      </c>
      <c r="B466" s="25">
        <f t="shared" si="14"/>
        <v>1</v>
      </c>
      <c r="C466" s="25">
        <f t="shared" si="15"/>
        <v>2024</v>
      </c>
      <c r="D466" s="71" t="s">
        <v>92</v>
      </c>
      <c r="E466" s="4" t="s">
        <v>92</v>
      </c>
      <c r="F466" s="4" t="s">
        <v>792</v>
      </c>
      <c r="G466" s="4"/>
      <c r="H466" s="7" t="s">
        <v>92</v>
      </c>
      <c r="I466" s="60"/>
      <c r="J466" s="118"/>
      <c r="K466" s="118">
        <v>36618</v>
      </c>
      <c r="L466" s="118"/>
      <c r="M466" s="118"/>
      <c r="N466" s="127"/>
      <c r="O466" s="26"/>
    </row>
    <row r="467" spans="1:15" ht="15" customHeight="1" x14ac:dyDescent="0.25">
      <c r="A467" s="54">
        <v>45320</v>
      </c>
      <c r="B467" s="25">
        <f t="shared" si="14"/>
        <v>1</v>
      </c>
      <c r="C467" s="25">
        <f t="shared" si="15"/>
        <v>2024</v>
      </c>
      <c r="D467" s="71" t="s">
        <v>352</v>
      </c>
      <c r="E467" s="4" t="s">
        <v>93</v>
      </c>
      <c r="F467" s="4" t="s">
        <v>450</v>
      </c>
      <c r="G467" s="4"/>
      <c r="H467" s="7" t="s">
        <v>131</v>
      </c>
      <c r="I467" s="60"/>
      <c r="J467" s="118">
        <v>76835</v>
      </c>
      <c r="K467" s="118"/>
      <c r="L467" s="118"/>
      <c r="M467" s="118"/>
      <c r="N467" s="127"/>
      <c r="O467" s="26"/>
    </row>
    <row r="468" spans="1:15" ht="15" customHeight="1" x14ac:dyDescent="0.25">
      <c r="A468" s="54">
        <v>45320</v>
      </c>
      <c r="B468" s="25">
        <f t="shared" si="14"/>
        <v>1</v>
      </c>
      <c r="C468" s="25">
        <f t="shared" si="15"/>
        <v>2024</v>
      </c>
      <c r="D468" s="71" t="s">
        <v>92</v>
      </c>
      <c r="E468" s="4" t="s">
        <v>92</v>
      </c>
      <c r="F468" s="4" t="s">
        <v>624</v>
      </c>
      <c r="G468" s="4"/>
      <c r="H468" s="7" t="s">
        <v>92</v>
      </c>
      <c r="I468" s="60"/>
      <c r="J468" s="118"/>
      <c r="K468" s="118">
        <v>350000</v>
      </c>
      <c r="L468" s="118"/>
      <c r="M468" s="118"/>
      <c r="N468" s="127"/>
      <c r="O468" s="26"/>
    </row>
    <row r="469" spans="1:15" ht="15" customHeight="1" x14ac:dyDescent="0.25">
      <c r="A469" s="54">
        <v>45320</v>
      </c>
      <c r="B469" s="25">
        <f t="shared" si="14"/>
        <v>1</v>
      </c>
      <c r="C469" s="25">
        <f t="shared" si="15"/>
        <v>2024</v>
      </c>
      <c r="D469" s="71" t="s">
        <v>92</v>
      </c>
      <c r="E469" s="4" t="s">
        <v>92</v>
      </c>
      <c r="F469" s="4" t="s">
        <v>784</v>
      </c>
      <c r="G469" s="4"/>
      <c r="H469" s="7" t="s">
        <v>92</v>
      </c>
      <c r="I469" s="60"/>
      <c r="J469" s="118"/>
      <c r="K469" s="118">
        <v>250030</v>
      </c>
      <c r="L469" s="118"/>
      <c r="M469" s="118"/>
      <c r="N469" s="127"/>
      <c r="O469" s="26"/>
    </row>
    <row r="470" spans="1:15" ht="15" customHeight="1" x14ac:dyDescent="0.25">
      <c r="A470" s="54">
        <v>45321</v>
      </c>
      <c r="B470" s="25">
        <f t="shared" si="14"/>
        <v>1</v>
      </c>
      <c r="C470" s="25">
        <f t="shared" si="15"/>
        <v>2024</v>
      </c>
      <c r="D470" s="71" t="s">
        <v>352</v>
      </c>
      <c r="E470" s="4" t="s">
        <v>93</v>
      </c>
      <c r="F470" s="4" t="s">
        <v>285</v>
      </c>
      <c r="G470" s="4"/>
      <c r="H470" s="7" t="s">
        <v>130</v>
      </c>
      <c r="I470" s="60"/>
      <c r="J470" s="118">
        <v>214850</v>
      </c>
      <c r="K470" s="118"/>
      <c r="L470" s="118"/>
      <c r="M470" s="118"/>
      <c r="N470" s="127"/>
      <c r="O470" s="26"/>
    </row>
    <row r="471" spans="1:15" ht="15" customHeight="1" x14ac:dyDescent="0.25">
      <c r="A471" s="54">
        <v>45321</v>
      </c>
      <c r="B471" s="25">
        <f t="shared" si="14"/>
        <v>1</v>
      </c>
      <c r="C471" s="25">
        <f t="shared" si="15"/>
        <v>2024</v>
      </c>
      <c r="D471" s="71" t="s">
        <v>124</v>
      </c>
      <c r="E471" s="4" t="s">
        <v>93</v>
      </c>
      <c r="F471" s="4" t="s">
        <v>687</v>
      </c>
      <c r="G471" s="4" t="s">
        <v>553</v>
      </c>
      <c r="H471" s="7" t="s">
        <v>130</v>
      </c>
      <c r="I471" s="60"/>
      <c r="J471" s="118"/>
      <c r="K471" s="118">
        <v>214850</v>
      </c>
      <c r="L471" s="118"/>
      <c r="M471" s="118"/>
      <c r="N471" s="127"/>
      <c r="O471" s="26"/>
    </row>
    <row r="472" spans="1:15" ht="15" customHeight="1" x14ac:dyDescent="0.25">
      <c r="A472" s="54">
        <v>45321</v>
      </c>
      <c r="B472" s="25">
        <f t="shared" si="14"/>
        <v>1</v>
      </c>
      <c r="C472" s="25">
        <f t="shared" si="15"/>
        <v>2024</v>
      </c>
      <c r="D472" s="71" t="s">
        <v>89</v>
      </c>
      <c r="E472" s="4" t="s">
        <v>93</v>
      </c>
      <c r="F472" s="4" t="s">
        <v>569</v>
      </c>
      <c r="G472" s="4"/>
      <c r="H472" s="7" t="s">
        <v>130</v>
      </c>
      <c r="I472" s="60"/>
      <c r="J472" s="118">
        <v>50000</v>
      </c>
      <c r="K472" s="118"/>
      <c r="L472" s="118"/>
      <c r="M472" s="118"/>
      <c r="N472" s="127"/>
      <c r="O472" s="26"/>
    </row>
    <row r="473" spans="1:15" ht="15" customHeight="1" x14ac:dyDescent="0.25">
      <c r="A473" s="54">
        <v>45321</v>
      </c>
      <c r="B473" s="25">
        <f t="shared" si="14"/>
        <v>1</v>
      </c>
      <c r="C473" s="25">
        <f t="shared" si="15"/>
        <v>2024</v>
      </c>
      <c r="D473" s="71" t="s">
        <v>124</v>
      </c>
      <c r="E473" s="4" t="s">
        <v>93</v>
      </c>
      <c r="F473" s="4"/>
      <c r="G473" s="4" t="s">
        <v>553</v>
      </c>
      <c r="H473" s="7" t="s">
        <v>131</v>
      </c>
      <c r="I473" s="60"/>
      <c r="J473" s="118"/>
      <c r="K473" s="118">
        <v>351448.13</v>
      </c>
      <c r="L473" s="118"/>
      <c r="M473" s="118"/>
      <c r="N473" s="127"/>
      <c r="O473" s="26"/>
    </row>
    <row r="474" spans="1:15" ht="15" customHeight="1" x14ac:dyDescent="0.25">
      <c r="A474" s="54">
        <v>45321</v>
      </c>
      <c r="B474" s="25">
        <f t="shared" si="14"/>
        <v>1</v>
      </c>
      <c r="C474" s="25">
        <f t="shared" si="15"/>
        <v>2024</v>
      </c>
      <c r="D474" s="71" t="s">
        <v>124</v>
      </c>
      <c r="E474" s="4" t="s">
        <v>93</v>
      </c>
      <c r="F474" s="4"/>
      <c r="G474" s="4" t="s">
        <v>553</v>
      </c>
      <c r="H474" s="7" t="s">
        <v>131</v>
      </c>
      <c r="I474" s="60"/>
      <c r="J474" s="118"/>
      <c r="K474" s="118">
        <v>351448.13</v>
      </c>
      <c r="L474" s="118"/>
      <c r="M474" s="118"/>
      <c r="N474" s="127"/>
      <c r="O474" s="26"/>
    </row>
    <row r="475" spans="1:15" ht="15" customHeight="1" x14ac:dyDescent="0.25">
      <c r="A475" s="54">
        <v>45321</v>
      </c>
      <c r="B475" s="25">
        <f t="shared" si="14"/>
        <v>1</v>
      </c>
      <c r="C475" s="25">
        <f t="shared" si="15"/>
        <v>2024</v>
      </c>
      <c r="D475" s="71" t="s">
        <v>124</v>
      </c>
      <c r="E475" s="4" t="s">
        <v>93</v>
      </c>
      <c r="F475" s="4"/>
      <c r="G475" s="4" t="s">
        <v>553</v>
      </c>
      <c r="H475" s="7" t="s">
        <v>131</v>
      </c>
      <c r="I475" s="60"/>
      <c r="J475" s="118"/>
      <c r="K475" s="118">
        <v>149865.5</v>
      </c>
      <c r="L475" s="118"/>
      <c r="M475" s="118"/>
      <c r="N475" s="127"/>
      <c r="O475" s="26"/>
    </row>
    <row r="476" spans="1:15" ht="15" customHeight="1" x14ac:dyDescent="0.25">
      <c r="A476" s="54">
        <v>45321</v>
      </c>
      <c r="B476" s="25">
        <f t="shared" si="14"/>
        <v>1</v>
      </c>
      <c r="C476" s="25">
        <f t="shared" si="15"/>
        <v>2024</v>
      </c>
      <c r="D476" s="71" t="s">
        <v>124</v>
      </c>
      <c r="E476" s="4" t="s">
        <v>93</v>
      </c>
      <c r="F476" s="4"/>
      <c r="G476" s="4" t="s">
        <v>553</v>
      </c>
      <c r="H476" s="7" t="s">
        <v>131</v>
      </c>
      <c r="I476" s="60"/>
      <c r="J476" s="118"/>
      <c r="K476" s="118">
        <v>44610</v>
      </c>
      <c r="L476" s="118"/>
      <c r="M476" s="118"/>
      <c r="N476" s="127"/>
      <c r="O476" s="26"/>
    </row>
    <row r="477" spans="1:15" ht="15" customHeight="1" x14ac:dyDescent="0.25">
      <c r="A477" s="54">
        <v>45321</v>
      </c>
      <c r="B477" s="25">
        <f t="shared" si="14"/>
        <v>1</v>
      </c>
      <c r="C477" s="25">
        <f t="shared" si="15"/>
        <v>2024</v>
      </c>
      <c r="D477" s="71" t="s">
        <v>124</v>
      </c>
      <c r="E477" s="4" t="s">
        <v>93</v>
      </c>
      <c r="F477" s="4"/>
      <c r="G477" s="4" t="s">
        <v>553</v>
      </c>
      <c r="H477" s="7" t="s">
        <v>131</v>
      </c>
      <c r="I477" s="60"/>
      <c r="J477" s="118"/>
      <c r="K477" s="118">
        <v>34425</v>
      </c>
      <c r="L477" s="118"/>
      <c r="M477" s="118"/>
      <c r="N477" s="127"/>
      <c r="O477" s="26"/>
    </row>
    <row r="478" spans="1:15" ht="15" customHeight="1" x14ac:dyDescent="0.25">
      <c r="A478" s="54">
        <v>45321</v>
      </c>
      <c r="B478" s="25">
        <f t="shared" si="14"/>
        <v>1</v>
      </c>
      <c r="C478" s="25">
        <f t="shared" si="15"/>
        <v>2024</v>
      </c>
      <c r="D478" s="71" t="s">
        <v>124</v>
      </c>
      <c r="E478" s="4" t="s">
        <v>93</v>
      </c>
      <c r="F478" s="4"/>
      <c r="G478" s="4" t="s">
        <v>553</v>
      </c>
      <c r="H478" s="7" t="s">
        <v>131</v>
      </c>
      <c r="I478" s="60"/>
      <c r="J478" s="118"/>
      <c r="K478" s="118">
        <v>40535</v>
      </c>
      <c r="L478" s="118"/>
      <c r="M478" s="118"/>
      <c r="N478" s="127"/>
      <c r="O478" s="26"/>
    </row>
    <row r="479" spans="1:15" ht="15" customHeight="1" x14ac:dyDescent="0.25">
      <c r="A479" s="54">
        <v>45321</v>
      </c>
      <c r="B479" s="25">
        <f t="shared" si="14"/>
        <v>1</v>
      </c>
      <c r="C479" s="25">
        <f t="shared" si="15"/>
        <v>2024</v>
      </c>
      <c r="D479" s="71" t="s">
        <v>352</v>
      </c>
      <c r="E479" s="4" t="s">
        <v>93</v>
      </c>
      <c r="F479" s="4" t="s">
        <v>670</v>
      </c>
      <c r="G479" s="4"/>
      <c r="H479" s="7" t="s">
        <v>130</v>
      </c>
      <c r="I479" s="60"/>
      <c r="J479" s="118">
        <v>43000</v>
      </c>
      <c r="K479" s="118"/>
      <c r="L479" s="118"/>
      <c r="M479" s="118"/>
      <c r="N479" s="127"/>
      <c r="O479" s="26"/>
    </row>
    <row r="480" spans="1:15" ht="15" customHeight="1" x14ac:dyDescent="0.25">
      <c r="A480" s="54">
        <v>45322</v>
      </c>
      <c r="B480" s="25">
        <f t="shared" si="14"/>
        <v>1</v>
      </c>
      <c r="C480" s="25">
        <f t="shared" si="15"/>
        <v>2024</v>
      </c>
      <c r="D480" s="71" t="s">
        <v>352</v>
      </c>
      <c r="E480" s="4" t="s">
        <v>93</v>
      </c>
      <c r="F480" s="4" t="s">
        <v>690</v>
      </c>
      <c r="G480" s="4"/>
      <c r="H480" s="7" t="s">
        <v>545</v>
      </c>
      <c r="I480" s="60"/>
      <c r="J480" s="118">
        <v>253950</v>
      </c>
      <c r="K480" s="118"/>
      <c r="L480" s="118"/>
      <c r="M480" s="118"/>
      <c r="N480" s="127">
        <v>45324</v>
      </c>
      <c r="O480" s="26"/>
    </row>
    <row r="481" spans="1:15" ht="15" customHeight="1" x14ac:dyDescent="0.25">
      <c r="A481" s="54">
        <v>45322</v>
      </c>
      <c r="B481" s="25">
        <f t="shared" si="14"/>
        <v>1</v>
      </c>
      <c r="C481" s="25">
        <f t="shared" si="15"/>
        <v>2024</v>
      </c>
      <c r="D481" s="71" t="s">
        <v>352</v>
      </c>
      <c r="E481" s="4" t="s">
        <v>93</v>
      </c>
      <c r="F481" s="4" t="s">
        <v>586</v>
      </c>
      <c r="G481" s="4"/>
      <c r="H481" s="7" t="s">
        <v>545</v>
      </c>
      <c r="I481" s="60"/>
      <c r="J481" s="118">
        <v>33400</v>
      </c>
      <c r="K481" s="118"/>
      <c r="L481" s="118"/>
      <c r="M481" s="118"/>
      <c r="N481" s="127">
        <v>45324</v>
      </c>
      <c r="O481" s="26"/>
    </row>
    <row r="482" spans="1:15" ht="15" customHeight="1" x14ac:dyDescent="0.25">
      <c r="A482" s="54">
        <v>45322</v>
      </c>
      <c r="B482" s="25">
        <f t="shared" si="14"/>
        <v>1</v>
      </c>
      <c r="C482" s="25">
        <f t="shared" si="15"/>
        <v>2024</v>
      </c>
      <c r="D482" s="71" t="s">
        <v>352</v>
      </c>
      <c r="E482" s="4" t="s">
        <v>93</v>
      </c>
      <c r="F482" s="4" t="s">
        <v>691</v>
      </c>
      <c r="G482" s="4"/>
      <c r="H482" s="7" t="s">
        <v>545</v>
      </c>
      <c r="I482" s="60"/>
      <c r="J482" s="118">
        <v>250150</v>
      </c>
      <c r="K482" s="118"/>
      <c r="L482" s="118"/>
      <c r="M482" s="118"/>
      <c r="N482" s="127">
        <v>45324</v>
      </c>
      <c r="O482" s="26"/>
    </row>
    <row r="483" spans="1:15" ht="15" customHeight="1" x14ac:dyDescent="0.25">
      <c r="A483" s="54">
        <v>45322</v>
      </c>
      <c r="B483" s="25">
        <f t="shared" si="14"/>
        <v>1</v>
      </c>
      <c r="C483" s="25">
        <f t="shared" si="15"/>
        <v>2024</v>
      </c>
      <c r="D483" s="71" t="s">
        <v>92</v>
      </c>
      <c r="E483" s="4" t="s">
        <v>92</v>
      </c>
      <c r="F483" s="4" t="s">
        <v>790</v>
      </c>
      <c r="G483" s="4"/>
      <c r="H483" s="7" t="s">
        <v>92</v>
      </c>
      <c r="I483" s="60"/>
      <c r="J483" s="118"/>
      <c r="K483" s="118">
        <v>6046</v>
      </c>
      <c r="L483" s="118"/>
      <c r="M483" s="118"/>
      <c r="N483" s="127"/>
      <c r="O483" s="26"/>
    </row>
    <row r="484" spans="1:15" ht="15" customHeight="1" x14ac:dyDescent="0.25">
      <c r="A484" s="54">
        <v>45322</v>
      </c>
      <c r="B484" s="25">
        <f t="shared" si="14"/>
        <v>1</v>
      </c>
      <c r="C484" s="25">
        <f t="shared" si="15"/>
        <v>2024</v>
      </c>
      <c r="D484" s="71" t="s">
        <v>92</v>
      </c>
      <c r="E484" s="4" t="s">
        <v>92</v>
      </c>
      <c r="F484" s="4" t="s">
        <v>790</v>
      </c>
      <c r="G484" s="4"/>
      <c r="H484" s="7" t="s">
        <v>92</v>
      </c>
      <c r="I484" s="60"/>
      <c r="J484" s="118"/>
      <c r="K484" s="118">
        <v>23578</v>
      </c>
      <c r="L484" s="118"/>
      <c r="M484" s="118"/>
      <c r="N484" s="127"/>
      <c r="O484" s="26"/>
    </row>
    <row r="485" spans="1:15" ht="15" customHeight="1" x14ac:dyDescent="0.25">
      <c r="A485" s="54">
        <v>45323</v>
      </c>
      <c r="B485" s="25">
        <f t="shared" si="14"/>
        <v>2</v>
      </c>
      <c r="C485" s="25">
        <f t="shared" si="15"/>
        <v>2024</v>
      </c>
      <c r="D485" s="71" t="s">
        <v>352</v>
      </c>
      <c r="E485" s="4" t="s">
        <v>93</v>
      </c>
      <c r="F485" s="4" t="s">
        <v>383</v>
      </c>
      <c r="G485" s="4"/>
      <c r="H485" s="7" t="s">
        <v>131</v>
      </c>
      <c r="I485" s="60"/>
      <c r="J485" s="118">
        <v>122280</v>
      </c>
      <c r="K485" s="118"/>
      <c r="L485" s="118"/>
      <c r="M485" s="118"/>
      <c r="N485" s="127"/>
      <c r="O485" s="26"/>
    </row>
    <row r="486" spans="1:15" ht="15" customHeight="1" x14ac:dyDescent="0.25">
      <c r="A486" s="93">
        <v>45323</v>
      </c>
      <c r="B486" s="25">
        <f t="shared" si="14"/>
        <v>2</v>
      </c>
      <c r="C486" s="25">
        <f t="shared" si="15"/>
        <v>2024</v>
      </c>
      <c r="D486" s="124" t="s">
        <v>352</v>
      </c>
      <c r="E486" s="4" t="s">
        <v>93</v>
      </c>
      <c r="F486" s="125" t="s">
        <v>516</v>
      </c>
      <c r="G486" s="125"/>
      <c r="H486" s="95" t="s">
        <v>131</v>
      </c>
      <c r="I486" s="95"/>
      <c r="J486" s="139">
        <v>1980000</v>
      </c>
      <c r="K486" s="139"/>
      <c r="L486" s="139"/>
      <c r="M486" s="139"/>
      <c r="N486" s="140"/>
    </row>
    <row r="487" spans="1:15" ht="15" customHeight="1" x14ac:dyDescent="0.25">
      <c r="A487" s="93">
        <v>45323</v>
      </c>
      <c r="B487" s="25">
        <f t="shared" si="14"/>
        <v>2</v>
      </c>
      <c r="C487" s="25">
        <f t="shared" si="15"/>
        <v>2024</v>
      </c>
      <c r="D487" s="124" t="s">
        <v>502</v>
      </c>
      <c r="E487" s="4" t="s">
        <v>93</v>
      </c>
      <c r="F487" s="125" t="s">
        <v>1000</v>
      </c>
      <c r="G487" s="125"/>
      <c r="H487" s="95" t="s">
        <v>131</v>
      </c>
      <c r="I487" s="95"/>
      <c r="J487" s="139"/>
      <c r="K487" s="139">
        <v>1980000</v>
      </c>
      <c r="L487" s="139"/>
      <c r="M487" s="139"/>
      <c r="N487" s="140"/>
    </row>
    <row r="488" spans="1:15" ht="15" customHeight="1" x14ac:dyDescent="0.25">
      <c r="A488" s="54">
        <v>45324</v>
      </c>
      <c r="B488" s="25">
        <f t="shared" si="14"/>
        <v>2</v>
      </c>
      <c r="C488" s="25">
        <f t="shared" si="15"/>
        <v>2024</v>
      </c>
      <c r="D488" s="71" t="s">
        <v>352</v>
      </c>
      <c r="E488" s="4" t="s">
        <v>93</v>
      </c>
      <c r="F488" s="4" t="s">
        <v>694</v>
      </c>
      <c r="G488" s="4"/>
      <c r="H488" s="7" t="s">
        <v>131</v>
      </c>
      <c r="I488" s="60"/>
      <c r="J488" s="118">
        <v>186900</v>
      </c>
      <c r="K488" s="118"/>
      <c r="L488" s="118"/>
      <c r="M488" s="118"/>
      <c r="N488" s="127"/>
      <c r="O488" s="26"/>
    </row>
    <row r="489" spans="1:15" ht="15" customHeight="1" x14ac:dyDescent="0.25">
      <c r="A489" s="54">
        <v>45324</v>
      </c>
      <c r="B489" s="25">
        <f t="shared" si="14"/>
        <v>2</v>
      </c>
      <c r="C489" s="25">
        <f t="shared" si="15"/>
        <v>2024</v>
      </c>
      <c r="D489" s="71" t="s">
        <v>89</v>
      </c>
      <c r="E489" s="4" t="s">
        <v>93</v>
      </c>
      <c r="F489" s="4" t="s">
        <v>697</v>
      </c>
      <c r="G489" s="4"/>
      <c r="H489" s="7" t="s">
        <v>130</v>
      </c>
      <c r="I489" s="60"/>
      <c r="J489" s="118">
        <v>15000</v>
      </c>
      <c r="K489" s="118"/>
      <c r="L489" s="118"/>
      <c r="M489" s="118"/>
      <c r="N489" s="127"/>
      <c r="O489" s="26"/>
    </row>
    <row r="490" spans="1:15" ht="15" customHeight="1" x14ac:dyDescent="0.25">
      <c r="A490" s="54">
        <v>45325</v>
      </c>
      <c r="B490" s="25">
        <f t="shared" si="14"/>
        <v>2</v>
      </c>
      <c r="C490" s="25">
        <f t="shared" si="15"/>
        <v>2024</v>
      </c>
      <c r="D490" s="71" t="s">
        <v>352</v>
      </c>
      <c r="E490" s="4" t="s">
        <v>93</v>
      </c>
      <c r="F490" s="4" t="s">
        <v>696</v>
      </c>
      <c r="G490" s="4"/>
      <c r="H490" s="7" t="s">
        <v>545</v>
      </c>
      <c r="I490" s="60"/>
      <c r="J490" s="118">
        <v>200000</v>
      </c>
      <c r="K490" s="118"/>
      <c r="L490" s="118"/>
      <c r="M490" s="118"/>
      <c r="N490" s="127">
        <v>45328</v>
      </c>
      <c r="O490" s="26"/>
    </row>
    <row r="491" spans="1:15" ht="15" customHeight="1" x14ac:dyDescent="0.25">
      <c r="A491" s="54">
        <v>45325</v>
      </c>
      <c r="B491" s="25">
        <f t="shared" si="14"/>
        <v>2</v>
      </c>
      <c r="C491" s="25">
        <f t="shared" si="15"/>
        <v>2024</v>
      </c>
      <c r="D491" s="71" t="s">
        <v>352</v>
      </c>
      <c r="E491" s="4" t="s">
        <v>93</v>
      </c>
      <c r="F491" s="4" t="s">
        <v>680</v>
      </c>
      <c r="G491" s="4"/>
      <c r="H491" s="7" t="s">
        <v>130</v>
      </c>
      <c r="I491" s="60"/>
      <c r="J491" s="118">
        <v>31100</v>
      </c>
      <c r="K491" s="118"/>
      <c r="L491" s="118"/>
      <c r="M491" s="118"/>
      <c r="N491" s="127"/>
      <c r="O491" s="26"/>
    </row>
    <row r="492" spans="1:15" ht="15" customHeight="1" x14ac:dyDescent="0.25">
      <c r="A492" s="54">
        <v>45327</v>
      </c>
      <c r="B492" s="25">
        <f t="shared" si="14"/>
        <v>2</v>
      </c>
      <c r="C492" s="25">
        <f t="shared" si="15"/>
        <v>2024</v>
      </c>
      <c r="D492" s="71" t="s">
        <v>610</v>
      </c>
      <c r="E492" s="4" t="s">
        <v>93</v>
      </c>
      <c r="F492" s="4" t="s">
        <v>172</v>
      </c>
      <c r="G492" s="4"/>
      <c r="H492" s="7" t="s">
        <v>545</v>
      </c>
      <c r="I492" s="60"/>
      <c r="J492" s="118"/>
      <c r="K492" s="118">
        <v>69664.66</v>
      </c>
      <c r="L492" s="118"/>
      <c r="M492" s="118"/>
      <c r="N492" s="127"/>
      <c r="O492" s="26"/>
    </row>
    <row r="493" spans="1:15" ht="15" customHeight="1" x14ac:dyDescent="0.25">
      <c r="A493" s="54">
        <v>45327</v>
      </c>
      <c r="B493" s="25">
        <f t="shared" si="14"/>
        <v>2</v>
      </c>
      <c r="C493" s="25">
        <v>2024</v>
      </c>
      <c r="D493" s="71" t="s">
        <v>610</v>
      </c>
      <c r="E493" s="4" t="s">
        <v>93</v>
      </c>
      <c r="F493" s="4" t="s">
        <v>139</v>
      </c>
      <c r="G493" s="4"/>
      <c r="H493" s="7" t="s">
        <v>545</v>
      </c>
      <c r="I493" s="60"/>
      <c r="J493" s="118"/>
      <c r="K493" s="118"/>
      <c r="L493" s="118"/>
      <c r="M493" s="118"/>
      <c r="N493" s="127"/>
      <c r="O493" s="26"/>
    </row>
    <row r="494" spans="1:15" ht="15" customHeight="1" x14ac:dyDescent="0.25">
      <c r="A494" s="54">
        <v>45328</v>
      </c>
      <c r="B494" s="25">
        <f t="shared" si="14"/>
        <v>2</v>
      </c>
      <c r="C494" s="25">
        <f t="shared" ref="C494:C534" si="16">YEAR((A494))</f>
        <v>2024</v>
      </c>
      <c r="D494" s="71" t="s">
        <v>89</v>
      </c>
      <c r="E494" s="4" t="s">
        <v>93</v>
      </c>
      <c r="F494" s="4" t="s">
        <v>552</v>
      </c>
      <c r="G494" s="4"/>
      <c r="H494" s="7" t="s">
        <v>130</v>
      </c>
      <c r="I494" s="60"/>
      <c r="J494" s="118">
        <v>71900</v>
      </c>
      <c r="K494" s="118"/>
      <c r="L494" s="118"/>
      <c r="M494" s="118"/>
      <c r="N494" s="127"/>
      <c r="O494" s="26"/>
    </row>
    <row r="495" spans="1:15" ht="15" customHeight="1" x14ac:dyDescent="0.25">
      <c r="A495" s="54">
        <v>45328</v>
      </c>
      <c r="B495" s="25">
        <f t="shared" si="14"/>
        <v>2</v>
      </c>
      <c r="C495" s="25">
        <f t="shared" si="16"/>
        <v>2024</v>
      </c>
      <c r="D495" s="71" t="s">
        <v>610</v>
      </c>
      <c r="E495" s="4" t="s">
        <v>92</v>
      </c>
      <c r="F495" s="4" t="s">
        <v>793</v>
      </c>
      <c r="G495" s="4"/>
      <c r="H495" s="7" t="s">
        <v>92</v>
      </c>
      <c r="I495" s="60"/>
      <c r="J495" s="118"/>
      <c r="K495" s="118">
        <v>32446</v>
      </c>
      <c r="L495" s="118"/>
      <c r="M495" s="118"/>
      <c r="N495" s="127"/>
      <c r="O495" s="26"/>
    </row>
    <row r="496" spans="1:15" ht="15" customHeight="1" x14ac:dyDescent="0.25">
      <c r="A496" s="54">
        <v>45328</v>
      </c>
      <c r="B496" s="25">
        <f t="shared" si="14"/>
        <v>2</v>
      </c>
      <c r="C496" s="25">
        <f t="shared" si="16"/>
        <v>2024</v>
      </c>
      <c r="D496" s="71" t="s">
        <v>610</v>
      </c>
      <c r="E496" s="4" t="s">
        <v>92</v>
      </c>
      <c r="F496" s="4" t="s">
        <v>793</v>
      </c>
      <c r="G496" s="4"/>
      <c r="H496" s="7" t="s">
        <v>92</v>
      </c>
      <c r="I496" s="60"/>
      <c r="J496" s="118"/>
      <c r="K496" s="118">
        <v>36940</v>
      </c>
      <c r="L496" s="118"/>
      <c r="M496" s="118"/>
      <c r="N496" s="127"/>
      <c r="O496" s="26"/>
    </row>
    <row r="497" spans="1:15" ht="15" customHeight="1" x14ac:dyDescent="0.25">
      <c r="A497" s="54">
        <v>45329</v>
      </c>
      <c r="B497" s="25">
        <f t="shared" si="14"/>
        <v>2</v>
      </c>
      <c r="C497" s="25">
        <f t="shared" si="16"/>
        <v>2024</v>
      </c>
      <c r="D497" s="71" t="s">
        <v>89</v>
      </c>
      <c r="E497" s="4" t="s">
        <v>93</v>
      </c>
      <c r="F497" s="4" t="s">
        <v>721</v>
      </c>
      <c r="G497" s="4"/>
      <c r="H497" s="7" t="s">
        <v>545</v>
      </c>
      <c r="I497" s="60"/>
      <c r="J497" s="118">
        <v>95000</v>
      </c>
      <c r="K497" s="118"/>
      <c r="L497" s="118"/>
      <c r="M497" s="118"/>
      <c r="N497" s="127"/>
      <c r="O497" s="26"/>
    </row>
    <row r="498" spans="1:15" ht="15" customHeight="1" x14ac:dyDescent="0.25">
      <c r="A498" s="54">
        <v>45329</v>
      </c>
      <c r="B498" s="25">
        <f t="shared" si="14"/>
        <v>2</v>
      </c>
      <c r="C498" s="25">
        <f t="shared" si="16"/>
        <v>2024</v>
      </c>
      <c r="D498" s="71" t="s">
        <v>89</v>
      </c>
      <c r="E498" s="4" t="s">
        <v>93</v>
      </c>
      <c r="F498" s="4" t="s">
        <v>722</v>
      </c>
      <c r="G498" s="4"/>
      <c r="H498" s="7" t="s">
        <v>545</v>
      </c>
      <c r="I498" s="60"/>
      <c r="J498" s="118">
        <v>138000</v>
      </c>
      <c r="K498" s="118"/>
      <c r="L498" s="118"/>
      <c r="M498" s="118"/>
      <c r="N498" s="127"/>
      <c r="O498" s="26"/>
    </row>
    <row r="499" spans="1:15" ht="15" customHeight="1" x14ac:dyDescent="0.25">
      <c r="A499" s="54">
        <v>45330</v>
      </c>
      <c r="B499" s="25">
        <f t="shared" si="14"/>
        <v>2</v>
      </c>
      <c r="C499" s="25">
        <f t="shared" si="16"/>
        <v>2024</v>
      </c>
      <c r="D499" s="71" t="s">
        <v>92</v>
      </c>
      <c r="E499" s="4" t="s">
        <v>92</v>
      </c>
      <c r="F499" s="4" t="s">
        <v>624</v>
      </c>
      <c r="G499" s="4"/>
      <c r="H499" s="7" t="s">
        <v>92</v>
      </c>
      <c r="I499" s="60"/>
      <c r="J499" s="118"/>
      <c r="K499" s="118">
        <v>40000</v>
      </c>
      <c r="L499" s="118"/>
      <c r="M499" s="118"/>
      <c r="N499" s="127"/>
      <c r="O499" s="26"/>
    </row>
    <row r="500" spans="1:15" ht="15" customHeight="1" x14ac:dyDescent="0.25">
      <c r="A500" s="54">
        <v>45330</v>
      </c>
      <c r="B500" s="25">
        <f t="shared" si="14"/>
        <v>2</v>
      </c>
      <c r="C500" s="25">
        <f t="shared" si="16"/>
        <v>2024</v>
      </c>
      <c r="D500" s="71" t="s">
        <v>89</v>
      </c>
      <c r="E500" s="4" t="s">
        <v>93</v>
      </c>
      <c r="F500" s="4" t="s">
        <v>722</v>
      </c>
      <c r="G500" s="4"/>
      <c r="H500" s="7" t="s">
        <v>130</v>
      </c>
      <c r="I500" s="60"/>
      <c r="J500" s="118">
        <v>13560</v>
      </c>
      <c r="K500" s="118"/>
      <c r="L500" s="118"/>
      <c r="M500" s="118"/>
      <c r="N500" s="127"/>
      <c r="O500" s="26"/>
    </row>
    <row r="501" spans="1:15" ht="15" customHeight="1" x14ac:dyDescent="0.25">
      <c r="A501" s="54">
        <v>45330</v>
      </c>
      <c r="B501" s="25">
        <f t="shared" si="14"/>
        <v>2</v>
      </c>
      <c r="C501" s="25">
        <f t="shared" si="16"/>
        <v>2024</v>
      </c>
      <c r="D501" s="71" t="s">
        <v>89</v>
      </c>
      <c r="E501" s="4" t="s">
        <v>93</v>
      </c>
      <c r="F501" s="4" t="s">
        <v>726</v>
      </c>
      <c r="G501" s="4"/>
      <c r="H501" s="7" t="s">
        <v>545</v>
      </c>
      <c r="I501" s="60"/>
      <c r="J501" s="118">
        <v>13500</v>
      </c>
      <c r="K501" s="118"/>
      <c r="L501" s="118"/>
      <c r="M501" s="118"/>
      <c r="N501" s="127"/>
      <c r="O501" s="26"/>
    </row>
    <row r="502" spans="1:15" ht="15" customHeight="1" x14ac:dyDescent="0.25">
      <c r="A502" s="54">
        <v>45331</v>
      </c>
      <c r="B502" s="25">
        <f t="shared" si="14"/>
        <v>2</v>
      </c>
      <c r="C502" s="25">
        <f t="shared" si="16"/>
        <v>2024</v>
      </c>
      <c r="D502" s="71" t="s">
        <v>352</v>
      </c>
      <c r="E502" s="4" t="s">
        <v>93</v>
      </c>
      <c r="F502" s="4" t="s">
        <v>729</v>
      </c>
      <c r="G502" s="4"/>
      <c r="H502" s="7" t="s">
        <v>130</v>
      </c>
      <c r="I502" s="60"/>
      <c r="J502" s="118">
        <v>6000</v>
      </c>
      <c r="K502" s="118"/>
      <c r="L502" s="118"/>
      <c r="M502" s="118"/>
      <c r="N502" s="127"/>
      <c r="O502" s="26"/>
    </row>
    <row r="503" spans="1:15" ht="15" customHeight="1" x14ac:dyDescent="0.25">
      <c r="A503" s="54">
        <v>45331</v>
      </c>
      <c r="B503" s="25">
        <f t="shared" si="14"/>
        <v>2</v>
      </c>
      <c r="C503" s="25">
        <f t="shared" si="16"/>
        <v>2024</v>
      </c>
      <c r="D503" s="71" t="s">
        <v>92</v>
      </c>
      <c r="E503" s="4" t="s">
        <v>92</v>
      </c>
      <c r="F503" s="4" t="s">
        <v>624</v>
      </c>
      <c r="G503" s="4"/>
      <c r="H503" s="7" t="s">
        <v>92</v>
      </c>
      <c r="I503" s="60"/>
      <c r="J503" s="118"/>
      <c r="K503" s="118">
        <v>12000</v>
      </c>
      <c r="L503" s="118"/>
      <c r="M503" s="118"/>
      <c r="N503" s="127"/>
      <c r="O503" s="26"/>
    </row>
    <row r="504" spans="1:15" ht="15" customHeight="1" x14ac:dyDescent="0.25">
      <c r="A504" s="54">
        <v>45332</v>
      </c>
      <c r="B504" s="25">
        <f t="shared" si="14"/>
        <v>2</v>
      </c>
      <c r="C504" s="25">
        <f t="shared" si="16"/>
        <v>2024</v>
      </c>
      <c r="D504" s="71" t="s">
        <v>626</v>
      </c>
      <c r="E504" s="4" t="s">
        <v>93</v>
      </c>
      <c r="F504" s="4"/>
      <c r="G504" s="4"/>
      <c r="H504" s="7" t="s">
        <v>130</v>
      </c>
      <c r="I504" s="60"/>
      <c r="J504" s="118"/>
      <c r="K504" s="118">
        <v>78000</v>
      </c>
      <c r="L504" s="118"/>
      <c r="M504" s="118"/>
      <c r="N504" s="127"/>
      <c r="O504" s="26"/>
    </row>
    <row r="505" spans="1:15" ht="15" customHeight="1" x14ac:dyDescent="0.25">
      <c r="A505" s="54">
        <v>45332</v>
      </c>
      <c r="B505" s="25">
        <f t="shared" si="14"/>
        <v>2</v>
      </c>
      <c r="C505" s="25">
        <f t="shared" si="16"/>
        <v>2024</v>
      </c>
      <c r="D505" s="71" t="s">
        <v>352</v>
      </c>
      <c r="E505" s="4" t="s">
        <v>93</v>
      </c>
      <c r="F505" s="4" t="s">
        <v>356</v>
      </c>
      <c r="G505" s="4"/>
      <c r="H505" s="7" t="s">
        <v>131</v>
      </c>
      <c r="I505" s="60"/>
      <c r="J505" s="118">
        <v>57269.38</v>
      </c>
      <c r="K505" s="118"/>
      <c r="L505" s="118"/>
      <c r="M505" s="118"/>
      <c r="N505" s="127"/>
      <c r="O505" s="26"/>
    </row>
    <row r="506" spans="1:15" ht="15" customHeight="1" x14ac:dyDescent="0.25">
      <c r="A506" s="54">
        <v>45332</v>
      </c>
      <c r="B506" s="25">
        <f t="shared" si="14"/>
        <v>2</v>
      </c>
      <c r="C506" s="25">
        <f t="shared" si="16"/>
        <v>2024</v>
      </c>
      <c r="D506" s="71" t="s">
        <v>92</v>
      </c>
      <c r="E506" s="4" t="s">
        <v>92</v>
      </c>
      <c r="F506" s="4" t="s">
        <v>734</v>
      </c>
      <c r="G506" s="4"/>
      <c r="H506" s="7" t="s">
        <v>92</v>
      </c>
      <c r="I506" s="60"/>
      <c r="J506" s="118"/>
      <c r="K506" s="118">
        <v>26000</v>
      </c>
      <c r="L506" s="118"/>
      <c r="M506" s="118"/>
      <c r="N506" s="127"/>
      <c r="O506" s="26"/>
    </row>
    <row r="507" spans="1:15" ht="15" customHeight="1" x14ac:dyDescent="0.25">
      <c r="A507" s="54">
        <v>45332</v>
      </c>
      <c r="B507" s="25">
        <f t="shared" si="14"/>
        <v>2</v>
      </c>
      <c r="C507" s="25">
        <f t="shared" si="16"/>
        <v>2024</v>
      </c>
      <c r="D507" s="71" t="s">
        <v>89</v>
      </c>
      <c r="E507" s="4" t="s">
        <v>93</v>
      </c>
      <c r="F507" s="4" t="s">
        <v>736</v>
      </c>
      <c r="G507" s="4"/>
      <c r="H507" s="7" t="s">
        <v>130</v>
      </c>
      <c r="I507" s="60"/>
      <c r="J507" s="118">
        <v>147800</v>
      </c>
      <c r="K507" s="118"/>
      <c r="L507" s="118"/>
      <c r="M507" s="118"/>
      <c r="N507" s="127"/>
      <c r="O507" s="26"/>
    </row>
    <row r="508" spans="1:15" ht="15" customHeight="1" x14ac:dyDescent="0.25">
      <c r="A508" s="54">
        <v>45332</v>
      </c>
      <c r="B508" s="25">
        <f t="shared" si="14"/>
        <v>2</v>
      </c>
      <c r="C508" s="25">
        <f t="shared" si="16"/>
        <v>2024</v>
      </c>
      <c r="D508" s="71" t="s">
        <v>89</v>
      </c>
      <c r="E508" s="4" t="s">
        <v>93</v>
      </c>
      <c r="F508" s="4" t="s">
        <v>623</v>
      </c>
      <c r="G508" s="4"/>
      <c r="H508" s="7" t="s">
        <v>130</v>
      </c>
      <c r="I508" s="60"/>
      <c r="J508" s="118">
        <v>51000</v>
      </c>
      <c r="K508" s="118"/>
      <c r="L508" s="118"/>
      <c r="M508" s="118"/>
      <c r="N508" s="127"/>
      <c r="O508" s="26"/>
    </row>
    <row r="509" spans="1:15" ht="15" customHeight="1" x14ac:dyDescent="0.25">
      <c r="A509" s="54">
        <v>45336</v>
      </c>
      <c r="B509" s="25">
        <f t="shared" si="14"/>
        <v>2</v>
      </c>
      <c r="C509" s="25">
        <f t="shared" si="16"/>
        <v>2024</v>
      </c>
      <c r="D509" s="71" t="s">
        <v>92</v>
      </c>
      <c r="E509" s="4" t="s">
        <v>92</v>
      </c>
      <c r="F509" s="4" t="s">
        <v>296</v>
      </c>
      <c r="G509" s="4"/>
      <c r="H509" s="7" t="s">
        <v>92</v>
      </c>
      <c r="I509" s="60"/>
      <c r="J509" s="118"/>
      <c r="K509" s="118">
        <v>260070</v>
      </c>
      <c r="L509" s="118"/>
      <c r="M509" s="118"/>
      <c r="N509" s="127"/>
      <c r="O509" s="26"/>
    </row>
    <row r="510" spans="1:15" ht="15" customHeight="1" x14ac:dyDescent="0.25">
      <c r="A510" s="54">
        <v>45336</v>
      </c>
      <c r="B510" s="25">
        <f t="shared" si="14"/>
        <v>2</v>
      </c>
      <c r="C510" s="25">
        <f t="shared" si="16"/>
        <v>2024</v>
      </c>
      <c r="D510" s="71" t="s">
        <v>89</v>
      </c>
      <c r="E510" s="4" t="s">
        <v>93</v>
      </c>
      <c r="F510" s="4" t="s">
        <v>516</v>
      </c>
      <c r="G510" s="4"/>
      <c r="H510" s="7" t="s">
        <v>131</v>
      </c>
      <c r="I510" s="60"/>
      <c r="J510" s="118">
        <v>270436</v>
      </c>
      <c r="K510" s="118"/>
      <c r="L510" s="118"/>
      <c r="M510" s="118"/>
      <c r="N510" s="127"/>
      <c r="O510" s="26"/>
    </row>
    <row r="511" spans="1:15" ht="15" customHeight="1" x14ac:dyDescent="0.25">
      <c r="A511" s="54">
        <v>45336</v>
      </c>
      <c r="B511" s="25">
        <f t="shared" si="14"/>
        <v>2</v>
      </c>
      <c r="C511" s="25">
        <f t="shared" si="16"/>
        <v>2024</v>
      </c>
      <c r="D511" s="71" t="s">
        <v>89</v>
      </c>
      <c r="E511" s="4" t="s">
        <v>93</v>
      </c>
      <c r="F511" s="4" t="s">
        <v>516</v>
      </c>
      <c r="G511" s="4"/>
      <c r="H511" s="7" t="s">
        <v>131</v>
      </c>
      <c r="I511" s="60"/>
      <c r="J511" s="118">
        <v>270434</v>
      </c>
      <c r="K511" s="118"/>
      <c r="L511" s="118"/>
      <c r="M511" s="118"/>
      <c r="N511" s="127"/>
      <c r="O511" s="26"/>
    </row>
    <row r="512" spans="1:15" ht="15" customHeight="1" x14ac:dyDescent="0.25">
      <c r="A512" s="54">
        <v>45336</v>
      </c>
      <c r="B512" s="25">
        <f t="shared" si="14"/>
        <v>2</v>
      </c>
      <c r="C512" s="25">
        <f t="shared" si="16"/>
        <v>2024</v>
      </c>
      <c r="D512" s="71" t="s">
        <v>89</v>
      </c>
      <c r="E512" s="4" t="s">
        <v>93</v>
      </c>
      <c r="F512" s="4" t="s">
        <v>560</v>
      </c>
      <c r="G512" s="4"/>
      <c r="H512" s="7" t="s">
        <v>130</v>
      </c>
      <c r="I512" s="60"/>
      <c r="J512" s="118">
        <v>11000</v>
      </c>
      <c r="K512" s="118"/>
      <c r="L512" s="118"/>
      <c r="M512" s="118"/>
      <c r="N512" s="127"/>
      <c r="O512" s="26"/>
    </row>
    <row r="513" spans="1:15" ht="15" customHeight="1" x14ac:dyDescent="0.25">
      <c r="A513" s="54">
        <v>45336</v>
      </c>
      <c r="B513" s="25">
        <f t="shared" si="14"/>
        <v>2</v>
      </c>
      <c r="C513" s="25">
        <f t="shared" si="16"/>
        <v>2024</v>
      </c>
      <c r="D513" s="71" t="s">
        <v>610</v>
      </c>
      <c r="E513" s="4" t="s">
        <v>92</v>
      </c>
      <c r="F513" s="4" t="s">
        <v>793</v>
      </c>
      <c r="G513" s="4"/>
      <c r="H513" s="7" t="s">
        <v>92</v>
      </c>
      <c r="I513" s="60"/>
      <c r="J513" s="118"/>
      <c r="K513" s="118">
        <v>13560</v>
      </c>
      <c r="L513" s="118"/>
      <c r="M513" s="118"/>
      <c r="N513" s="127"/>
      <c r="O513" s="26"/>
    </row>
    <row r="514" spans="1:15" ht="15" customHeight="1" x14ac:dyDescent="0.25">
      <c r="A514" s="54">
        <v>45336</v>
      </c>
      <c r="B514" s="25">
        <f t="shared" si="14"/>
        <v>2</v>
      </c>
      <c r="C514" s="25">
        <f t="shared" si="16"/>
        <v>2024</v>
      </c>
      <c r="D514" s="71" t="s">
        <v>92</v>
      </c>
      <c r="E514" s="4" t="s">
        <v>92</v>
      </c>
      <c r="F514" s="4" t="s">
        <v>792</v>
      </c>
      <c r="G514" s="4"/>
      <c r="H514" s="7" t="s">
        <v>92</v>
      </c>
      <c r="I514" s="60"/>
      <c r="J514" s="118"/>
      <c r="K514" s="118">
        <v>4588</v>
      </c>
      <c r="L514" s="118"/>
      <c r="M514" s="118"/>
      <c r="N514" s="127"/>
      <c r="O514" s="26"/>
    </row>
    <row r="515" spans="1:15" ht="15" customHeight="1" x14ac:dyDescent="0.25">
      <c r="A515" s="54">
        <v>45336</v>
      </c>
      <c r="B515" s="25">
        <f t="shared" ref="B515:B578" si="17">MONTH(A515)</f>
        <v>2</v>
      </c>
      <c r="C515" s="25">
        <f t="shared" si="16"/>
        <v>2024</v>
      </c>
      <c r="D515" s="71" t="s">
        <v>92</v>
      </c>
      <c r="E515" s="4" t="s">
        <v>92</v>
      </c>
      <c r="F515" s="4" t="s">
        <v>792</v>
      </c>
      <c r="G515" s="4"/>
      <c r="H515" s="7" t="s">
        <v>92</v>
      </c>
      <c r="I515" s="60"/>
      <c r="J515" s="118"/>
      <c r="K515" s="118">
        <v>56882</v>
      </c>
      <c r="L515" s="118"/>
      <c r="M515" s="118"/>
      <c r="N515" s="127"/>
      <c r="O515" s="26"/>
    </row>
    <row r="516" spans="1:15" ht="15" customHeight="1" x14ac:dyDescent="0.25">
      <c r="A516" s="54">
        <v>45337</v>
      </c>
      <c r="B516" s="25">
        <f t="shared" si="17"/>
        <v>2</v>
      </c>
      <c r="C516" s="25">
        <f t="shared" si="16"/>
        <v>2024</v>
      </c>
      <c r="D516" s="71" t="s">
        <v>352</v>
      </c>
      <c r="E516" s="4" t="s">
        <v>93</v>
      </c>
      <c r="F516" s="4" t="s">
        <v>397</v>
      </c>
      <c r="G516" s="4"/>
      <c r="H516" s="7" t="s">
        <v>131</v>
      </c>
      <c r="I516" s="60"/>
      <c r="J516" s="118">
        <v>110000</v>
      </c>
      <c r="K516" s="118"/>
      <c r="L516" s="118"/>
      <c r="M516" s="118"/>
      <c r="N516" s="127"/>
      <c r="O516" s="26"/>
    </row>
    <row r="517" spans="1:15" ht="15" customHeight="1" x14ac:dyDescent="0.25">
      <c r="A517" s="54">
        <v>45337</v>
      </c>
      <c r="B517" s="25">
        <f t="shared" si="17"/>
        <v>2</v>
      </c>
      <c r="C517" s="25">
        <f t="shared" si="16"/>
        <v>2024</v>
      </c>
      <c r="D517" s="71" t="s">
        <v>92</v>
      </c>
      <c r="E517" s="4" t="s">
        <v>92</v>
      </c>
      <c r="F517" s="4" t="s">
        <v>739</v>
      </c>
      <c r="G517" s="4"/>
      <c r="H517" s="7" t="s">
        <v>92</v>
      </c>
      <c r="I517" s="60"/>
      <c r="J517" s="118"/>
      <c r="K517" s="118">
        <v>15600</v>
      </c>
      <c r="L517" s="118"/>
      <c r="M517" s="118"/>
      <c r="N517" s="127"/>
      <c r="O517" s="26"/>
    </row>
    <row r="518" spans="1:15" ht="15" customHeight="1" x14ac:dyDescent="0.25">
      <c r="A518" s="54">
        <v>45337</v>
      </c>
      <c r="B518" s="25">
        <f t="shared" si="17"/>
        <v>2</v>
      </c>
      <c r="C518" s="25">
        <f t="shared" si="16"/>
        <v>2024</v>
      </c>
      <c r="D518" s="71" t="s">
        <v>92</v>
      </c>
      <c r="E518" s="4" t="s">
        <v>92</v>
      </c>
      <c r="F518" s="4" t="s">
        <v>624</v>
      </c>
      <c r="G518" s="4"/>
      <c r="H518" s="7" t="s">
        <v>92</v>
      </c>
      <c r="I518" s="60"/>
      <c r="J518" s="118"/>
      <c r="K518" s="118">
        <v>8200</v>
      </c>
      <c r="L518" s="118"/>
      <c r="M518" s="118"/>
      <c r="N518" s="127"/>
      <c r="O518" s="26"/>
    </row>
    <row r="519" spans="1:15" ht="15" customHeight="1" x14ac:dyDescent="0.25">
      <c r="A519" s="54">
        <v>45337</v>
      </c>
      <c r="B519" s="25">
        <f t="shared" si="17"/>
        <v>2</v>
      </c>
      <c r="C519" s="25">
        <f t="shared" si="16"/>
        <v>2024</v>
      </c>
      <c r="D519" s="71" t="s">
        <v>109</v>
      </c>
      <c r="E519" s="4" t="s">
        <v>92</v>
      </c>
      <c r="F519" s="4" t="s">
        <v>789</v>
      </c>
      <c r="G519" s="4"/>
      <c r="H519" s="7" t="s">
        <v>92</v>
      </c>
      <c r="I519" s="60"/>
      <c r="J519" s="118"/>
      <c r="K519" s="118">
        <v>33450</v>
      </c>
      <c r="L519" s="118"/>
      <c r="M519" s="118"/>
      <c r="N519" s="127"/>
      <c r="O519" s="26"/>
    </row>
    <row r="520" spans="1:15" ht="15" customHeight="1" x14ac:dyDescent="0.25">
      <c r="A520" s="54">
        <v>45338</v>
      </c>
      <c r="B520" s="25">
        <f t="shared" si="17"/>
        <v>2</v>
      </c>
      <c r="C520" s="25">
        <f t="shared" si="16"/>
        <v>2024</v>
      </c>
      <c r="D520" s="71" t="s">
        <v>92</v>
      </c>
      <c r="E520" s="4" t="s">
        <v>92</v>
      </c>
      <c r="F520" s="4" t="s">
        <v>112</v>
      </c>
      <c r="G520" s="4"/>
      <c r="H520" s="7" t="s">
        <v>92</v>
      </c>
      <c r="I520" s="60"/>
      <c r="J520" s="118"/>
      <c r="K520" s="118">
        <v>57000</v>
      </c>
      <c r="L520" s="118"/>
      <c r="M520" s="118"/>
      <c r="N520" s="127"/>
      <c r="O520" s="26"/>
    </row>
    <row r="521" spans="1:15" ht="15" customHeight="1" x14ac:dyDescent="0.25">
      <c r="A521" s="54">
        <v>45338</v>
      </c>
      <c r="B521" s="25">
        <f t="shared" si="17"/>
        <v>2</v>
      </c>
      <c r="C521" s="25">
        <f t="shared" si="16"/>
        <v>2024</v>
      </c>
      <c r="D521" s="71" t="s">
        <v>89</v>
      </c>
      <c r="E521" s="4" t="s">
        <v>93</v>
      </c>
      <c r="F521" s="4" t="s">
        <v>742</v>
      </c>
      <c r="G521" s="4"/>
      <c r="H521" s="7" t="s">
        <v>130</v>
      </c>
      <c r="I521" s="60"/>
      <c r="J521" s="118">
        <v>25000</v>
      </c>
      <c r="K521" s="118"/>
      <c r="L521" s="118"/>
      <c r="M521" s="118"/>
      <c r="N521" s="127"/>
      <c r="O521" s="26"/>
    </row>
    <row r="522" spans="1:15" ht="15" customHeight="1" x14ac:dyDescent="0.25">
      <c r="A522" s="54">
        <v>45338</v>
      </c>
      <c r="B522" s="25">
        <f t="shared" si="17"/>
        <v>2</v>
      </c>
      <c r="C522" s="25">
        <f t="shared" si="16"/>
        <v>2024</v>
      </c>
      <c r="D522" s="71" t="s">
        <v>352</v>
      </c>
      <c r="E522" s="4" t="s">
        <v>93</v>
      </c>
      <c r="F522" s="4" t="s">
        <v>746</v>
      </c>
      <c r="G522" s="4"/>
      <c r="H522" s="7" t="s">
        <v>545</v>
      </c>
      <c r="I522" s="60"/>
      <c r="J522" s="118">
        <v>49300</v>
      </c>
      <c r="K522" s="118"/>
      <c r="L522" s="118"/>
      <c r="M522" s="118"/>
      <c r="N522" s="127"/>
      <c r="O522" s="26"/>
    </row>
    <row r="523" spans="1:15" ht="15" customHeight="1" x14ac:dyDescent="0.25">
      <c r="A523" s="54">
        <v>45339</v>
      </c>
      <c r="B523" s="25">
        <f t="shared" si="17"/>
        <v>2</v>
      </c>
      <c r="C523" s="25">
        <f t="shared" si="16"/>
        <v>2024</v>
      </c>
      <c r="D523" s="71" t="s">
        <v>92</v>
      </c>
      <c r="E523" s="4" t="s">
        <v>92</v>
      </c>
      <c r="F523" s="4" t="s">
        <v>624</v>
      </c>
      <c r="G523" s="4"/>
      <c r="H523" s="7" t="s">
        <v>92</v>
      </c>
      <c r="I523" s="60"/>
      <c r="J523" s="118"/>
      <c r="K523" s="118">
        <v>59000</v>
      </c>
      <c r="L523" s="118"/>
      <c r="M523" s="118"/>
      <c r="N523" s="127"/>
      <c r="O523" s="26"/>
    </row>
    <row r="524" spans="1:15" ht="15" customHeight="1" x14ac:dyDescent="0.25">
      <c r="A524" s="54">
        <v>45341</v>
      </c>
      <c r="B524" s="25">
        <f t="shared" si="17"/>
        <v>2</v>
      </c>
      <c r="C524" s="25">
        <f t="shared" si="16"/>
        <v>2024</v>
      </c>
      <c r="D524" s="71" t="s">
        <v>89</v>
      </c>
      <c r="E524" s="4" t="s">
        <v>93</v>
      </c>
      <c r="F524" s="4" t="s">
        <v>450</v>
      </c>
      <c r="G524" s="4"/>
      <c r="H524" s="7" t="s">
        <v>131</v>
      </c>
      <c r="I524" s="60"/>
      <c r="J524" s="118">
        <v>26977</v>
      </c>
      <c r="K524" s="118"/>
      <c r="L524" s="118"/>
      <c r="M524" s="118"/>
      <c r="N524" s="127"/>
      <c r="O524" s="26"/>
    </row>
    <row r="525" spans="1:15" ht="15" customHeight="1" x14ac:dyDescent="0.25">
      <c r="A525" s="54">
        <v>45341</v>
      </c>
      <c r="B525" s="25">
        <f t="shared" si="17"/>
        <v>2</v>
      </c>
      <c r="C525" s="25">
        <f t="shared" si="16"/>
        <v>2024</v>
      </c>
      <c r="D525" s="71" t="s">
        <v>89</v>
      </c>
      <c r="E525" s="4" t="s">
        <v>93</v>
      </c>
      <c r="F525" s="4" t="s">
        <v>746</v>
      </c>
      <c r="G525" s="4"/>
      <c r="H525" s="7" t="s">
        <v>545</v>
      </c>
      <c r="I525" s="60"/>
      <c r="J525" s="118">
        <v>49300</v>
      </c>
      <c r="K525" s="118"/>
      <c r="L525" s="118"/>
      <c r="M525" s="118"/>
      <c r="N525" s="127"/>
      <c r="O525" s="26"/>
    </row>
    <row r="526" spans="1:15" ht="15" customHeight="1" x14ac:dyDescent="0.25">
      <c r="A526" s="54">
        <v>45341</v>
      </c>
      <c r="B526" s="25">
        <f t="shared" si="17"/>
        <v>2</v>
      </c>
      <c r="C526" s="25">
        <f t="shared" si="16"/>
        <v>2024</v>
      </c>
      <c r="D526" s="71" t="s">
        <v>352</v>
      </c>
      <c r="E526" s="4" t="s">
        <v>93</v>
      </c>
      <c r="F526" s="4" t="s">
        <v>747</v>
      </c>
      <c r="G526" s="4"/>
      <c r="H526" s="7" t="s">
        <v>130</v>
      </c>
      <c r="I526" s="60"/>
      <c r="J526" s="118">
        <v>34800</v>
      </c>
      <c r="K526" s="118"/>
      <c r="L526" s="118"/>
      <c r="M526" s="118"/>
      <c r="N526" s="127"/>
      <c r="O526" s="26"/>
    </row>
    <row r="527" spans="1:15" ht="15" customHeight="1" x14ac:dyDescent="0.25">
      <c r="A527" s="54">
        <v>45342</v>
      </c>
      <c r="B527" s="25">
        <f t="shared" si="17"/>
        <v>2</v>
      </c>
      <c r="C527" s="25">
        <f t="shared" si="16"/>
        <v>2024</v>
      </c>
      <c r="D527" s="71" t="s">
        <v>352</v>
      </c>
      <c r="E527" s="4" t="s">
        <v>93</v>
      </c>
      <c r="F527" s="4" t="s">
        <v>603</v>
      </c>
      <c r="G527" s="4"/>
      <c r="H527" s="7" t="s">
        <v>130</v>
      </c>
      <c r="I527" s="60"/>
      <c r="J527" s="118">
        <v>144400</v>
      </c>
      <c r="K527" s="118"/>
      <c r="L527" s="118"/>
      <c r="M527" s="118"/>
      <c r="N527" s="127"/>
      <c r="O527" s="26"/>
    </row>
    <row r="528" spans="1:15" ht="15" customHeight="1" x14ac:dyDescent="0.25">
      <c r="A528" s="54">
        <v>45342</v>
      </c>
      <c r="B528" s="25">
        <f t="shared" si="17"/>
        <v>2</v>
      </c>
      <c r="C528" s="25">
        <f t="shared" si="16"/>
        <v>2024</v>
      </c>
      <c r="D528" s="71" t="s">
        <v>92</v>
      </c>
      <c r="E528" s="4" t="s">
        <v>92</v>
      </c>
      <c r="F528" s="4" t="s">
        <v>749</v>
      </c>
      <c r="G528" s="4"/>
      <c r="H528" s="7" t="s">
        <v>131</v>
      </c>
      <c r="I528" s="60"/>
      <c r="J528" s="118"/>
      <c r="K528" s="118">
        <v>122280</v>
      </c>
      <c r="L528" s="118"/>
      <c r="M528" s="118"/>
      <c r="N528" s="127"/>
      <c r="O528" s="26"/>
    </row>
    <row r="529" spans="1:15" ht="15" customHeight="1" x14ac:dyDescent="0.25">
      <c r="A529" s="54">
        <v>45342</v>
      </c>
      <c r="B529" s="25">
        <f t="shared" si="17"/>
        <v>2</v>
      </c>
      <c r="C529" s="25">
        <f t="shared" si="16"/>
        <v>2024</v>
      </c>
      <c r="D529" s="71" t="s">
        <v>92</v>
      </c>
      <c r="E529" s="4" t="s">
        <v>92</v>
      </c>
      <c r="F529" s="4" t="s">
        <v>750</v>
      </c>
      <c r="G529" s="4"/>
      <c r="H529" s="7" t="s">
        <v>92</v>
      </c>
      <c r="I529" s="60"/>
      <c r="J529" s="118"/>
      <c r="K529" s="118">
        <v>10900</v>
      </c>
      <c r="L529" s="118"/>
      <c r="M529" s="118"/>
      <c r="N529" s="127"/>
      <c r="O529" s="26"/>
    </row>
    <row r="530" spans="1:15" ht="15" customHeight="1" x14ac:dyDescent="0.25">
      <c r="A530" s="54">
        <v>45342</v>
      </c>
      <c r="B530" s="25">
        <f t="shared" si="17"/>
        <v>2</v>
      </c>
      <c r="C530" s="25">
        <f t="shared" si="16"/>
        <v>2024</v>
      </c>
      <c r="D530" s="71" t="s">
        <v>795</v>
      </c>
      <c r="E530" s="4" t="s">
        <v>92</v>
      </c>
      <c r="F530" s="4" t="s">
        <v>794</v>
      </c>
      <c r="G530" s="4"/>
      <c r="H530" s="7" t="s">
        <v>92</v>
      </c>
      <c r="I530" s="60"/>
      <c r="J530" s="118"/>
      <c r="K530" s="118">
        <v>35736.43</v>
      </c>
      <c r="L530" s="118"/>
      <c r="M530" s="118"/>
      <c r="N530" s="127"/>
      <c r="O530" s="26"/>
    </row>
    <row r="531" spans="1:15" ht="15" customHeight="1" x14ac:dyDescent="0.25">
      <c r="A531" s="54">
        <v>45343</v>
      </c>
      <c r="B531" s="25">
        <f t="shared" si="17"/>
        <v>2</v>
      </c>
      <c r="C531" s="25">
        <f t="shared" si="16"/>
        <v>2024</v>
      </c>
      <c r="D531" s="71" t="s">
        <v>124</v>
      </c>
      <c r="E531" s="4" t="s">
        <v>93</v>
      </c>
      <c r="F531" s="4"/>
      <c r="G531" s="4" t="s">
        <v>333</v>
      </c>
      <c r="H531" s="7" t="s">
        <v>131</v>
      </c>
      <c r="I531" s="60"/>
      <c r="J531" s="118"/>
      <c r="K531" s="118">
        <v>57269.38</v>
      </c>
      <c r="L531" s="118"/>
      <c r="M531" s="118"/>
      <c r="N531" s="127"/>
      <c r="O531" s="26"/>
    </row>
    <row r="532" spans="1:15" ht="15" customHeight="1" x14ac:dyDescent="0.25">
      <c r="A532" s="54">
        <v>45343</v>
      </c>
      <c r="B532" s="25">
        <f t="shared" si="17"/>
        <v>2</v>
      </c>
      <c r="C532" s="25">
        <f t="shared" si="16"/>
        <v>2024</v>
      </c>
      <c r="D532" s="71" t="s">
        <v>124</v>
      </c>
      <c r="E532" s="4" t="s">
        <v>93</v>
      </c>
      <c r="F532" s="4"/>
      <c r="G532" s="4" t="s">
        <v>333</v>
      </c>
      <c r="H532" s="7" t="s">
        <v>131</v>
      </c>
      <c r="I532" s="60"/>
      <c r="J532" s="118"/>
      <c r="K532" s="118">
        <v>110000</v>
      </c>
      <c r="L532" s="118"/>
      <c r="M532" s="118"/>
      <c r="N532" s="127"/>
      <c r="O532" s="26"/>
    </row>
    <row r="533" spans="1:15" ht="15" customHeight="1" x14ac:dyDescent="0.25">
      <c r="A533" s="54">
        <v>45343</v>
      </c>
      <c r="B533" s="25">
        <f t="shared" si="17"/>
        <v>2</v>
      </c>
      <c r="C533" s="25">
        <f t="shared" si="16"/>
        <v>2024</v>
      </c>
      <c r="D533" s="71" t="s">
        <v>124</v>
      </c>
      <c r="E533" s="4" t="s">
        <v>93</v>
      </c>
      <c r="F533" s="4"/>
      <c r="G533" s="4" t="s">
        <v>333</v>
      </c>
      <c r="H533" s="7" t="s">
        <v>131</v>
      </c>
      <c r="I533" s="60"/>
      <c r="J533" s="118"/>
      <c r="K533" s="118">
        <v>26977</v>
      </c>
      <c r="L533" s="118"/>
      <c r="M533" s="118"/>
      <c r="N533" s="127"/>
      <c r="O533" s="26"/>
    </row>
    <row r="534" spans="1:15" ht="15" customHeight="1" x14ac:dyDescent="0.25">
      <c r="A534" s="54">
        <v>45343</v>
      </c>
      <c r="B534" s="25">
        <f t="shared" si="17"/>
        <v>2</v>
      </c>
      <c r="C534" s="25">
        <f t="shared" si="16"/>
        <v>2024</v>
      </c>
      <c r="D534" s="71" t="s">
        <v>124</v>
      </c>
      <c r="E534" s="4" t="s">
        <v>93</v>
      </c>
      <c r="F534" s="4"/>
      <c r="G534" s="4" t="s">
        <v>751</v>
      </c>
      <c r="H534" s="7" t="s">
        <v>130</v>
      </c>
      <c r="I534" s="60"/>
      <c r="J534" s="118"/>
      <c r="K534" s="118">
        <v>331040</v>
      </c>
      <c r="L534" s="118"/>
      <c r="M534" s="118"/>
      <c r="N534" s="127"/>
      <c r="O534" s="26"/>
    </row>
    <row r="535" spans="1:15" ht="15" customHeight="1" x14ac:dyDescent="0.25">
      <c r="A535" s="54">
        <v>45343</v>
      </c>
      <c r="B535" s="25">
        <f t="shared" si="17"/>
        <v>2</v>
      </c>
      <c r="C535" s="25">
        <v>2024</v>
      </c>
      <c r="D535" s="71" t="s">
        <v>352</v>
      </c>
      <c r="E535" s="4" t="s">
        <v>93</v>
      </c>
      <c r="F535" s="4" t="s">
        <v>536</v>
      </c>
      <c r="G535" s="4"/>
      <c r="H535" s="7" t="s">
        <v>130</v>
      </c>
      <c r="I535" s="60"/>
      <c r="J535" s="118">
        <v>83500</v>
      </c>
      <c r="K535" s="118"/>
      <c r="L535" s="118"/>
      <c r="M535" s="118"/>
      <c r="N535" s="127"/>
      <c r="O535" s="26"/>
    </row>
    <row r="536" spans="1:15" ht="15" customHeight="1" x14ac:dyDescent="0.25">
      <c r="A536" s="54">
        <v>45343</v>
      </c>
      <c r="B536" s="25">
        <f t="shared" si="17"/>
        <v>2</v>
      </c>
      <c r="C536" s="25">
        <f t="shared" ref="C536:C566" si="18">YEAR((A536))</f>
        <v>2024</v>
      </c>
      <c r="D536" s="71" t="s">
        <v>92</v>
      </c>
      <c r="E536" s="4" t="s">
        <v>92</v>
      </c>
      <c r="F536" s="4" t="s">
        <v>792</v>
      </c>
      <c r="G536" s="4"/>
      <c r="H536" s="7" t="s">
        <v>92</v>
      </c>
      <c r="I536" s="60"/>
      <c r="J536" s="118"/>
      <c r="K536" s="118">
        <v>43374</v>
      </c>
      <c r="L536" s="118"/>
      <c r="M536" s="118"/>
      <c r="N536" s="127"/>
      <c r="O536" s="26"/>
    </row>
    <row r="537" spans="1:15" ht="15" customHeight="1" x14ac:dyDescent="0.25">
      <c r="A537" s="54">
        <v>45343</v>
      </c>
      <c r="B537" s="25">
        <f t="shared" si="17"/>
        <v>2</v>
      </c>
      <c r="C537" s="25">
        <f t="shared" si="18"/>
        <v>2024</v>
      </c>
      <c r="D537" s="71" t="s">
        <v>92</v>
      </c>
      <c r="E537" s="4" t="s">
        <v>92</v>
      </c>
      <c r="F537" s="4" t="s">
        <v>792</v>
      </c>
      <c r="G537" s="4"/>
      <c r="H537" s="7" t="s">
        <v>92</v>
      </c>
      <c r="I537" s="60"/>
      <c r="J537" s="118"/>
      <c r="K537" s="118">
        <v>91290</v>
      </c>
      <c r="L537" s="118"/>
      <c r="M537" s="118"/>
      <c r="N537" s="127"/>
      <c r="O537" s="26"/>
    </row>
    <row r="538" spans="1:15" ht="15" customHeight="1" x14ac:dyDescent="0.25">
      <c r="A538" s="54">
        <v>45343</v>
      </c>
      <c r="B538" s="25">
        <f t="shared" si="17"/>
        <v>2</v>
      </c>
      <c r="C538" s="25">
        <f t="shared" si="18"/>
        <v>2024</v>
      </c>
      <c r="D538" s="71" t="s">
        <v>92</v>
      </c>
      <c r="E538" s="4" t="s">
        <v>92</v>
      </c>
      <c r="F538" s="4" t="s">
        <v>792</v>
      </c>
      <c r="G538" s="4"/>
      <c r="H538" s="7" t="s">
        <v>92</v>
      </c>
      <c r="I538" s="60"/>
      <c r="J538" s="118"/>
      <c r="K538" s="118">
        <v>24521</v>
      </c>
      <c r="L538" s="118"/>
      <c r="M538" s="118"/>
      <c r="N538" s="127"/>
      <c r="O538" s="26"/>
    </row>
    <row r="539" spans="1:15" ht="15" customHeight="1" x14ac:dyDescent="0.25">
      <c r="A539" s="54">
        <v>45344</v>
      </c>
      <c r="B539" s="25">
        <f t="shared" si="17"/>
        <v>2</v>
      </c>
      <c r="C539" s="25">
        <f t="shared" si="18"/>
        <v>2024</v>
      </c>
      <c r="D539" s="71" t="s">
        <v>92</v>
      </c>
      <c r="E539" s="4" t="s">
        <v>92</v>
      </c>
      <c r="F539" s="4" t="s">
        <v>752</v>
      </c>
      <c r="G539" s="4"/>
      <c r="H539" s="7" t="s">
        <v>92</v>
      </c>
      <c r="I539" s="60"/>
      <c r="J539" s="118"/>
      <c r="K539" s="118">
        <v>7600</v>
      </c>
      <c r="L539" s="118"/>
      <c r="M539" s="118"/>
      <c r="N539" s="127"/>
      <c r="O539" s="26"/>
    </row>
    <row r="540" spans="1:15" ht="15" customHeight="1" x14ac:dyDescent="0.25">
      <c r="A540" s="54">
        <v>45346</v>
      </c>
      <c r="B540" s="25">
        <f t="shared" si="17"/>
        <v>2</v>
      </c>
      <c r="C540" s="25">
        <f t="shared" si="18"/>
        <v>2024</v>
      </c>
      <c r="D540" s="71" t="s">
        <v>352</v>
      </c>
      <c r="E540" s="4" t="s">
        <v>93</v>
      </c>
      <c r="F540" s="4" t="s">
        <v>756</v>
      </c>
      <c r="G540" s="4"/>
      <c r="H540" s="7" t="s">
        <v>545</v>
      </c>
      <c r="I540" s="60"/>
      <c r="J540" s="118">
        <v>191300</v>
      </c>
      <c r="K540" s="118"/>
      <c r="L540" s="118"/>
      <c r="M540" s="118"/>
      <c r="N540" s="127"/>
      <c r="O540" s="26"/>
    </row>
    <row r="541" spans="1:15" ht="15" customHeight="1" x14ac:dyDescent="0.25">
      <c r="A541" s="54">
        <v>45346</v>
      </c>
      <c r="B541" s="25">
        <f t="shared" si="17"/>
        <v>2</v>
      </c>
      <c r="C541" s="25">
        <f t="shared" si="18"/>
        <v>2024</v>
      </c>
      <c r="D541" s="71" t="s">
        <v>352</v>
      </c>
      <c r="E541" s="4" t="s">
        <v>93</v>
      </c>
      <c r="F541" s="4" t="s">
        <v>757</v>
      </c>
      <c r="G541" s="4"/>
      <c r="H541" s="7" t="s">
        <v>130</v>
      </c>
      <c r="I541" s="60"/>
      <c r="J541" s="118">
        <v>20000</v>
      </c>
      <c r="K541" s="118"/>
      <c r="L541" s="118"/>
      <c r="M541" s="118"/>
      <c r="N541" s="127"/>
      <c r="O541" s="26"/>
    </row>
    <row r="542" spans="1:15" ht="15" customHeight="1" x14ac:dyDescent="0.25">
      <c r="A542" s="54">
        <v>45346</v>
      </c>
      <c r="B542" s="25">
        <f t="shared" si="17"/>
        <v>2</v>
      </c>
      <c r="C542" s="25">
        <f t="shared" si="18"/>
        <v>2024</v>
      </c>
      <c r="D542" s="71" t="s">
        <v>352</v>
      </c>
      <c r="E542" s="4" t="s">
        <v>93</v>
      </c>
      <c r="F542" s="4" t="s">
        <v>757</v>
      </c>
      <c r="G542" s="4"/>
      <c r="H542" s="7" t="s">
        <v>130</v>
      </c>
      <c r="I542" s="60"/>
      <c r="J542" s="118">
        <v>17700</v>
      </c>
      <c r="K542" s="118"/>
      <c r="L542" s="118"/>
      <c r="M542" s="118"/>
      <c r="N542" s="127"/>
      <c r="O542" s="26"/>
    </row>
    <row r="543" spans="1:15" ht="15" customHeight="1" x14ac:dyDescent="0.25">
      <c r="A543" s="54">
        <v>45348</v>
      </c>
      <c r="B543" s="25">
        <f t="shared" si="17"/>
        <v>2</v>
      </c>
      <c r="C543" s="25">
        <f t="shared" si="18"/>
        <v>2024</v>
      </c>
      <c r="D543" s="71" t="s">
        <v>92</v>
      </c>
      <c r="E543" s="4" t="s">
        <v>92</v>
      </c>
      <c r="F543" s="4" t="s">
        <v>790</v>
      </c>
      <c r="G543" s="4"/>
      <c r="H543" s="7" t="s">
        <v>92</v>
      </c>
      <c r="I543" s="60"/>
      <c r="J543" s="118"/>
      <c r="K543" s="118">
        <v>46969</v>
      </c>
      <c r="L543" s="118"/>
      <c r="M543" s="118"/>
      <c r="N543" s="127"/>
      <c r="O543" s="26"/>
    </row>
    <row r="544" spans="1:15" ht="15" customHeight="1" x14ac:dyDescent="0.25">
      <c r="A544" s="54">
        <v>45348</v>
      </c>
      <c r="B544" s="25">
        <f t="shared" si="17"/>
        <v>2</v>
      </c>
      <c r="C544" s="25">
        <f t="shared" si="18"/>
        <v>2024</v>
      </c>
      <c r="D544" s="71" t="s">
        <v>92</v>
      </c>
      <c r="E544" s="4" t="s">
        <v>92</v>
      </c>
      <c r="F544" s="4" t="s">
        <v>790</v>
      </c>
      <c r="G544" s="4"/>
      <c r="H544" s="7" t="s">
        <v>92</v>
      </c>
      <c r="I544" s="60"/>
      <c r="J544" s="118"/>
      <c r="K544" s="118">
        <v>10260</v>
      </c>
      <c r="L544" s="118"/>
      <c r="M544" s="118"/>
      <c r="N544" s="127"/>
      <c r="O544" s="26"/>
    </row>
    <row r="545" spans="1:15" ht="15" customHeight="1" x14ac:dyDescent="0.25">
      <c r="A545" s="54">
        <v>45349</v>
      </c>
      <c r="B545" s="25">
        <f t="shared" si="17"/>
        <v>2</v>
      </c>
      <c r="C545" s="25">
        <f t="shared" si="18"/>
        <v>2024</v>
      </c>
      <c r="D545" s="71" t="s">
        <v>124</v>
      </c>
      <c r="E545" s="4" t="s">
        <v>93</v>
      </c>
      <c r="F545" s="4"/>
      <c r="G545" s="4" t="s">
        <v>553</v>
      </c>
      <c r="H545" s="7" t="s">
        <v>131</v>
      </c>
      <c r="I545" s="60"/>
      <c r="J545" s="118"/>
      <c r="K545" s="118">
        <v>270436</v>
      </c>
      <c r="L545" s="118"/>
      <c r="M545" s="118"/>
      <c r="N545" s="127"/>
      <c r="O545" s="26"/>
    </row>
    <row r="546" spans="1:15" ht="15" customHeight="1" x14ac:dyDescent="0.25">
      <c r="A546" s="54">
        <v>45349</v>
      </c>
      <c r="B546" s="25">
        <f t="shared" si="17"/>
        <v>2</v>
      </c>
      <c r="C546" s="25">
        <f t="shared" si="18"/>
        <v>2024</v>
      </c>
      <c r="D546" s="71" t="s">
        <v>124</v>
      </c>
      <c r="E546" s="4" t="s">
        <v>93</v>
      </c>
      <c r="F546" s="4"/>
      <c r="G546" s="4" t="s">
        <v>553</v>
      </c>
      <c r="H546" s="7" t="s">
        <v>131</v>
      </c>
      <c r="I546" s="60"/>
      <c r="J546" s="118"/>
      <c r="K546" s="118">
        <v>270434</v>
      </c>
      <c r="L546" s="118"/>
      <c r="M546" s="118"/>
      <c r="N546" s="127"/>
      <c r="O546" s="26"/>
    </row>
    <row r="547" spans="1:15" ht="15" customHeight="1" x14ac:dyDescent="0.25">
      <c r="A547" s="54">
        <v>45350</v>
      </c>
      <c r="B547" s="25">
        <f t="shared" si="17"/>
        <v>2</v>
      </c>
      <c r="C547" s="25">
        <f t="shared" si="18"/>
        <v>2024</v>
      </c>
      <c r="D547" s="71" t="s">
        <v>352</v>
      </c>
      <c r="E547" s="4" t="s">
        <v>93</v>
      </c>
      <c r="F547" s="4" t="s">
        <v>759</v>
      </c>
      <c r="G547" s="4"/>
      <c r="H547" s="7" t="s">
        <v>545</v>
      </c>
      <c r="I547" s="60"/>
      <c r="J547" s="118">
        <v>572700</v>
      </c>
      <c r="K547" s="118"/>
      <c r="L547" s="118"/>
      <c r="M547" s="118"/>
      <c r="N547" s="127"/>
      <c r="O547" s="26"/>
    </row>
    <row r="548" spans="1:15" ht="15" customHeight="1" x14ac:dyDescent="0.25">
      <c r="A548" s="54">
        <v>45350</v>
      </c>
      <c r="B548" s="25">
        <f t="shared" si="17"/>
        <v>2</v>
      </c>
      <c r="C548" s="25">
        <f t="shared" si="18"/>
        <v>2024</v>
      </c>
      <c r="D548" s="71" t="s">
        <v>92</v>
      </c>
      <c r="E548" s="4" t="s">
        <v>92</v>
      </c>
      <c r="F548" s="4" t="s">
        <v>760</v>
      </c>
      <c r="G548" s="4"/>
      <c r="H548" s="7" t="s">
        <v>92</v>
      </c>
      <c r="I548" s="60"/>
      <c r="J548" s="118"/>
      <c r="K548" s="118">
        <v>300000</v>
      </c>
      <c r="L548" s="118"/>
      <c r="M548" s="118"/>
      <c r="N548" s="127"/>
      <c r="O548" s="26"/>
    </row>
    <row r="549" spans="1:15" ht="15" customHeight="1" x14ac:dyDescent="0.25">
      <c r="A549" s="54">
        <v>45350</v>
      </c>
      <c r="B549" s="25">
        <f t="shared" si="17"/>
        <v>2</v>
      </c>
      <c r="C549" s="25">
        <f t="shared" si="18"/>
        <v>2024</v>
      </c>
      <c r="D549" s="71" t="s">
        <v>92</v>
      </c>
      <c r="E549" s="4" t="s">
        <v>92</v>
      </c>
      <c r="F549" s="4" t="s">
        <v>328</v>
      </c>
      <c r="G549" s="4"/>
      <c r="H549" s="7" t="s">
        <v>92</v>
      </c>
      <c r="I549" s="60"/>
      <c r="J549" s="118"/>
      <c r="K549" s="118">
        <v>6500</v>
      </c>
      <c r="L549" s="118"/>
      <c r="M549" s="118"/>
      <c r="N549" s="127"/>
      <c r="O549" s="26"/>
    </row>
    <row r="550" spans="1:15" ht="15" customHeight="1" x14ac:dyDescent="0.25">
      <c r="A550" s="54">
        <v>45350</v>
      </c>
      <c r="B550" s="25">
        <f t="shared" si="17"/>
        <v>2</v>
      </c>
      <c r="C550" s="25">
        <f t="shared" si="18"/>
        <v>2024</v>
      </c>
      <c r="D550" s="71" t="s">
        <v>92</v>
      </c>
      <c r="E550" s="4" t="s">
        <v>92</v>
      </c>
      <c r="F550" s="4"/>
      <c r="G550" s="4"/>
      <c r="H550" s="7" t="s">
        <v>92</v>
      </c>
      <c r="I550" s="60"/>
      <c r="J550" s="118"/>
      <c r="K550" s="118">
        <v>8200</v>
      </c>
      <c r="L550" s="118"/>
      <c r="M550" s="118"/>
      <c r="N550" s="127"/>
      <c r="O550" s="26"/>
    </row>
    <row r="551" spans="1:15" ht="15" customHeight="1" x14ac:dyDescent="0.25">
      <c r="A551" s="54">
        <v>45350</v>
      </c>
      <c r="B551" s="25">
        <f t="shared" si="17"/>
        <v>2</v>
      </c>
      <c r="C551" s="25">
        <f t="shared" si="18"/>
        <v>2024</v>
      </c>
      <c r="D551" s="71" t="s">
        <v>124</v>
      </c>
      <c r="E551" s="4" t="s">
        <v>93</v>
      </c>
      <c r="F551" s="4" t="s">
        <v>764</v>
      </c>
      <c r="G551" s="4"/>
      <c r="H551" s="7" t="s">
        <v>130</v>
      </c>
      <c r="I551" s="60"/>
      <c r="J551" s="118"/>
      <c r="K551" s="118">
        <v>21000</v>
      </c>
      <c r="L551" s="118"/>
      <c r="M551" s="118"/>
      <c r="N551" s="127"/>
      <c r="O551" s="26"/>
    </row>
    <row r="552" spans="1:15" ht="15" customHeight="1" x14ac:dyDescent="0.25">
      <c r="A552" s="54">
        <v>45351</v>
      </c>
      <c r="B552" s="25">
        <f t="shared" si="17"/>
        <v>2</v>
      </c>
      <c r="C552" s="25">
        <f t="shared" si="18"/>
        <v>2024</v>
      </c>
      <c r="D552" s="71" t="s">
        <v>89</v>
      </c>
      <c r="E552" s="4" t="s">
        <v>93</v>
      </c>
      <c r="F552" s="4" t="s">
        <v>763</v>
      </c>
      <c r="G552" s="4"/>
      <c r="H552" s="7" t="s">
        <v>130</v>
      </c>
      <c r="I552" s="60"/>
      <c r="J552" s="118">
        <v>285700</v>
      </c>
      <c r="K552" s="118"/>
      <c r="L552" s="118"/>
      <c r="M552" s="118"/>
      <c r="N552" s="127"/>
      <c r="O552" s="26"/>
    </row>
    <row r="553" spans="1:15" ht="15" customHeight="1" x14ac:dyDescent="0.25">
      <c r="A553" s="54">
        <v>45351</v>
      </c>
      <c r="B553" s="25">
        <f t="shared" si="17"/>
        <v>2</v>
      </c>
      <c r="C553" s="25">
        <f t="shared" si="18"/>
        <v>2024</v>
      </c>
      <c r="D553" s="71" t="s">
        <v>124</v>
      </c>
      <c r="E553" s="4" t="s">
        <v>93</v>
      </c>
      <c r="F553" s="4"/>
      <c r="G553" s="4" t="s">
        <v>553</v>
      </c>
      <c r="H553" s="7" t="s">
        <v>130</v>
      </c>
      <c r="I553" s="60"/>
      <c r="J553" s="118"/>
      <c r="K553" s="118">
        <v>285700</v>
      </c>
      <c r="L553" s="118"/>
      <c r="M553" s="118"/>
      <c r="N553" s="127"/>
      <c r="O553" s="26"/>
    </row>
    <row r="554" spans="1:15" ht="15" customHeight="1" x14ac:dyDescent="0.25">
      <c r="A554" s="54">
        <v>45352</v>
      </c>
      <c r="B554" s="25">
        <f t="shared" si="17"/>
        <v>3</v>
      </c>
      <c r="C554" s="25">
        <f t="shared" si="18"/>
        <v>2024</v>
      </c>
      <c r="D554" s="71" t="s">
        <v>89</v>
      </c>
      <c r="E554" s="4" t="s">
        <v>93</v>
      </c>
      <c r="F554" s="4" t="s">
        <v>393</v>
      </c>
      <c r="G554" s="4"/>
      <c r="H554" s="7" t="s">
        <v>131</v>
      </c>
      <c r="I554" s="60"/>
      <c r="J554" s="118">
        <v>861400</v>
      </c>
      <c r="K554" s="118"/>
      <c r="L554" s="118"/>
      <c r="M554" s="118"/>
      <c r="N554" s="127"/>
      <c r="O554" s="26"/>
    </row>
    <row r="555" spans="1:15" ht="15" customHeight="1" x14ac:dyDescent="0.25">
      <c r="A555" s="54">
        <v>45352</v>
      </c>
      <c r="B555" s="25">
        <f t="shared" si="17"/>
        <v>3</v>
      </c>
      <c r="C555" s="25">
        <f t="shared" si="18"/>
        <v>2024</v>
      </c>
      <c r="D555" s="71" t="s">
        <v>626</v>
      </c>
      <c r="E555" s="4" t="s">
        <v>93</v>
      </c>
      <c r="F555" s="4"/>
      <c r="G555" s="4"/>
      <c r="H555" s="7" t="s">
        <v>130</v>
      </c>
      <c r="I555" s="60"/>
      <c r="J555" s="118"/>
      <c r="K555" s="118">
        <v>78000</v>
      </c>
      <c r="L555" s="118"/>
      <c r="M555" s="118"/>
      <c r="N555" s="127"/>
      <c r="O555" s="26"/>
    </row>
    <row r="556" spans="1:15" ht="15" customHeight="1" x14ac:dyDescent="0.25">
      <c r="A556" s="54">
        <v>45352</v>
      </c>
      <c r="B556" s="25">
        <f t="shared" si="17"/>
        <v>3</v>
      </c>
      <c r="C556" s="25">
        <f t="shared" si="18"/>
        <v>2024</v>
      </c>
      <c r="D556" s="71" t="s">
        <v>89</v>
      </c>
      <c r="E556" s="4" t="s">
        <v>93</v>
      </c>
      <c r="F556" s="4" t="s">
        <v>768</v>
      </c>
      <c r="G556" s="4"/>
      <c r="H556" s="7" t="s">
        <v>130</v>
      </c>
      <c r="I556" s="60"/>
      <c r="J556" s="118">
        <v>210500</v>
      </c>
      <c r="K556" s="118"/>
      <c r="L556" s="118"/>
      <c r="M556" s="118"/>
      <c r="N556" s="127"/>
      <c r="O556" s="26"/>
    </row>
    <row r="557" spans="1:15" ht="15" customHeight="1" x14ac:dyDescent="0.25">
      <c r="A557" s="54">
        <v>45352</v>
      </c>
      <c r="B557" s="25">
        <f t="shared" si="17"/>
        <v>3</v>
      </c>
      <c r="C557" s="25">
        <f t="shared" si="18"/>
        <v>2024</v>
      </c>
      <c r="D557" s="71" t="s">
        <v>124</v>
      </c>
      <c r="E557" s="4"/>
      <c r="F557" s="4"/>
      <c r="G557" s="4" t="s">
        <v>553</v>
      </c>
      <c r="H557" s="7" t="s">
        <v>131</v>
      </c>
      <c r="I557" s="60"/>
      <c r="J557" s="118"/>
      <c r="K557" s="118">
        <v>861400</v>
      </c>
      <c r="L557" s="118"/>
      <c r="M557" s="118"/>
      <c r="N557" s="127"/>
      <c r="O557" s="26"/>
    </row>
    <row r="558" spans="1:15" ht="15" customHeight="1" x14ac:dyDescent="0.25">
      <c r="A558" s="54">
        <v>45353</v>
      </c>
      <c r="B558" s="25">
        <f t="shared" si="17"/>
        <v>3</v>
      </c>
      <c r="C558" s="25">
        <f t="shared" si="18"/>
        <v>2024</v>
      </c>
      <c r="D558" s="71" t="s">
        <v>89</v>
      </c>
      <c r="E558" s="4" t="s">
        <v>93</v>
      </c>
      <c r="F558" s="4" t="s">
        <v>767</v>
      </c>
      <c r="G558" s="4"/>
      <c r="H558" s="7" t="s">
        <v>130</v>
      </c>
      <c r="I558" s="60"/>
      <c r="J558" s="118">
        <v>45000</v>
      </c>
      <c r="K558" s="118"/>
      <c r="L558" s="118"/>
      <c r="M558" s="118"/>
      <c r="N558" s="127"/>
      <c r="O558" s="26"/>
    </row>
    <row r="559" spans="1:15" ht="15" customHeight="1" x14ac:dyDescent="0.25">
      <c r="A559" s="54">
        <v>45354</v>
      </c>
      <c r="B559" s="25">
        <f t="shared" si="17"/>
        <v>3</v>
      </c>
      <c r="C559" s="25">
        <f t="shared" si="18"/>
        <v>2024</v>
      </c>
      <c r="D559" s="71" t="s">
        <v>92</v>
      </c>
      <c r="E559" s="4" t="s">
        <v>92</v>
      </c>
      <c r="F559" s="4"/>
      <c r="G559" s="4"/>
      <c r="H559" s="7" t="s">
        <v>92</v>
      </c>
      <c r="I559" s="60"/>
      <c r="J559" s="118"/>
      <c r="K559" s="118">
        <v>23000</v>
      </c>
      <c r="L559" s="118"/>
      <c r="M559" s="118"/>
      <c r="N559" s="127"/>
      <c r="O559" s="26"/>
    </row>
    <row r="560" spans="1:15" ht="15" customHeight="1" x14ac:dyDescent="0.25">
      <c r="A560" s="54">
        <v>45355</v>
      </c>
      <c r="B560" s="25">
        <f t="shared" si="17"/>
        <v>3</v>
      </c>
      <c r="C560" s="25">
        <f t="shared" si="18"/>
        <v>2024</v>
      </c>
      <c r="D560" s="71" t="s">
        <v>89</v>
      </c>
      <c r="E560" s="4" t="s">
        <v>93</v>
      </c>
      <c r="F560" s="4" t="s">
        <v>771</v>
      </c>
      <c r="G560" s="4"/>
      <c r="H560" s="7" t="s">
        <v>130</v>
      </c>
      <c r="I560" s="60"/>
      <c r="J560" s="118">
        <v>25000</v>
      </c>
      <c r="K560" s="118"/>
      <c r="L560" s="118"/>
      <c r="M560" s="118"/>
      <c r="N560" s="127"/>
      <c r="O560" s="26"/>
    </row>
    <row r="561" spans="1:15" ht="15" customHeight="1" x14ac:dyDescent="0.25">
      <c r="A561" s="54">
        <v>45356</v>
      </c>
      <c r="B561" s="25">
        <f t="shared" si="17"/>
        <v>3</v>
      </c>
      <c r="C561" s="25">
        <f t="shared" si="18"/>
        <v>2024</v>
      </c>
      <c r="D561" s="71" t="s">
        <v>89</v>
      </c>
      <c r="E561" s="4" t="s">
        <v>93</v>
      </c>
      <c r="F561" s="4" t="s">
        <v>451</v>
      </c>
      <c r="G561" s="4"/>
      <c r="H561" s="7" t="s">
        <v>131</v>
      </c>
      <c r="I561" s="60"/>
      <c r="J561" s="118">
        <v>185000</v>
      </c>
      <c r="K561" s="118"/>
      <c r="L561" s="118"/>
      <c r="M561" s="118"/>
      <c r="N561" s="127"/>
      <c r="O561" s="26"/>
    </row>
    <row r="562" spans="1:15" ht="15" customHeight="1" x14ac:dyDescent="0.25">
      <c r="A562" s="54">
        <v>45356</v>
      </c>
      <c r="B562" s="25">
        <f t="shared" si="17"/>
        <v>3</v>
      </c>
      <c r="C562" s="25">
        <f t="shared" si="18"/>
        <v>2024</v>
      </c>
      <c r="D562" s="71" t="s">
        <v>89</v>
      </c>
      <c r="E562" s="4" t="s">
        <v>93</v>
      </c>
      <c r="F562" s="4" t="s">
        <v>773</v>
      </c>
      <c r="G562" s="4"/>
      <c r="H562" s="7" t="s">
        <v>131</v>
      </c>
      <c r="I562" s="60"/>
      <c r="J562" s="118">
        <v>104000</v>
      </c>
      <c r="K562" s="118"/>
      <c r="L562" s="118"/>
      <c r="M562" s="118"/>
      <c r="N562" s="127"/>
      <c r="O562" s="26"/>
    </row>
    <row r="563" spans="1:15" ht="15" customHeight="1" x14ac:dyDescent="0.25">
      <c r="A563" s="54">
        <v>45356</v>
      </c>
      <c r="B563" s="25">
        <f t="shared" si="17"/>
        <v>3</v>
      </c>
      <c r="C563" s="25">
        <f t="shared" si="18"/>
        <v>2024</v>
      </c>
      <c r="D563" s="71" t="s">
        <v>89</v>
      </c>
      <c r="E563" s="4" t="s">
        <v>93</v>
      </c>
      <c r="F563" s="4" t="s">
        <v>773</v>
      </c>
      <c r="G563" s="4"/>
      <c r="H563" s="7" t="s">
        <v>130</v>
      </c>
      <c r="I563" s="60"/>
      <c r="J563" s="118">
        <v>65650</v>
      </c>
      <c r="K563" s="118"/>
      <c r="L563" s="118"/>
      <c r="M563" s="118"/>
      <c r="N563" s="127"/>
      <c r="O563" s="26"/>
    </row>
    <row r="564" spans="1:15" ht="15" customHeight="1" x14ac:dyDescent="0.25">
      <c r="A564" s="54">
        <v>45356</v>
      </c>
      <c r="B564" s="25">
        <f t="shared" si="17"/>
        <v>3</v>
      </c>
      <c r="C564" s="25">
        <f t="shared" si="18"/>
        <v>2024</v>
      </c>
      <c r="D564" s="71" t="s">
        <v>89</v>
      </c>
      <c r="E564" s="4" t="s">
        <v>93</v>
      </c>
      <c r="F564" s="4" t="s">
        <v>512</v>
      </c>
      <c r="G564" s="4"/>
      <c r="H564" s="7" t="s">
        <v>131</v>
      </c>
      <c r="I564" s="60"/>
      <c r="J564" s="118">
        <v>35000</v>
      </c>
      <c r="K564" s="118"/>
      <c r="L564" s="118"/>
      <c r="M564" s="118"/>
      <c r="N564" s="127"/>
      <c r="O564" s="26"/>
    </row>
    <row r="565" spans="1:15" ht="15" customHeight="1" x14ac:dyDescent="0.25">
      <c r="A565" s="54">
        <v>45356</v>
      </c>
      <c r="B565" s="25">
        <f t="shared" si="17"/>
        <v>3</v>
      </c>
      <c r="C565" s="25">
        <f t="shared" si="18"/>
        <v>2024</v>
      </c>
      <c r="D565" s="71" t="s">
        <v>92</v>
      </c>
      <c r="E565" s="4" t="s">
        <v>92</v>
      </c>
      <c r="F565" s="4" t="s">
        <v>630</v>
      </c>
      <c r="G565" s="4"/>
      <c r="H565" s="7" t="s">
        <v>545</v>
      </c>
      <c r="I565" s="60"/>
      <c r="J565" s="118"/>
      <c r="K565" s="118">
        <v>10295.84</v>
      </c>
      <c r="L565" s="118"/>
      <c r="M565" s="118"/>
      <c r="N565" s="127"/>
      <c r="O565" s="26"/>
    </row>
    <row r="566" spans="1:15" ht="15" customHeight="1" x14ac:dyDescent="0.25">
      <c r="A566" s="54">
        <v>45356</v>
      </c>
      <c r="B566" s="25">
        <f t="shared" si="17"/>
        <v>3</v>
      </c>
      <c r="C566" s="25">
        <f t="shared" si="18"/>
        <v>2024</v>
      </c>
      <c r="D566" s="71" t="s">
        <v>610</v>
      </c>
      <c r="E566" s="4" t="s">
        <v>92</v>
      </c>
      <c r="F566" s="4" t="s">
        <v>774</v>
      </c>
      <c r="G566" s="4"/>
      <c r="H566" s="7" t="s">
        <v>545</v>
      </c>
      <c r="I566" s="60"/>
      <c r="J566" s="118"/>
      <c r="K566" s="118">
        <v>98675.85</v>
      </c>
      <c r="L566" s="118"/>
      <c r="M566" s="118"/>
      <c r="N566" s="127"/>
      <c r="O566" s="26"/>
    </row>
    <row r="567" spans="1:15" ht="15" customHeight="1" x14ac:dyDescent="0.25">
      <c r="A567" s="54">
        <v>45356</v>
      </c>
      <c r="B567" s="25">
        <f t="shared" si="17"/>
        <v>3</v>
      </c>
      <c r="C567" s="25">
        <v>2024</v>
      </c>
      <c r="D567" s="71" t="s">
        <v>610</v>
      </c>
      <c r="E567" s="4" t="s">
        <v>92</v>
      </c>
      <c r="F567" s="4" t="s">
        <v>139</v>
      </c>
      <c r="G567" s="4"/>
      <c r="H567" s="7" t="s">
        <v>545</v>
      </c>
      <c r="I567" s="60"/>
      <c r="J567" s="118"/>
      <c r="K567" s="118">
        <v>2254.62</v>
      </c>
      <c r="L567" s="118"/>
      <c r="M567" s="118"/>
      <c r="N567" s="127"/>
      <c r="O567" s="26"/>
    </row>
    <row r="568" spans="1:15" ht="15" customHeight="1" x14ac:dyDescent="0.25">
      <c r="A568" s="54">
        <v>45356</v>
      </c>
      <c r="B568" s="25">
        <f t="shared" si="17"/>
        <v>3</v>
      </c>
      <c r="C568" s="25">
        <f t="shared" ref="C568:C599" si="19">YEAR((A568))</f>
        <v>2024</v>
      </c>
      <c r="D568" s="71" t="s">
        <v>89</v>
      </c>
      <c r="E568" s="4" t="s">
        <v>93</v>
      </c>
      <c r="F568" s="4" t="s">
        <v>776</v>
      </c>
      <c r="G568" s="4"/>
      <c r="H568" s="7" t="s">
        <v>130</v>
      </c>
      <c r="I568" s="60"/>
      <c r="J568" s="118">
        <v>20000</v>
      </c>
      <c r="K568" s="118"/>
      <c r="L568" s="118"/>
      <c r="M568" s="118"/>
      <c r="N568" s="127"/>
      <c r="O568" s="26"/>
    </row>
    <row r="569" spans="1:15" ht="15" customHeight="1" x14ac:dyDescent="0.25">
      <c r="A569" s="54">
        <v>45356</v>
      </c>
      <c r="B569" s="25">
        <f t="shared" si="17"/>
        <v>3</v>
      </c>
      <c r="C569" s="25">
        <f t="shared" si="19"/>
        <v>2024</v>
      </c>
      <c r="D569" s="71" t="s">
        <v>92</v>
      </c>
      <c r="E569" s="4" t="s">
        <v>92</v>
      </c>
      <c r="F569" s="4" t="s">
        <v>112</v>
      </c>
      <c r="G569" s="4"/>
      <c r="H569" s="7" t="s">
        <v>92</v>
      </c>
      <c r="I569" s="60"/>
      <c r="J569" s="118"/>
      <c r="K569" s="118">
        <v>56000</v>
      </c>
      <c r="L569" s="118"/>
      <c r="M569" s="118"/>
      <c r="N569" s="127"/>
      <c r="O569" s="26"/>
    </row>
    <row r="570" spans="1:15" ht="15" customHeight="1" x14ac:dyDescent="0.25">
      <c r="A570" s="54">
        <v>45356</v>
      </c>
      <c r="B570" s="25">
        <f t="shared" si="17"/>
        <v>3</v>
      </c>
      <c r="C570" s="25">
        <f t="shared" si="19"/>
        <v>2024</v>
      </c>
      <c r="D570" s="71" t="s">
        <v>92</v>
      </c>
      <c r="E570" s="4" t="s">
        <v>92</v>
      </c>
      <c r="F570" s="4"/>
      <c r="G570" s="4"/>
      <c r="H570" s="7" t="s">
        <v>92</v>
      </c>
      <c r="I570" s="60"/>
      <c r="J570" s="118"/>
      <c r="K570" s="118">
        <v>5000</v>
      </c>
      <c r="L570" s="118"/>
      <c r="M570" s="118"/>
      <c r="N570" s="127"/>
      <c r="O570" s="26"/>
    </row>
    <row r="571" spans="1:15" ht="15" customHeight="1" x14ac:dyDescent="0.25">
      <c r="A571" s="54">
        <v>45356</v>
      </c>
      <c r="B571" s="25">
        <f t="shared" si="17"/>
        <v>3</v>
      </c>
      <c r="C571" s="25">
        <f t="shared" si="19"/>
        <v>2024</v>
      </c>
      <c r="D571" s="71" t="s">
        <v>124</v>
      </c>
      <c r="E571" s="4" t="s">
        <v>93</v>
      </c>
      <c r="F571" s="4"/>
      <c r="G571" s="4" t="s">
        <v>385</v>
      </c>
      <c r="H571" s="7" t="s">
        <v>130</v>
      </c>
      <c r="I571" s="60"/>
      <c r="J571" s="118"/>
      <c r="K571" s="118">
        <v>116419</v>
      </c>
      <c r="L571" s="118"/>
      <c r="M571" s="118"/>
      <c r="N571" s="127"/>
      <c r="O571" s="26"/>
    </row>
    <row r="572" spans="1:15" ht="15" customHeight="1" x14ac:dyDescent="0.25">
      <c r="A572" s="54">
        <v>45356</v>
      </c>
      <c r="B572" s="25">
        <f t="shared" si="17"/>
        <v>3</v>
      </c>
      <c r="C572" s="25">
        <f t="shared" si="19"/>
        <v>2024</v>
      </c>
      <c r="D572" s="71" t="s">
        <v>89</v>
      </c>
      <c r="E572" s="4" t="s">
        <v>93</v>
      </c>
      <c r="F572" s="4" t="s">
        <v>777</v>
      </c>
      <c r="G572" s="4"/>
      <c r="H572" s="7" t="s">
        <v>130</v>
      </c>
      <c r="I572" s="60"/>
      <c r="J572" s="118">
        <v>150000</v>
      </c>
      <c r="K572" s="118"/>
      <c r="L572" s="118"/>
      <c r="M572" s="118"/>
      <c r="N572" s="127"/>
      <c r="O572" s="26"/>
    </row>
    <row r="573" spans="1:15" ht="15" customHeight="1" x14ac:dyDescent="0.25">
      <c r="A573" s="93">
        <v>45357</v>
      </c>
      <c r="B573" s="94">
        <f t="shared" si="17"/>
        <v>3</v>
      </c>
      <c r="C573" s="94">
        <f t="shared" si="19"/>
        <v>2024</v>
      </c>
      <c r="D573" s="124" t="s">
        <v>352</v>
      </c>
      <c r="E573" s="125" t="s">
        <v>93</v>
      </c>
      <c r="F573" s="125" t="s">
        <v>778</v>
      </c>
      <c r="G573" s="125"/>
      <c r="H573" s="95" t="s">
        <v>130</v>
      </c>
      <c r="I573" s="126"/>
      <c r="J573" s="139">
        <v>481650</v>
      </c>
      <c r="K573" s="139"/>
      <c r="L573" s="139"/>
      <c r="M573" s="139"/>
      <c r="N573" s="127"/>
      <c r="O573" s="26"/>
    </row>
    <row r="574" spans="1:15" ht="15" customHeight="1" x14ac:dyDescent="0.25">
      <c r="A574" s="93">
        <v>45357</v>
      </c>
      <c r="B574" s="94">
        <f t="shared" si="17"/>
        <v>3</v>
      </c>
      <c r="C574" s="94">
        <f t="shared" si="19"/>
        <v>2024</v>
      </c>
      <c r="D574" s="124" t="s">
        <v>124</v>
      </c>
      <c r="E574" s="125" t="s">
        <v>93</v>
      </c>
      <c r="F574" s="125"/>
      <c r="G574" s="125" t="s">
        <v>553</v>
      </c>
      <c r="H574" s="95" t="s">
        <v>130</v>
      </c>
      <c r="I574" s="126"/>
      <c r="J574" s="139"/>
      <c r="K574" s="139">
        <v>481650</v>
      </c>
      <c r="L574" s="139"/>
      <c r="M574" s="139"/>
      <c r="N574" s="127"/>
      <c r="O574" s="26"/>
    </row>
    <row r="575" spans="1:15" ht="15" customHeight="1" x14ac:dyDescent="0.25">
      <c r="A575" s="54">
        <v>45357</v>
      </c>
      <c r="B575" s="25">
        <f t="shared" si="17"/>
        <v>3</v>
      </c>
      <c r="C575" s="25">
        <f t="shared" si="19"/>
        <v>2024</v>
      </c>
      <c r="D575" s="71" t="s">
        <v>89</v>
      </c>
      <c r="E575" s="4" t="s">
        <v>93</v>
      </c>
      <c r="F575" s="4" t="s">
        <v>779</v>
      </c>
      <c r="G575" s="4"/>
      <c r="H575" s="7" t="s">
        <v>130</v>
      </c>
      <c r="I575" s="60"/>
      <c r="J575" s="118">
        <v>35000</v>
      </c>
      <c r="K575" s="118"/>
      <c r="L575" s="118"/>
      <c r="M575" s="118"/>
      <c r="N575" s="127"/>
      <c r="O575" s="26"/>
    </row>
    <row r="576" spans="1:15" ht="15" customHeight="1" x14ac:dyDescent="0.25">
      <c r="A576" s="54">
        <v>45358</v>
      </c>
      <c r="B576" s="25">
        <f t="shared" si="17"/>
        <v>3</v>
      </c>
      <c r="C576" s="25">
        <f t="shared" si="19"/>
        <v>2024</v>
      </c>
      <c r="D576" s="71" t="s">
        <v>502</v>
      </c>
      <c r="E576" s="4" t="s">
        <v>93</v>
      </c>
      <c r="F576" s="4" t="s">
        <v>781</v>
      </c>
      <c r="G576" s="4"/>
      <c r="H576" s="7" t="s">
        <v>131</v>
      </c>
      <c r="I576" s="60"/>
      <c r="J576" s="118"/>
      <c r="K576" s="118">
        <v>104000</v>
      </c>
      <c r="L576" s="118"/>
      <c r="M576" s="118"/>
      <c r="N576" s="127"/>
      <c r="O576" s="26"/>
    </row>
    <row r="577" spans="1:15" ht="15" customHeight="1" x14ac:dyDescent="0.25">
      <c r="A577" s="54">
        <v>45358</v>
      </c>
      <c r="B577" s="25">
        <f t="shared" si="17"/>
        <v>3</v>
      </c>
      <c r="C577" s="25">
        <f t="shared" si="19"/>
        <v>2024</v>
      </c>
      <c r="D577" s="71" t="s">
        <v>89</v>
      </c>
      <c r="E577" s="4" t="s">
        <v>93</v>
      </c>
      <c r="F577" s="4" t="s">
        <v>397</v>
      </c>
      <c r="G577" s="4"/>
      <c r="H577" s="7" t="s">
        <v>131</v>
      </c>
      <c r="I577" s="60"/>
      <c r="J577" s="118">
        <v>200000</v>
      </c>
      <c r="K577" s="118"/>
      <c r="L577" s="118"/>
      <c r="M577" s="118"/>
      <c r="N577" s="127"/>
      <c r="O577" s="26"/>
    </row>
    <row r="578" spans="1:15" ht="15" customHeight="1" x14ac:dyDescent="0.25">
      <c r="A578" s="54">
        <v>45358</v>
      </c>
      <c r="B578" s="25">
        <f t="shared" si="17"/>
        <v>3</v>
      </c>
      <c r="C578" s="25">
        <f t="shared" si="19"/>
        <v>2024</v>
      </c>
      <c r="D578" s="71" t="s">
        <v>352</v>
      </c>
      <c r="E578" s="4" t="s">
        <v>93</v>
      </c>
      <c r="F578" s="4" t="s">
        <v>696</v>
      </c>
      <c r="G578" s="4"/>
      <c r="H578" s="7" t="s">
        <v>545</v>
      </c>
      <c r="I578" s="60"/>
      <c r="J578" s="118">
        <v>127200</v>
      </c>
      <c r="K578" s="118"/>
      <c r="L578" s="118"/>
      <c r="M578" s="118"/>
      <c r="N578" s="127"/>
      <c r="O578" s="26"/>
    </row>
    <row r="579" spans="1:15" ht="15" customHeight="1" x14ac:dyDescent="0.25">
      <c r="A579" s="54">
        <v>45358</v>
      </c>
      <c r="B579" s="25">
        <f t="shared" ref="B579:B642" si="20">MONTH(A579)</f>
        <v>3</v>
      </c>
      <c r="C579" s="25">
        <f t="shared" si="19"/>
        <v>2024</v>
      </c>
      <c r="D579" s="71" t="s">
        <v>89</v>
      </c>
      <c r="E579" s="4" t="s">
        <v>93</v>
      </c>
      <c r="F579" s="4" t="s">
        <v>782</v>
      </c>
      <c r="G579" s="4"/>
      <c r="H579" s="7" t="s">
        <v>130</v>
      </c>
      <c r="I579" s="60"/>
      <c r="J579" s="118">
        <v>35000</v>
      </c>
      <c r="K579" s="118"/>
      <c r="L579" s="118"/>
      <c r="M579" s="118"/>
      <c r="N579" s="127"/>
      <c r="O579" s="26"/>
    </row>
    <row r="580" spans="1:15" ht="15" customHeight="1" x14ac:dyDescent="0.25">
      <c r="A580" s="54">
        <v>45358</v>
      </c>
      <c r="B580" s="25">
        <f t="shared" si="20"/>
        <v>3</v>
      </c>
      <c r="C580" s="25">
        <f t="shared" si="19"/>
        <v>2024</v>
      </c>
      <c r="D580" s="71" t="s">
        <v>124</v>
      </c>
      <c r="E580" s="4" t="s">
        <v>93</v>
      </c>
      <c r="F580" s="4"/>
      <c r="G580" s="4" t="s">
        <v>475</v>
      </c>
      <c r="H580" s="7" t="s">
        <v>130</v>
      </c>
      <c r="I580" s="60"/>
      <c r="J580" s="118"/>
      <c r="K580" s="118">
        <v>20909.87</v>
      </c>
      <c r="L580" s="118"/>
      <c r="M580" s="118"/>
      <c r="N580" s="127"/>
      <c r="O580" s="26"/>
    </row>
    <row r="581" spans="1:15" ht="15" customHeight="1" x14ac:dyDescent="0.25">
      <c r="A581" s="54">
        <v>45358</v>
      </c>
      <c r="B581" s="25">
        <f t="shared" si="20"/>
        <v>3</v>
      </c>
      <c r="C581" s="25">
        <f t="shared" si="19"/>
        <v>2024</v>
      </c>
      <c r="D581" s="71" t="s">
        <v>92</v>
      </c>
      <c r="E581" s="4" t="s">
        <v>92</v>
      </c>
      <c r="F581" s="4" t="s">
        <v>796</v>
      </c>
      <c r="G581" s="4"/>
      <c r="H581" s="7" t="s">
        <v>92</v>
      </c>
      <c r="I581" s="60"/>
      <c r="J581" s="118"/>
      <c r="K581" s="118">
        <v>92500</v>
      </c>
      <c r="L581" s="118"/>
      <c r="M581" s="118"/>
      <c r="N581" s="127"/>
      <c r="O581" s="26"/>
    </row>
    <row r="582" spans="1:15" ht="15" customHeight="1" x14ac:dyDescent="0.25">
      <c r="A582" s="54">
        <v>45358</v>
      </c>
      <c r="B582" s="25">
        <f t="shared" si="20"/>
        <v>3</v>
      </c>
      <c r="C582" s="25">
        <f t="shared" si="19"/>
        <v>2024</v>
      </c>
      <c r="D582" s="71" t="s">
        <v>610</v>
      </c>
      <c r="E582" s="4" t="s">
        <v>92</v>
      </c>
      <c r="F582" s="4" t="s">
        <v>793</v>
      </c>
      <c r="G582" s="4"/>
      <c r="H582" s="7" t="s">
        <v>92</v>
      </c>
      <c r="I582" s="60"/>
      <c r="J582" s="118"/>
      <c r="K582" s="118">
        <v>40753</v>
      </c>
      <c r="L582" s="118"/>
      <c r="M582" s="118"/>
      <c r="N582" s="127"/>
      <c r="O582" s="26"/>
    </row>
    <row r="583" spans="1:15" ht="15" customHeight="1" x14ac:dyDescent="0.25">
      <c r="A583" s="54">
        <v>45358</v>
      </c>
      <c r="B583" s="25">
        <f t="shared" si="20"/>
        <v>3</v>
      </c>
      <c r="C583" s="25">
        <f t="shared" si="19"/>
        <v>2024</v>
      </c>
      <c r="D583" s="71" t="s">
        <v>610</v>
      </c>
      <c r="E583" s="4" t="s">
        <v>92</v>
      </c>
      <c r="F583" s="4" t="s">
        <v>793</v>
      </c>
      <c r="G583" s="4"/>
      <c r="H583" s="7" t="s">
        <v>92</v>
      </c>
      <c r="I583" s="60"/>
      <c r="J583" s="118"/>
      <c r="K583" s="118">
        <v>46170</v>
      </c>
      <c r="L583" s="118"/>
      <c r="M583" s="118"/>
      <c r="N583" s="127"/>
      <c r="O583" s="26"/>
    </row>
    <row r="584" spans="1:15" ht="15" customHeight="1" x14ac:dyDescent="0.25">
      <c r="A584" s="54">
        <v>45359</v>
      </c>
      <c r="B584" s="25">
        <f t="shared" si="20"/>
        <v>3</v>
      </c>
      <c r="C584" s="25">
        <f t="shared" si="19"/>
        <v>2024</v>
      </c>
      <c r="D584" s="71" t="s">
        <v>352</v>
      </c>
      <c r="E584" s="4" t="s">
        <v>93</v>
      </c>
      <c r="F584" s="4" t="s">
        <v>785</v>
      </c>
      <c r="G584" s="4"/>
      <c r="H584" s="7" t="s">
        <v>545</v>
      </c>
      <c r="I584" s="60"/>
      <c r="J584" s="118">
        <v>197000</v>
      </c>
      <c r="K584" s="118"/>
      <c r="L584" s="118"/>
      <c r="M584" s="118"/>
      <c r="N584" s="127"/>
      <c r="O584" s="26"/>
    </row>
    <row r="585" spans="1:15" ht="15" customHeight="1" x14ac:dyDescent="0.25">
      <c r="A585" s="54">
        <v>45359</v>
      </c>
      <c r="B585" s="25">
        <f t="shared" si="20"/>
        <v>3</v>
      </c>
      <c r="C585" s="25">
        <f t="shared" si="19"/>
        <v>2024</v>
      </c>
      <c r="D585" s="71" t="s">
        <v>626</v>
      </c>
      <c r="E585" s="4" t="s">
        <v>93</v>
      </c>
      <c r="F585" s="4"/>
      <c r="G585" s="4"/>
      <c r="H585" s="7" t="s">
        <v>130</v>
      </c>
      <c r="I585" s="60"/>
      <c r="J585" s="118"/>
      <c r="K585" s="118">
        <v>97000</v>
      </c>
      <c r="L585" s="118"/>
      <c r="M585" s="118"/>
      <c r="N585" s="127"/>
      <c r="O585" s="26"/>
    </row>
    <row r="586" spans="1:15" ht="15" customHeight="1" x14ac:dyDescent="0.25">
      <c r="A586" s="54">
        <v>45359</v>
      </c>
      <c r="B586" s="25">
        <f t="shared" si="20"/>
        <v>3</v>
      </c>
      <c r="C586" s="25">
        <f t="shared" si="19"/>
        <v>2024</v>
      </c>
      <c r="D586" s="71" t="s">
        <v>92</v>
      </c>
      <c r="E586" s="4" t="s">
        <v>92</v>
      </c>
      <c r="F586" s="4" t="s">
        <v>792</v>
      </c>
      <c r="G586" s="4"/>
      <c r="H586" s="7" t="s">
        <v>92</v>
      </c>
      <c r="I586" s="60"/>
      <c r="J586" s="118"/>
      <c r="K586" s="118">
        <v>60068</v>
      </c>
      <c r="L586" s="118"/>
      <c r="M586" s="118"/>
      <c r="N586" s="127"/>
      <c r="O586" s="26"/>
    </row>
    <row r="587" spans="1:15" ht="15" customHeight="1" x14ac:dyDescent="0.25">
      <c r="A587" s="54">
        <v>45362</v>
      </c>
      <c r="B587" s="25">
        <f t="shared" si="20"/>
        <v>3</v>
      </c>
      <c r="C587" s="25">
        <f t="shared" si="19"/>
        <v>2024</v>
      </c>
      <c r="D587" s="71" t="s">
        <v>124</v>
      </c>
      <c r="E587" s="4" t="s">
        <v>93</v>
      </c>
      <c r="F587" s="4" t="s">
        <v>786</v>
      </c>
      <c r="G587" s="4"/>
      <c r="H587" s="7" t="s">
        <v>130</v>
      </c>
      <c r="I587" s="60"/>
      <c r="J587" s="118"/>
      <c r="K587" s="118">
        <v>81000</v>
      </c>
      <c r="L587" s="118"/>
      <c r="M587" s="118"/>
      <c r="N587" s="127"/>
      <c r="O587" s="26"/>
    </row>
    <row r="588" spans="1:15" ht="15" customHeight="1" x14ac:dyDescent="0.25">
      <c r="A588" s="54">
        <v>45362</v>
      </c>
      <c r="B588" s="25">
        <f t="shared" si="20"/>
        <v>3</v>
      </c>
      <c r="C588" s="25">
        <f t="shared" si="19"/>
        <v>2024</v>
      </c>
      <c r="D588" s="71" t="s">
        <v>352</v>
      </c>
      <c r="E588" s="4" t="s">
        <v>93</v>
      </c>
      <c r="F588" s="4" t="s">
        <v>787</v>
      </c>
      <c r="G588" s="4"/>
      <c r="H588" s="7" t="s">
        <v>130</v>
      </c>
      <c r="I588" s="60"/>
      <c r="J588" s="118">
        <v>156500</v>
      </c>
      <c r="K588" s="118"/>
      <c r="L588" s="118"/>
      <c r="M588" s="118"/>
      <c r="N588" s="127"/>
      <c r="O588" s="26"/>
    </row>
    <row r="589" spans="1:15" ht="15" customHeight="1" x14ac:dyDescent="0.25">
      <c r="A589" s="54">
        <v>45362</v>
      </c>
      <c r="B589" s="25">
        <f t="shared" si="20"/>
        <v>3</v>
      </c>
      <c r="C589" s="25">
        <f t="shared" si="19"/>
        <v>2024</v>
      </c>
      <c r="D589" s="71" t="s">
        <v>352</v>
      </c>
      <c r="E589" s="4" t="s">
        <v>93</v>
      </c>
      <c r="F589" s="4" t="s">
        <v>546</v>
      </c>
      <c r="G589" s="4"/>
      <c r="H589" s="7" t="s">
        <v>131</v>
      </c>
      <c r="I589" s="60"/>
      <c r="J589" s="118">
        <v>42940</v>
      </c>
      <c r="K589" s="118"/>
      <c r="L589" s="118"/>
      <c r="M589" s="118"/>
      <c r="N589" s="127"/>
      <c r="O589" s="26"/>
    </row>
    <row r="590" spans="1:15" ht="15" customHeight="1" x14ac:dyDescent="0.25">
      <c r="A590" s="54">
        <v>45362</v>
      </c>
      <c r="B590" s="25">
        <f t="shared" si="20"/>
        <v>3</v>
      </c>
      <c r="C590" s="25">
        <f t="shared" si="19"/>
        <v>2024</v>
      </c>
      <c r="D590" s="71" t="s">
        <v>92</v>
      </c>
      <c r="E590" s="4" t="s">
        <v>92</v>
      </c>
      <c r="F590" s="4"/>
      <c r="G590" s="4"/>
      <c r="H590" s="7" t="s">
        <v>92</v>
      </c>
      <c r="I590" s="60"/>
      <c r="J590" s="118"/>
      <c r="K590" s="118">
        <v>6700</v>
      </c>
      <c r="L590" s="118"/>
      <c r="M590" s="118"/>
      <c r="N590" s="127"/>
      <c r="O590" s="26"/>
    </row>
    <row r="591" spans="1:15" ht="15" customHeight="1" x14ac:dyDescent="0.25">
      <c r="A591" s="54">
        <v>45362</v>
      </c>
      <c r="B591" s="25">
        <f t="shared" si="20"/>
        <v>3</v>
      </c>
      <c r="C591" s="25">
        <f t="shared" si="19"/>
        <v>2024</v>
      </c>
      <c r="D591" s="71" t="s">
        <v>92</v>
      </c>
      <c r="E591" s="4" t="s">
        <v>92</v>
      </c>
      <c r="F591" s="4" t="s">
        <v>784</v>
      </c>
      <c r="G591" s="4"/>
      <c r="H591" s="7" t="s">
        <v>92</v>
      </c>
      <c r="I591" s="60"/>
      <c r="J591" s="118"/>
      <c r="K591" s="118">
        <v>207000</v>
      </c>
      <c r="L591" s="118"/>
      <c r="M591" s="118"/>
      <c r="N591" s="127"/>
      <c r="O591" s="26"/>
    </row>
    <row r="592" spans="1:15" ht="15" customHeight="1" x14ac:dyDescent="0.25">
      <c r="A592" s="54">
        <v>45362</v>
      </c>
      <c r="B592" s="25">
        <f t="shared" si="20"/>
        <v>3</v>
      </c>
      <c r="C592" s="25">
        <f t="shared" si="19"/>
        <v>2024</v>
      </c>
      <c r="D592" s="71" t="s">
        <v>92</v>
      </c>
      <c r="E592" s="4" t="s">
        <v>92</v>
      </c>
      <c r="F592" s="4"/>
      <c r="G592" s="4"/>
      <c r="H592" s="7" t="s">
        <v>92</v>
      </c>
      <c r="I592" s="60"/>
      <c r="J592" s="118"/>
      <c r="K592" s="118">
        <v>19500</v>
      </c>
      <c r="L592" s="118"/>
      <c r="M592" s="118"/>
      <c r="N592" s="127"/>
      <c r="O592" s="26"/>
    </row>
    <row r="593" spans="1:15" ht="15" customHeight="1" x14ac:dyDescent="0.25">
      <c r="A593" s="54">
        <v>45362</v>
      </c>
      <c r="B593" s="25">
        <f t="shared" si="20"/>
        <v>3</v>
      </c>
      <c r="C593" s="25">
        <f t="shared" si="19"/>
        <v>2024</v>
      </c>
      <c r="D593" s="71" t="s">
        <v>92</v>
      </c>
      <c r="E593" s="4" t="s">
        <v>92</v>
      </c>
      <c r="F593" s="4" t="s">
        <v>675</v>
      </c>
      <c r="G593" s="4"/>
      <c r="H593" s="7" t="s">
        <v>92</v>
      </c>
      <c r="I593" s="60"/>
      <c r="J593" s="118"/>
      <c r="K593" s="118">
        <v>90000</v>
      </c>
      <c r="L593" s="118"/>
      <c r="M593" s="118"/>
      <c r="N593" s="127"/>
      <c r="O593" s="26"/>
    </row>
    <row r="594" spans="1:15" ht="15" customHeight="1" x14ac:dyDescent="0.25">
      <c r="A594" s="54">
        <v>45362</v>
      </c>
      <c r="B594" s="25">
        <f t="shared" si="20"/>
        <v>3</v>
      </c>
      <c r="C594" s="25">
        <f t="shared" si="19"/>
        <v>2024</v>
      </c>
      <c r="D594" s="71" t="s">
        <v>92</v>
      </c>
      <c r="E594" s="4" t="s">
        <v>92</v>
      </c>
      <c r="F594" s="4"/>
      <c r="G594" s="4"/>
      <c r="H594" s="7" t="s">
        <v>92</v>
      </c>
      <c r="I594" s="60"/>
      <c r="J594" s="118"/>
      <c r="K594" s="118">
        <v>7000</v>
      </c>
      <c r="L594" s="118"/>
      <c r="M594" s="118"/>
      <c r="N594" s="127"/>
      <c r="O594" s="26"/>
    </row>
    <row r="595" spans="1:15" ht="15" customHeight="1" x14ac:dyDescent="0.25">
      <c r="A595" s="54">
        <v>45362</v>
      </c>
      <c r="B595" s="25">
        <f t="shared" si="20"/>
        <v>3</v>
      </c>
      <c r="C595" s="25">
        <f t="shared" si="19"/>
        <v>2024</v>
      </c>
      <c r="D595" s="71" t="s">
        <v>92</v>
      </c>
      <c r="E595" s="4" t="s">
        <v>92</v>
      </c>
      <c r="F595" s="4" t="s">
        <v>789</v>
      </c>
      <c r="G595" s="4"/>
      <c r="H595" s="7" t="s">
        <v>92</v>
      </c>
      <c r="I595" s="60"/>
      <c r="J595" s="118"/>
      <c r="K595" s="118">
        <v>35510</v>
      </c>
      <c r="L595" s="118"/>
      <c r="M595" s="118"/>
      <c r="N595" s="127"/>
      <c r="O595" s="26"/>
    </row>
    <row r="596" spans="1:15" ht="15" customHeight="1" x14ac:dyDescent="0.25">
      <c r="A596" s="54">
        <v>45363</v>
      </c>
      <c r="B596" s="25">
        <f t="shared" si="20"/>
        <v>3</v>
      </c>
      <c r="C596" s="25">
        <f t="shared" si="19"/>
        <v>2024</v>
      </c>
      <c r="D596" s="71" t="s">
        <v>352</v>
      </c>
      <c r="E596" s="4" t="s">
        <v>93</v>
      </c>
      <c r="F596" s="4" t="s">
        <v>798</v>
      </c>
      <c r="G596" s="4"/>
      <c r="H596" s="7" t="s">
        <v>131</v>
      </c>
      <c r="I596" s="60"/>
      <c r="J596" s="118">
        <v>498750</v>
      </c>
      <c r="K596" s="118"/>
      <c r="L596" s="118"/>
      <c r="M596" s="118"/>
      <c r="N596" s="127"/>
      <c r="O596" s="26"/>
    </row>
    <row r="597" spans="1:15" ht="15" customHeight="1" x14ac:dyDescent="0.25">
      <c r="A597" s="54">
        <v>45363</v>
      </c>
      <c r="B597" s="25">
        <f t="shared" si="20"/>
        <v>3</v>
      </c>
      <c r="C597" s="25">
        <f t="shared" si="19"/>
        <v>2024</v>
      </c>
      <c r="D597" s="71" t="s">
        <v>124</v>
      </c>
      <c r="E597" s="4" t="s">
        <v>93</v>
      </c>
      <c r="F597" s="4"/>
      <c r="G597" s="4" t="s">
        <v>553</v>
      </c>
      <c r="H597" s="7" t="s">
        <v>131</v>
      </c>
      <c r="I597" s="60"/>
      <c r="J597" s="118"/>
      <c r="K597" s="118">
        <v>185000</v>
      </c>
      <c r="L597" s="118"/>
      <c r="M597" s="118"/>
      <c r="N597" s="127"/>
      <c r="O597" s="26"/>
    </row>
    <row r="598" spans="1:15" ht="15" customHeight="1" x14ac:dyDescent="0.25">
      <c r="A598" s="54">
        <v>45363</v>
      </c>
      <c r="B598" s="25">
        <f t="shared" si="20"/>
        <v>3</v>
      </c>
      <c r="C598" s="25">
        <f t="shared" si="19"/>
        <v>2024</v>
      </c>
      <c r="D598" s="71" t="s">
        <v>124</v>
      </c>
      <c r="E598" s="4" t="s">
        <v>93</v>
      </c>
      <c r="F598" s="4"/>
      <c r="G598" s="4" t="s">
        <v>553</v>
      </c>
      <c r="H598" s="7" t="s">
        <v>131</v>
      </c>
      <c r="I598" s="60"/>
      <c r="J598" s="118"/>
      <c r="K598" s="118">
        <v>35000</v>
      </c>
      <c r="L598" s="118"/>
      <c r="M598" s="118"/>
      <c r="N598" s="127"/>
      <c r="O598" s="26"/>
    </row>
    <row r="599" spans="1:15" ht="15" customHeight="1" x14ac:dyDescent="0.25">
      <c r="A599" s="54">
        <v>45363</v>
      </c>
      <c r="B599" s="25">
        <f t="shared" si="20"/>
        <v>3</v>
      </c>
      <c r="C599" s="25">
        <f t="shared" si="19"/>
        <v>2024</v>
      </c>
      <c r="D599" s="71" t="s">
        <v>124</v>
      </c>
      <c r="E599" s="4" t="s">
        <v>93</v>
      </c>
      <c r="F599" s="4"/>
      <c r="G599" s="4" t="s">
        <v>553</v>
      </c>
      <c r="H599" s="7" t="s">
        <v>131</v>
      </c>
      <c r="I599" s="60"/>
      <c r="J599" s="118"/>
      <c r="K599" s="118">
        <v>200000</v>
      </c>
      <c r="L599" s="118"/>
      <c r="M599" s="118"/>
      <c r="N599" s="127"/>
      <c r="O599" s="26"/>
    </row>
    <row r="600" spans="1:15" ht="15" customHeight="1" x14ac:dyDescent="0.25">
      <c r="A600" s="54">
        <v>45363</v>
      </c>
      <c r="B600" s="25">
        <f t="shared" si="20"/>
        <v>3</v>
      </c>
      <c r="C600" s="25">
        <f t="shared" ref="C600:C631" si="21">YEAR((A600))</f>
        <v>2024</v>
      </c>
      <c r="D600" s="71" t="s">
        <v>124</v>
      </c>
      <c r="E600" s="4" t="s">
        <v>93</v>
      </c>
      <c r="F600" s="4"/>
      <c r="G600" s="4" t="s">
        <v>553</v>
      </c>
      <c r="H600" s="7" t="s">
        <v>131</v>
      </c>
      <c r="I600" s="60"/>
      <c r="J600" s="118"/>
      <c r="K600" s="118">
        <v>42940</v>
      </c>
      <c r="L600" s="118"/>
      <c r="M600" s="118"/>
      <c r="N600" s="127"/>
      <c r="O600" s="26"/>
    </row>
    <row r="601" spans="1:15" ht="15" customHeight="1" x14ac:dyDescent="0.25">
      <c r="A601" s="54">
        <v>45363</v>
      </c>
      <c r="B601" s="25">
        <f t="shared" si="20"/>
        <v>3</v>
      </c>
      <c r="C601" s="25">
        <f t="shared" si="21"/>
        <v>2024</v>
      </c>
      <c r="D601" s="71" t="s">
        <v>124</v>
      </c>
      <c r="E601" s="4" t="s">
        <v>93</v>
      </c>
      <c r="F601" s="4"/>
      <c r="G601" s="4" t="s">
        <v>553</v>
      </c>
      <c r="H601" s="7" t="s">
        <v>131</v>
      </c>
      <c r="I601" s="60"/>
      <c r="J601" s="118"/>
      <c r="K601" s="118">
        <v>498750</v>
      </c>
      <c r="L601" s="118"/>
      <c r="M601" s="118"/>
      <c r="N601" s="127"/>
      <c r="O601" s="26"/>
    </row>
    <row r="602" spans="1:15" ht="15" customHeight="1" x14ac:dyDescent="0.25">
      <c r="A602" s="54">
        <v>45363</v>
      </c>
      <c r="B602" s="25">
        <f t="shared" si="20"/>
        <v>3</v>
      </c>
      <c r="C602" s="25">
        <f t="shared" si="21"/>
        <v>2024</v>
      </c>
      <c r="D602" s="71" t="s">
        <v>89</v>
      </c>
      <c r="E602" s="4" t="s">
        <v>93</v>
      </c>
      <c r="F602" s="4" t="s">
        <v>637</v>
      </c>
      <c r="G602" s="4"/>
      <c r="H602" s="7" t="s">
        <v>130</v>
      </c>
      <c r="I602" s="60"/>
      <c r="J602" s="118">
        <v>218000</v>
      </c>
      <c r="K602" s="118"/>
      <c r="L602" s="118"/>
      <c r="M602" s="118"/>
      <c r="N602" s="127"/>
      <c r="O602" s="26"/>
    </row>
    <row r="603" spans="1:15" ht="15" customHeight="1" x14ac:dyDescent="0.25">
      <c r="A603" s="54">
        <v>45363</v>
      </c>
      <c r="B603" s="25">
        <f t="shared" si="20"/>
        <v>3</v>
      </c>
      <c r="C603" s="25">
        <f t="shared" si="21"/>
        <v>2024</v>
      </c>
      <c r="D603" s="71" t="s">
        <v>124</v>
      </c>
      <c r="E603" s="4" t="s">
        <v>93</v>
      </c>
      <c r="F603" s="4"/>
      <c r="G603" s="4" t="s">
        <v>333</v>
      </c>
      <c r="H603" s="7" t="s">
        <v>130</v>
      </c>
      <c r="I603" s="60"/>
      <c r="J603" s="118"/>
      <c r="K603" s="118">
        <v>87429.06</v>
      </c>
      <c r="L603" s="118"/>
      <c r="M603" s="118"/>
      <c r="N603" s="127"/>
      <c r="O603" s="26"/>
    </row>
    <row r="604" spans="1:15" ht="15" customHeight="1" x14ac:dyDescent="0.25">
      <c r="A604" s="54">
        <v>45363</v>
      </c>
      <c r="B604" s="25">
        <f t="shared" si="20"/>
        <v>3</v>
      </c>
      <c r="C604" s="25">
        <f t="shared" si="21"/>
        <v>2024</v>
      </c>
      <c r="D604" s="71" t="s">
        <v>124</v>
      </c>
      <c r="E604" s="4" t="s">
        <v>93</v>
      </c>
      <c r="F604" s="4" t="s">
        <v>800</v>
      </c>
      <c r="G604" s="4"/>
      <c r="H604" s="7" t="s">
        <v>130</v>
      </c>
      <c r="I604" s="60"/>
      <c r="J604" s="118"/>
      <c r="K604" s="118">
        <v>109000</v>
      </c>
      <c r="L604" s="118"/>
      <c r="M604" s="118"/>
      <c r="N604" s="127"/>
      <c r="O604" s="26"/>
    </row>
    <row r="605" spans="1:15" ht="15" customHeight="1" x14ac:dyDescent="0.25">
      <c r="A605" s="54">
        <v>45363</v>
      </c>
      <c r="B605" s="25">
        <f t="shared" si="20"/>
        <v>3</v>
      </c>
      <c r="C605" s="25">
        <f t="shared" si="21"/>
        <v>2024</v>
      </c>
      <c r="D605" s="71" t="s">
        <v>89</v>
      </c>
      <c r="E605" s="4" t="s">
        <v>93</v>
      </c>
      <c r="F605" s="4" t="s">
        <v>801</v>
      </c>
      <c r="G605" s="4"/>
      <c r="H605" s="7" t="s">
        <v>130</v>
      </c>
      <c r="I605" s="60"/>
      <c r="J605" s="118">
        <v>296925</v>
      </c>
      <c r="K605" s="118"/>
      <c r="L605" s="118"/>
      <c r="M605" s="118"/>
      <c r="N605" s="127"/>
      <c r="O605" s="26"/>
    </row>
    <row r="606" spans="1:15" ht="15" customHeight="1" x14ac:dyDescent="0.25">
      <c r="A606" s="54">
        <v>45363</v>
      </c>
      <c r="B606" s="25">
        <f t="shared" si="20"/>
        <v>3</v>
      </c>
      <c r="C606" s="25">
        <f t="shared" si="21"/>
        <v>2024</v>
      </c>
      <c r="D606" s="71" t="s">
        <v>92</v>
      </c>
      <c r="E606" s="4" t="s">
        <v>92</v>
      </c>
      <c r="F606" s="4"/>
      <c r="G606" s="4"/>
      <c r="H606" s="7" t="s">
        <v>92</v>
      </c>
      <c r="I606" s="60"/>
      <c r="J606" s="118"/>
      <c r="K606" s="118">
        <v>4200</v>
      </c>
      <c r="L606" s="118"/>
      <c r="M606" s="118"/>
      <c r="N606" s="127"/>
      <c r="O606" s="26"/>
    </row>
    <row r="607" spans="1:15" ht="15" customHeight="1" x14ac:dyDescent="0.25">
      <c r="A607" s="54">
        <v>45363</v>
      </c>
      <c r="B607" s="25">
        <f t="shared" si="20"/>
        <v>3</v>
      </c>
      <c r="C607" s="25">
        <f t="shared" si="21"/>
        <v>2024</v>
      </c>
      <c r="D607" s="71" t="s">
        <v>149</v>
      </c>
      <c r="E607" s="4" t="s">
        <v>93</v>
      </c>
      <c r="F607" s="4" t="s">
        <v>593</v>
      </c>
      <c r="G607" s="4"/>
      <c r="H607" s="7" t="s">
        <v>130</v>
      </c>
      <c r="I607" s="60"/>
      <c r="J607" s="118"/>
      <c r="K607" s="118">
        <v>110000</v>
      </c>
      <c r="L607" s="118"/>
      <c r="M607" s="118"/>
      <c r="N607" s="127"/>
      <c r="O607" s="26"/>
    </row>
    <row r="608" spans="1:15" ht="15" customHeight="1" x14ac:dyDescent="0.25">
      <c r="A608" s="54">
        <v>45364</v>
      </c>
      <c r="B608" s="25">
        <f t="shared" si="20"/>
        <v>3</v>
      </c>
      <c r="C608" s="25">
        <f t="shared" si="21"/>
        <v>2024</v>
      </c>
      <c r="D608" s="71" t="s">
        <v>89</v>
      </c>
      <c r="E608" s="4" t="s">
        <v>93</v>
      </c>
      <c r="F608" s="4" t="s">
        <v>803</v>
      </c>
      <c r="G608" s="4"/>
      <c r="H608" s="7" t="s">
        <v>130</v>
      </c>
      <c r="I608" s="60"/>
      <c r="J608" s="118">
        <v>225300</v>
      </c>
      <c r="K608" s="118"/>
      <c r="L608" s="118"/>
      <c r="M608" s="118"/>
      <c r="N608" s="127"/>
      <c r="O608" s="26"/>
    </row>
    <row r="609" spans="1:15" ht="15" customHeight="1" x14ac:dyDescent="0.25">
      <c r="A609" s="54">
        <v>45364</v>
      </c>
      <c r="B609" s="25">
        <f t="shared" si="20"/>
        <v>3</v>
      </c>
      <c r="C609" s="25">
        <f t="shared" si="21"/>
        <v>2024</v>
      </c>
      <c r="D609" s="71" t="s">
        <v>92</v>
      </c>
      <c r="E609" s="4" t="s">
        <v>92</v>
      </c>
      <c r="F609" s="4" t="s">
        <v>792</v>
      </c>
      <c r="G609" s="4"/>
      <c r="H609" s="7" t="s">
        <v>92</v>
      </c>
      <c r="I609" s="60"/>
      <c r="J609" s="118"/>
      <c r="K609" s="118">
        <v>8100</v>
      </c>
      <c r="L609" s="118"/>
      <c r="M609" s="118"/>
      <c r="N609" s="127"/>
      <c r="O609" s="26"/>
    </row>
    <row r="610" spans="1:15" ht="15" customHeight="1" x14ac:dyDescent="0.25">
      <c r="A610" s="54">
        <v>45364</v>
      </c>
      <c r="B610" s="25">
        <f t="shared" si="20"/>
        <v>3</v>
      </c>
      <c r="C610" s="25">
        <f t="shared" si="21"/>
        <v>2024</v>
      </c>
      <c r="D610" s="71" t="s">
        <v>420</v>
      </c>
      <c r="E610" s="4" t="s">
        <v>92</v>
      </c>
      <c r="F610" s="4" t="s">
        <v>791</v>
      </c>
      <c r="G610" s="4"/>
      <c r="H610" s="7" t="s">
        <v>92</v>
      </c>
      <c r="I610" s="60"/>
      <c r="J610" s="118"/>
      <c r="K610" s="118">
        <v>16772.86</v>
      </c>
      <c r="L610" s="118"/>
      <c r="M610" s="118"/>
      <c r="N610" s="127"/>
      <c r="O610" s="26"/>
    </row>
    <row r="611" spans="1:15" ht="15" customHeight="1" x14ac:dyDescent="0.25">
      <c r="A611" s="54">
        <v>45365</v>
      </c>
      <c r="B611" s="25">
        <f t="shared" si="20"/>
        <v>3</v>
      </c>
      <c r="C611" s="25">
        <f t="shared" si="21"/>
        <v>2024</v>
      </c>
      <c r="D611" s="71" t="s">
        <v>89</v>
      </c>
      <c r="E611" s="4" t="s">
        <v>93</v>
      </c>
      <c r="F611" s="4" t="s">
        <v>805</v>
      </c>
      <c r="G611" s="4"/>
      <c r="H611" s="7" t="s">
        <v>130</v>
      </c>
      <c r="I611" s="60"/>
      <c r="J611" s="118">
        <v>188600</v>
      </c>
      <c r="K611" s="118"/>
      <c r="L611" s="118"/>
      <c r="M611" s="118"/>
      <c r="N611" s="127"/>
      <c r="O611" s="26"/>
    </row>
    <row r="612" spans="1:15" ht="15" customHeight="1" x14ac:dyDescent="0.25">
      <c r="A612" s="54">
        <v>45365</v>
      </c>
      <c r="B612" s="25">
        <f t="shared" si="20"/>
        <v>3</v>
      </c>
      <c r="C612" s="25">
        <f t="shared" si="21"/>
        <v>2024</v>
      </c>
      <c r="D612" s="71" t="s">
        <v>110</v>
      </c>
      <c r="E612" s="4" t="s">
        <v>93</v>
      </c>
      <c r="F612" s="4"/>
      <c r="G612" s="4"/>
      <c r="H612" s="7" t="s">
        <v>130</v>
      </c>
      <c r="I612" s="60"/>
      <c r="J612" s="118">
        <v>75000</v>
      </c>
      <c r="K612" s="118"/>
      <c r="L612" s="118"/>
      <c r="M612" s="118"/>
      <c r="N612" s="127"/>
      <c r="O612" s="26"/>
    </row>
    <row r="613" spans="1:15" ht="15" customHeight="1" x14ac:dyDescent="0.25">
      <c r="A613" s="54">
        <v>45365</v>
      </c>
      <c r="B613" s="25">
        <f t="shared" si="20"/>
        <v>3</v>
      </c>
      <c r="C613" s="25">
        <f t="shared" si="21"/>
        <v>2024</v>
      </c>
      <c r="D613" s="71" t="s">
        <v>626</v>
      </c>
      <c r="E613" s="4" t="s">
        <v>93</v>
      </c>
      <c r="F613" s="4"/>
      <c r="G613" s="4"/>
      <c r="H613" s="7" t="s">
        <v>130</v>
      </c>
      <c r="I613" s="60"/>
      <c r="J613" s="118"/>
      <c r="K613" s="118">
        <v>97000</v>
      </c>
      <c r="L613" s="118"/>
      <c r="M613" s="118"/>
      <c r="N613" s="127"/>
      <c r="O613" s="26"/>
    </row>
    <row r="614" spans="1:15" ht="15" customHeight="1" x14ac:dyDescent="0.25">
      <c r="A614" s="54">
        <v>45365</v>
      </c>
      <c r="B614" s="25">
        <f t="shared" si="20"/>
        <v>3</v>
      </c>
      <c r="C614" s="25">
        <f t="shared" si="21"/>
        <v>2024</v>
      </c>
      <c r="D614" s="71" t="s">
        <v>689</v>
      </c>
      <c r="E614" s="4" t="s">
        <v>93</v>
      </c>
      <c r="F614" s="4" t="s">
        <v>169</v>
      </c>
      <c r="G614" s="4"/>
      <c r="H614" s="7" t="s">
        <v>130</v>
      </c>
      <c r="I614" s="60"/>
      <c r="J614" s="118"/>
      <c r="K614" s="118">
        <v>130000</v>
      </c>
      <c r="L614" s="118"/>
      <c r="M614" s="118"/>
      <c r="N614" s="127"/>
      <c r="O614" s="26"/>
    </row>
    <row r="615" spans="1:15" ht="15" customHeight="1" x14ac:dyDescent="0.25">
      <c r="A615" s="54">
        <v>45365</v>
      </c>
      <c r="B615" s="25">
        <f t="shared" si="20"/>
        <v>3</v>
      </c>
      <c r="C615" s="25">
        <f t="shared" si="21"/>
        <v>2024</v>
      </c>
      <c r="D615" s="71" t="s">
        <v>352</v>
      </c>
      <c r="E615" s="4" t="s">
        <v>93</v>
      </c>
      <c r="F615" s="4" t="s">
        <v>808</v>
      </c>
      <c r="G615" s="4"/>
      <c r="H615" s="7" t="s">
        <v>130</v>
      </c>
      <c r="I615" s="60"/>
      <c r="J615" s="118">
        <v>125000</v>
      </c>
      <c r="K615" s="118"/>
      <c r="L615" s="118"/>
      <c r="M615" s="118"/>
      <c r="N615" s="127"/>
      <c r="O615" s="26"/>
    </row>
    <row r="616" spans="1:15" ht="15" customHeight="1" x14ac:dyDescent="0.25">
      <c r="A616" s="54">
        <v>45365</v>
      </c>
      <c r="B616" s="25">
        <f t="shared" si="20"/>
        <v>3</v>
      </c>
      <c r="C616" s="25">
        <f t="shared" si="21"/>
        <v>2024</v>
      </c>
      <c r="D616" s="71" t="s">
        <v>92</v>
      </c>
      <c r="E616" s="4" t="s">
        <v>92</v>
      </c>
      <c r="F616" s="4" t="s">
        <v>793</v>
      </c>
      <c r="G616" s="4"/>
      <c r="H616" s="7" t="s">
        <v>92</v>
      </c>
      <c r="I616" s="60"/>
      <c r="J616" s="118"/>
      <c r="K616" s="118">
        <v>16945</v>
      </c>
      <c r="L616" s="118"/>
      <c r="M616" s="118"/>
      <c r="N616" s="127"/>
      <c r="O616" s="26"/>
    </row>
    <row r="617" spans="1:15" ht="15" customHeight="1" x14ac:dyDescent="0.25">
      <c r="A617" s="54">
        <v>45367</v>
      </c>
      <c r="B617" s="25">
        <f t="shared" si="20"/>
        <v>3</v>
      </c>
      <c r="C617" s="25">
        <f t="shared" si="21"/>
        <v>2024</v>
      </c>
      <c r="D617" s="71" t="s">
        <v>92</v>
      </c>
      <c r="E617" s="4" t="s">
        <v>92</v>
      </c>
      <c r="F617" s="4" t="s">
        <v>807</v>
      </c>
      <c r="G617" s="4"/>
      <c r="H617" s="7" t="s">
        <v>92</v>
      </c>
      <c r="I617" s="60"/>
      <c r="J617" s="118"/>
      <c r="K617" s="118">
        <v>45000</v>
      </c>
      <c r="L617" s="118"/>
      <c r="M617" s="118"/>
      <c r="N617" s="127"/>
      <c r="O617" s="26"/>
    </row>
    <row r="618" spans="1:15" ht="15" customHeight="1" x14ac:dyDescent="0.25">
      <c r="A618" s="54">
        <v>45368</v>
      </c>
      <c r="B618" s="25">
        <f t="shared" si="20"/>
        <v>3</v>
      </c>
      <c r="C618" s="25">
        <f t="shared" si="21"/>
        <v>2024</v>
      </c>
      <c r="D618" s="71" t="s">
        <v>92</v>
      </c>
      <c r="E618" s="4" t="s">
        <v>92</v>
      </c>
      <c r="F618" s="4"/>
      <c r="G618" s="4"/>
      <c r="H618" s="7" t="s">
        <v>92</v>
      </c>
      <c r="I618" s="60"/>
      <c r="J618" s="118"/>
      <c r="K618" s="118">
        <v>30000</v>
      </c>
      <c r="L618" s="118"/>
      <c r="M618" s="118"/>
      <c r="N618" s="127"/>
      <c r="O618" s="26"/>
    </row>
    <row r="619" spans="1:15" ht="15" customHeight="1" x14ac:dyDescent="0.25">
      <c r="A619" s="54">
        <v>45369</v>
      </c>
      <c r="B619" s="25">
        <f t="shared" si="20"/>
        <v>3</v>
      </c>
      <c r="C619" s="25">
        <f t="shared" si="21"/>
        <v>2024</v>
      </c>
      <c r="D619" s="71" t="s">
        <v>352</v>
      </c>
      <c r="E619" s="4" t="s">
        <v>93</v>
      </c>
      <c r="F619" s="4" t="s">
        <v>447</v>
      </c>
      <c r="G619" s="4"/>
      <c r="H619" s="7" t="s">
        <v>130</v>
      </c>
      <c r="I619" s="60"/>
      <c r="J619" s="118">
        <v>70000</v>
      </c>
      <c r="K619" s="118"/>
      <c r="L619" s="118"/>
      <c r="M619" s="118"/>
      <c r="N619" s="127"/>
      <c r="O619" s="26"/>
    </row>
    <row r="620" spans="1:15" ht="15" customHeight="1" x14ac:dyDescent="0.25">
      <c r="A620" s="54">
        <v>45369</v>
      </c>
      <c r="B620" s="25">
        <f t="shared" si="20"/>
        <v>3</v>
      </c>
      <c r="C620" s="25">
        <f t="shared" si="21"/>
        <v>2024</v>
      </c>
      <c r="D620" s="71" t="s">
        <v>352</v>
      </c>
      <c r="E620" s="4" t="s">
        <v>93</v>
      </c>
      <c r="F620" s="4" t="s">
        <v>809</v>
      </c>
      <c r="G620" s="4"/>
      <c r="H620" s="7" t="s">
        <v>130</v>
      </c>
      <c r="I620" s="60"/>
      <c r="J620" s="118">
        <v>200000</v>
      </c>
      <c r="K620" s="118"/>
      <c r="L620" s="118"/>
      <c r="M620" s="118"/>
      <c r="N620" s="127"/>
      <c r="O620" s="26"/>
    </row>
    <row r="621" spans="1:15" ht="15" customHeight="1" x14ac:dyDescent="0.25">
      <c r="A621" s="54">
        <v>45369</v>
      </c>
      <c r="B621" s="25">
        <f t="shared" si="20"/>
        <v>3</v>
      </c>
      <c r="C621" s="25">
        <f t="shared" si="21"/>
        <v>2024</v>
      </c>
      <c r="D621" s="71" t="s">
        <v>352</v>
      </c>
      <c r="E621" s="4" t="s">
        <v>93</v>
      </c>
      <c r="F621" s="4" t="s">
        <v>552</v>
      </c>
      <c r="G621" s="4"/>
      <c r="H621" s="7" t="s">
        <v>130</v>
      </c>
      <c r="I621" s="60"/>
      <c r="J621" s="118">
        <v>21400</v>
      </c>
      <c r="K621" s="118"/>
      <c r="L621" s="118"/>
      <c r="M621" s="118"/>
      <c r="N621" s="127"/>
      <c r="O621" s="26"/>
    </row>
    <row r="622" spans="1:15" ht="15" customHeight="1" x14ac:dyDescent="0.25">
      <c r="A622" s="54">
        <v>45369</v>
      </c>
      <c r="B622" s="25">
        <f t="shared" si="20"/>
        <v>3</v>
      </c>
      <c r="C622" s="25">
        <f t="shared" si="21"/>
        <v>2024</v>
      </c>
      <c r="D622" s="71" t="s">
        <v>92</v>
      </c>
      <c r="E622" s="4" t="s">
        <v>92</v>
      </c>
      <c r="F622" s="4" t="s">
        <v>792</v>
      </c>
      <c r="G622" s="4"/>
      <c r="H622" s="7" t="s">
        <v>92</v>
      </c>
      <c r="I622" s="60"/>
      <c r="J622" s="118"/>
      <c r="K622" s="118">
        <v>103945.09</v>
      </c>
      <c r="L622" s="118"/>
      <c r="M622" s="118"/>
      <c r="N622" s="127"/>
      <c r="O622" s="26"/>
    </row>
    <row r="623" spans="1:15" ht="15" customHeight="1" x14ac:dyDescent="0.25">
      <c r="A623" s="54">
        <v>45370</v>
      </c>
      <c r="B623" s="25">
        <f t="shared" si="20"/>
        <v>3</v>
      </c>
      <c r="C623" s="25">
        <f t="shared" si="21"/>
        <v>2024</v>
      </c>
      <c r="D623" s="71" t="s">
        <v>352</v>
      </c>
      <c r="E623" s="4" t="s">
        <v>93</v>
      </c>
      <c r="F623" s="4" t="s">
        <v>596</v>
      </c>
      <c r="G623" s="4"/>
      <c r="H623" s="7" t="s">
        <v>545</v>
      </c>
      <c r="I623" s="60"/>
      <c r="J623" s="118">
        <v>265000</v>
      </c>
      <c r="K623" s="118"/>
      <c r="L623" s="118"/>
      <c r="M623" s="118"/>
      <c r="N623" s="127"/>
      <c r="O623" s="26"/>
    </row>
    <row r="624" spans="1:15" ht="15" customHeight="1" x14ac:dyDescent="0.25">
      <c r="A624" s="54">
        <v>45371</v>
      </c>
      <c r="B624" s="25">
        <f t="shared" si="20"/>
        <v>3</v>
      </c>
      <c r="C624" s="25">
        <f t="shared" si="21"/>
        <v>2024</v>
      </c>
      <c r="D624" s="71" t="s">
        <v>352</v>
      </c>
      <c r="E624" s="4" t="s">
        <v>93</v>
      </c>
      <c r="F624" s="4" t="s">
        <v>811</v>
      </c>
      <c r="G624" s="4"/>
      <c r="H624" s="7" t="s">
        <v>130</v>
      </c>
      <c r="I624" s="60"/>
      <c r="J624" s="118">
        <v>50000</v>
      </c>
      <c r="K624" s="118"/>
      <c r="L624" s="118"/>
      <c r="M624" s="118"/>
      <c r="N624" s="127"/>
      <c r="O624" s="26"/>
    </row>
    <row r="625" spans="1:15" ht="15" customHeight="1" x14ac:dyDescent="0.25">
      <c r="A625" s="54">
        <v>45371</v>
      </c>
      <c r="B625" s="25">
        <f t="shared" si="20"/>
        <v>3</v>
      </c>
      <c r="C625" s="25">
        <f t="shared" si="21"/>
        <v>2024</v>
      </c>
      <c r="D625" s="71" t="s">
        <v>352</v>
      </c>
      <c r="E625" s="4" t="s">
        <v>93</v>
      </c>
      <c r="F625" s="4" t="s">
        <v>812</v>
      </c>
      <c r="G625" s="4"/>
      <c r="H625" s="7" t="s">
        <v>131</v>
      </c>
      <c r="I625" s="60"/>
      <c r="J625" s="118">
        <v>397250</v>
      </c>
      <c r="K625" s="118"/>
      <c r="L625" s="118"/>
      <c r="M625" s="118"/>
      <c r="N625" s="127"/>
      <c r="O625" s="26"/>
    </row>
    <row r="626" spans="1:15" ht="15" customHeight="1" x14ac:dyDescent="0.25">
      <c r="A626" s="54">
        <v>45371</v>
      </c>
      <c r="B626" s="25">
        <f t="shared" si="20"/>
        <v>3</v>
      </c>
      <c r="C626" s="25">
        <f t="shared" si="21"/>
        <v>2024</v>
      </c>
      <c r="D626" s="71" t="s">
        <v>352</v>
      </c>
      <c r="E626" s="4" t="s">
        <v>93</v>
      </c>
      <c r="F626" s="4" t="s">
        <v>813</v>
      </c>
      <c r="G626" s="4"/>
      <c r="H626" s="7" t="s">
        <v>131</v>
      </c>
      <c r="I626" s="60"/>
      <c r="J626" s="118">
        <v>312800</v>
      </c>
      <c r="K626" s="118"/>
      <c r="L626" s="118"/>
      <c r="M626" s="118"/>
      <c r="N626" s="127"/>
      <c r="O626" s="26"/>
    </row>
    <row r="627" spans="1:15" ht="15" customHeight="1" x14ac:dyDescent="0.25">
      <c r="A627" s="54">
        <v>45371</v>
      </c>
      <c r="B627" s="25">
        <f t="shared" si="20"/>
        <v>3</v>
      </c>
      <c r="C627" s="25">
        <f t="shared" si="21"/>
        <v>2024</v>
      </c>
      <c r="D627" s="71" t="s">
        <v>352</v>
      </c>
      <c r="E627" s="4" t="s">
        <v>93</v>
      </c>
      <c r="F627" s="4" t="s">
        <v>772</v>
      </c>
      <c r="G627" s="4"/>
      <c r="H627" s="7" t="s">
        <v>130</v>
      </c>
      <c r="I627" s="60"/>
      <c r="J627" s="118">
        <v>250000</v>
      </c>
      <c r="K627" s="118"/>
      <c r="L627" s="118"/>
      <c r="M627" s="118"/>
      <c r="N627" s="127"/>
      <c r="O627" s="26"/>
    </row>
    <row r="628" spans="1:15" ht="15" customHeight="1" x14ac:dyDescent="0.25">
      <c r="A628" s="54">
        <v>45371</v>
      </c>
      <c r="B628" s="25">
        <f t="shared" si="20"/>
        <v>3</v>
      </c>
      <c r="C628" s="25">
        <f t="shared" si="21"/>
        <v>2024</v>
      </c>
      <c r="D628" s="71" t="s">
        <v>352</v>
      </c>
      <c r="E628" s="4" t="s">
        <v>93</v>
      </c>
      <c r="F628" s="4" t="s">
        <v>815</v>
      </c>
      <c r="G628" s="4"/>
      <c r="H628" s="7" t="s">
        <v>130</v>
      </c>
      <c r="I628" s="60"/>
      <c r="J628" s="118">
        <v>200000</v>
      </c>
      <c r="K628" s="118"/>
      <c r="L628" s="118"/>
      <c r="M628" s="118"/>
      <c r="N628" s="127"/>
      <c r="O628" s="26"/>
    </row>
    <row r="629" spans="1:15" ht="15" customHeight="1" x14ac:dyDescent="0.25">
      <c r="A629" s="54">
        <v>45371</v>
      </c>
      <c r="B629" s="25">
        <f t="shared" si="20"/>
        <v>3</v>
      </c>
      <c r="C629" s="25">
        <f t="shared" si="21"/>
        <v>2024</v>
      </c>
      <c r="D629" s="71" t="s">
        <v>352</v>
      </c>
      <c r="E629" s="4" t="s">
        <v>93</v>
      </c>
      <c r="F629" s="4" t="s">
        <v>817</v>
      </c>
      <c r="G629" s="4"/>
      <c r="H629" s="7" t="s">
        <v>130</v>
      </c>
      <c r="I629" s="60"/>
      <c r="J629" s="118">
        <v>297800</v>
      </c>
      <c r="K629" s="118"/>
      <c r="L629" s="118"/>
      <c r="M629" s="118"/>
      <c r="N629" s="127"/>
      <c r="O629" s="26"/>
    </row>
    <row r="630" spans="1:15" ht="15" customHeight="1" x14ac:dyDescent="0.25">
      <c r="A630" s="54">
        <v>45371</v>
      </c>
      <c r="B630" s="25">
        <f t="shared" si="20"/>
        <v>3</v>
      </c>
      <c r="C630" s="25">
        <f t="shared" si="21"/>
        <v>2024</v>
      </c>
      <c r="D630" s="71" t="s">
        <v>92</v>
      </c>
      <c r="E630" s="4" t="s">
        <v>92</v>
      </c>
      <c r="F630" s="4" t="s">
        <v>794</v>
      </c>
      <c r="G630" s="4"/>
      <c r="H630" s="7" t="s">
        <v>92</v>
      </c>
      <c r="I630" s="60"/>
      <c r="J630" s="118"/>
      <c r="K630" s="118">
        <v>35736.43</v>
      </c>
      <c r="L630" s="118"/>
      <c r="M630" s="118"/>
      <c r="N630" s="127"/>
      <c r="O630" s="26"/>
    </row>
    <row r="631" spans="1:15" ht="15" customHeight="1" x14ac:dyDescent="0.25">
      <c r="A631" s="54">
        <v>45372</v>
      </c>
      <c r="B631" s="25">
        <f t="shared" si="20"/>
        <v>3</v>
      </c>
      <c r="C631" s="25">
        <f t="shared" si="21"/>
        <v>2024</v>
      </c>
      <c r="D631" s="71" t="s">
        <v>352</v>
      </c>
      <c r="E631" s="4" t="s">
        <v>93</v>
      </c>
      <c r="F631" s="4" t="s">
        <v>556</v>
      </c>
      <c r="G631" s="4"/>
      <c r="H631" s="7" t="s">
        <v>131</v>
      </c>
      <c r="I631" s="60"/>
      <c r="J631" s="118">
        <v>291325</v>
      </c>
      <c r="K631" s="118"/>
      <c r="L631" s="118"/>
      <c r="M631" s="118"/>
      <c r="N631" s="127"/>
      <c r="O631" s="26"/>
    </row>
    <row r="632" spans="1:15" ht="15" customHeight="1" x14ac:dyDescent="0.25">
      <c r="A632" s="54">
        <v>45372</v>
      </c>
      <c r="B632" s="25">
        <f t="shared" si="20"/>
        <v>3</v>
      </c>
      <c r="C632" s="25">
        <f t="shared" ref="C632:C663" si="22">YEAR((A632))</f>
        <v>2024</v>
      </c>
      <c r="D632" s="71" t="s">
        <v>352</v>
      </c>
      <c r="E632" s="4" t="s">
        <v>93</v>
      </c>
      <c r="F632" s="4" t="s">
        <v>556</v>
      </c>
      <c r="G632" s="4"/>
      <c r="H632" s="7" t="s">
        <v>131</v>
      </c>
      <c r="I632" s="60"/>
      <c r="J632" s="118">
        <v>291325</v>
      </c>
      <c r="K632" s="118"/>
      <c r="L632" s="118"/>
      <c r="M632" s="118"/>
      <c r="N632" s="127"/>
      <c r="O632" s="26"/>
    </row>
    <row r="633" spans="1:15" ht="15" customHeight="1" x14ac:dyDescent="0.25">
      <c r="A633" s="54">
        <v>45372</v>
      </c>
      <c r="B633" s="25">
        <f t="shared" si="20"/>
        <v>3</v>
      </c>
      <c r="C633" s="25">
        <f t="shared" si="22"/>
        <v>2024</v>
      </c>
      <c r="D633" s="71" t="s">
        <v>352</v>
      </c>
      <c r="E633" s="4" t="s">
        <v>93</v>
      </c>
      <c r="F633" s="4" t="s">
        <v>556</v>
      </c>
      <c r="G633" s="4"/>
      <c r="H633" s="7" t="s">
        <v>131</v>
      </c>
      <c r="I633" s="60"/>
      <c r="J633" s="118">
        <v>304900</v>
      </c>
      <c r="K633" s="118"/>
      <c r="L633" s="118"/>
      <c r="M633" s="118"/>
      <c r="N633" s="127"/>
      <c r="O633" s="26"/>
    </row>
    <row r="634" spans="1:15" ht="15" customHeight="1" x14ac:dyDescent="0.25">
      <c r="A634" s="54">
        <v>45372</v>
      </c>
      <c r="B634" s="25">
        <f t="shared" si="20"/>
        <v>3</v>
      </c>
      <c r="C634" s="25">
        <f t="shared" si="22"/>
        <v>2024</v>
      </c>
      <c r="D634" s="71" t="s">
        <v>352</v>
      </c>
      <c r="E634" s="4" t="s">
        <v>93</v>
      </c>
      <c r="F634" s="4" t="s">
        <v>650</v>
      </c>
      <c r="G634" s="4"/>
      <c r="H634" s="7" t="s">
        <v>130</v>
      </c>
      <c r="I634" s="60"/>
      <c r="J634" s="118">
        <v>297400</v>
      </c>
      <c r="K634" s="118"/>
      <c r="L634" s="118"/>
      <c r="M634" s="118"/>
      <c r="N634" s="127"/>
      <c r="O634" s="26"/>
    </row>
    <row r="635" spans="1:15" ht="15" customHeight="1" x14ac:dyDescent="0.25">
      <c r="A635" s="54">
        <v>45372</v>
      </c>
      <c r="B635" s="25">
        <f t="shared" si="20"/>
        <v>3</v>
      </c>
      <c r="C635" s="25">
        <f t="shared" si="22"/>
        <v>2024</v>
      </c>
      <c r="D635" s="71" t="s">
        <v>124</v>
      </c>
      <c r="E635" s="4" t="s">
        <v>93</v>
      </c>
      <c r="F635" s="4"/>
      <c r="G635" s="4" t="s">
        <v>553</v>
      </c>
      <c r="H635" s="7" t="s">
        <v>130</v>
      </c>
      <c r="I635" s="60"/>
      <c r="J635" s="118"/>
      <c r="K635" s="118">
        <v>112400</v>
      </c>
      <c r="L635" s="118"/>
      <c r="M635" s="118"/>
      <c r="N635" s="127"/>
      <c r="O635" s="26"/>
    </row>
    <row r="636" spans="1:15" ht="15" customHeight="1" x14ac:dyDescent="0.25">
      <c r="A636" s="54">
        <v>45372</v>
      </c>
      <c r="B636" s="25">
        <f t="shared" si="20"/>
        <v>3</v>
      </c>
      <c r="C636" s="25">
        <f t="shared" si="22"/>
        <v>2024</v>
      </c>
      <c r="D636" s="71" t="s">
        <v>92</v>
      </c>
      <c r="E636" s="4" t="s">
        <v>92</v>
      </c>
      <c r="F636" s="4" t="s">
        <v>818</v>
      </c>
      <c r="G636" s="4"/>
      <c r="H636" s="7" t="s">
        <v>131</v>
      </c>
      <c r="I636" s="60"/>
      <c r="J636" s="118"/>
      <c r="K636" s="118">
        <v>397250</v>
      </c>
      <c r="L636" s="118"/>
      <c r="M636" s="118"/>
      <c r="N636" s="127"/>
      <c r="O636" s="26"/>
    </row>
    <row r="637" spans="1:15" ht="15" customHeight="1" x14ac:dyDescent="0.25">
      <c r="A637" s="54">
        <v>45372</v>
      </c>
      <c r="B637" s="25">
        <f t="shared" si="20"/>
        <v>3</v>
      </c>
      <c r="C637" s="25">
        <f t="shared" si="22"/>
        <v>2024</v>
      </c>
      <c r="D637" s="71" t="s">
        <v>92</v>
      </c>
      <c r="E637" s="4" t="s">
        <v>92</v>
      </c>
      <c r="F637" s="4" t="s">
        <v>818</v>
      </c>
      <c r="G637" s="4"/>
      <c r="H637" s="7" t="s">
        <v>131</v>
      </c>
      <c r="I637" s="60"/>
      <c r="J637" s="118"/>
      <c r="K637" s="118">
        <v>312800</v>
      </c>
      <c r="L637" s="118"/>
      <c r="M637" s="118"/>
      <c r="N637" s="127"/>
      <c r="O637" s="26"/>
    </row>
    <row r="638" spans="1:15" ht="15" customHeight="1" x14ac:dyDescent="0.25">
      <c r="A638" s="54">
        <v>45372</v>
      </c>
      <c r="B638" s="25">
        <f t="shared" si="20"/>
        <v>3</v>
      </c>
      <c r="C638" s="25">
        <f t="shared" si="22"/>
        <v>2024</v>
      </c>
      <c r="D638" s="71" t="s">
        <v>92</v>
      </c>
      <c r="E638" s="4" t="s">
        <v>92</v>
      </c>
      <c r="F638" s="4" t="s">
        <v>792</v>
      </c>
      <c r="G638" s="4"/>
      <c r="H638" s="7" t="s">
        <v>92</v>
      </c>
      <c r="I638" s="60"/>
      <c r="J638" s="118"/>
      <c r="K638" s="118">
        <v>28721</v>
      </c>
      <c r="L638" s="118"/>
      <c r="M638" s="118"/>
      <c r="N638" s="127"/>
      <c r="O638" s="26"/>
    </row>
    <row r="639" spans="1:15" ht="15" customHeight="1" x14ac:dyDescent="0.25">
      <c r="A639" s="54">
        <v>45372</v>
      </c>
      <c r="B639" s="25">
        <f t="shared" si="20"/>
        <v>3</v>
      </c>
      <c r="C639" s="25">
        <f t="shared" si="22"/>
        <v>2024</v>
      </c>
      <c r="D639" s="71" t="s">
        <v>92</v>
      </c>
      <c r="E639" s="4" t="s">
        <v>92</v>
      </c>
      <c r="F639" s="4" t="s">
        <v>792</v>
      </c>
      <c r="G639" s="4"/>
      <c r="H639" s="7" t="s">
        <v>92</v>
      </c>
      <c r="I639" s="60"/>
      <c r="J639" s="118"/>
      <c r="K639" s="118">
        <v>47184</v>
      </c>
      <c r="L639" s="118"/>
      <c r="M639" s="118"/>
      <c r="N639" s="127"/>
      <c r="O639" s="26"/>
    </row>
    <row r="640" spans="1:15" ht="15" customHeight="1" x14ac:dyDescent="0.25">
      <c r="A640" s="54">
        <v>45373</v>
      </c>
      <c r="B640" s="25">
        <f t="shared" si="20"/>
        <v>3</v>
      </c>
      <c r="C640" s="25">
        <f t="shared" si="22"/>
        <v>2024</v>
      </c>
      <c r="D640" s="71" t="s">
        <v>89</v>
      </c>
      <c r="E640" s="4" t="s">
        <v>93</v>
      </c>
      <c r="F640" s="4" t="s">
        <v>546</v>
      </c>
      <c r="G640" s="4"/>
      <c r="H640" s="7" t="s">
        <v>131</v>
      </c>
      <c r="I640" s="60"/>
      <c r="J640" s="118">
        <v>38570</v>
      </c>
      <c r="K640" s="118"/>
      <c r="L640" s="118"/>
      <c r="M640" s="118"/>
      <c r="N640" s="127"/>
      <c r="O640" s="26"/>
    </row>
    <row r="641" spans="1:15" ht="15" customHeight="1" x14ac:dyDescent="0.25">
      <c r="A641" s="54">
        <v>45373</v>
      </c>
      <c r="B641" s="25">
        <f t="shared" si="20"/>
        <v>3</v>
      </c>
      <c r="C641" s="25">
        <f t="shared" si="22"/>
        <v>2024</v>
      </c>
      <c r="D641" s="71" t="s">
        <v>352</v>
      </c>
      <c r="E641" s="4" t="s">
        <v>93</v>
      </c>
      <c r="F641" s="4" t="s">
        <v>546</v>
      </c>
      <c r="G641" s="4"/>
      <c r="H641" s="7" t="s">
        <v>131</v>
      </c>
      <c r="I641" s="60"/>
      <c r="J641" s="118">
        <v>38000</v>
      </c>
      <c r="K641" s="118"/>
      <c r="L641" s="118"/>
      <c r="M641" s="118"/>
      <c r="N641" s="127"/>
      <c r="O641" s="26"/>
    </row>
    <row r="642" spans="1:15" ht="15" customHeight="1" x14ac:dyDescent="0.25">
      <c r="A642" s="54">
        <v>45373</v>
      </c>
      <c r="B642" s="25">
        <f t="shared" si="20"/>
        <v>3</v>
      </c>
      <c r="C642" s="25">
        <f t="shared" si="22"/>
        <v>2024</v>
      </c>
      <c r="D642" s="71" t="s">
        <v>352</v>
      </c>
      <c r="E642" s="4" t="s">
        <v>93</v>
      </c>
      <c r="F642" s="4" t="s">
        <v>819</v>
      </c>
      <c r="G642" s="4"/>
      <c r="H642" s="7" t="s">
        <v>545</v>
      </c>
      <c r="I642" s="60"/>
      <c r="J642" s="118">
        <v>90000</v>
      </c>
      <c r="K642" s="118"/>
      <c r="L642" s="118"/>
      <c r="M642" s="118"/>
      <c r="N642" s="127"/>
      <c r="O642" s="26"/>
    </row>
    <row r="643" spans="1:15" ht="15" customHeight="1" x14ac:dyDescent="0.25">
      <c r="A643" s="54">
        <v>45373</v>
      </c>
      <c r="B643" s="25">
        <f t="shared" ref="B643:B706" si="23">MONTH(A643)</f>
        <v>3</v>
      </c>
      <c r="C643" s="25">
        <f t="shared" si="22"/>
        <v>2024</v>
      </c>
      <c r="D643" s="71" t="s">
        <v>352</v>
      </c>
      <c r="E643" s="4" t="s">
        <v>93</v>
      </c>
      <c r="F643" s="4" t="s">
        <v>586</v>
      </c>
      <c r="G643" s="4"/>
      <c r="H643" s="7" t="s">
        <v>545</v>
      </c>
      <c r="I643" s="60"/>
      <c r="J643" s="118">
        <v>105000</v>
      </c>
      <c r="K643" s="118"/>
      <c r="L643" s="118"/>
      <c r="M643" s="118"/>
      <c r="N643" s="127"/>
      <c r="O643" s="26"/>
    </row>
    <row r="644" spans="1:15" ht="15" customHeight="1" x14ac:dyDescent="0.25">
      <c r="A644" s="54">
        <v>45373</v>
      </c>
      <c r="B644" s="25">
        <f t="shared" si="23"/>
        <v>3</v>
      </c>
      <c r="C644" s="25">
        <f t="shared" si="22"/>
        <v>2024</v>
      </c>
      <c r="D644" s="71" t="s">
        <v>110</v>
      </c>
      <c r="E644" s="4" t="s">
        <v>93</v>
      </c>
      <c r="F644" s="4" t="s">
        <v>820</v>
      </c>
      <c r="G644" s="4"/>
      <c r="H644" s="7" t="s">
        <v>130</v>
      </c>
      <c r="I644" s="60"/>
      <c r="J644" s="118">
        <v>8000</v>
      </c>
      <c r="K644" s="118"/>
      <c r="L644" s="118"/>
      <c r="M644" s="118"/>
      <c r="N644" s="127"/>
      <c r="O644" s="26"/>
    </row>
    <row r="645" spans="1:15" ht="15" customHeight="1" x14ac:dyDescent="0.25">
      <c r="A645" s="54">
        <v>45373</v>
      </c>
      <c r="B645" s="25">
        <f t="shared" si="23"/>
        <v>3</v>
      </c>
      <c r="C645" s="25">
        <f t="shared" si="22"/>
        <v>2024</v>
      </c>
      <c r="D645" s="71" t="s">
        <v>352</v>
      </c>
      <c r="E645" s="4" t="s">
        <v>93</v>
      </c>
      <c r="F645" s="4" t="s">
        <v>583</v>
      </c>
      <c r="G645" s="4"/>
      <c r="H645" s="7" t="s">
        <v>131</v>
      </c>
      <c r="I645" s="60"/>
      <c r="J645" s="118">
        <v>270000</v>
      </c>
      <c r="K645" s="118"/>
      <c r="L645" s="118"/>
      <c r="M645" s="118"/>
      <c r="N645" s="127"/>
      <c r="O645" s="26"/>
    </row>
    <row r="646" spans="1:15" ht="15" customHeight="1" x14ac:dyDescent="0.25">
      <c r="A646" s="54">
        <v>45373</v>
      </c>
      <c r="B646" s="25">
        <f t="shared" si="23"/>
        <v>3</v>
      </c>
      <c r="C646" s="25">
        <f t="shared" si="22"/>
        <v>2024</v>
      </c>
      <c r="D646" s="71" t="s">
        <v>626</v>
      </c>
      <c r="E646" s="4" t="s">
        <v>93</v>
      </c>
      <c r="F646" s="4"/>
      <c r="G646" s="4"/>
      <c r="H646" s="7" t="s">
        <v>130</v>
      </c>
      <c r="I646" s="60"/>
      <c r="J646" s="118"/>
      <c r="K646" s="118">
        <v>97000</v>
      </c>
      <c r="L646" s="118"/>
      <c r="M646" s="118"/>
      <c r="N646" s="127"/>
      <c r="O646" s="26"/>
    </row>
    <row r="647" spans="1:15" ht="15" customHeight="1" x14ac:dyDescent="0.25">
      <c r="A647" s="54">
        <v>45374</v>
      </c>
      <c r="B647" s="25">
        <f t="shared" si="23"/>
        <v>3</v>
      </c>
      <c r="C647" s="25">
        <f t="shared" si="22"/>
        <v>2024</v>
      </c>
      <c r="D647" s="71" t="s">
        <v>352</v>
      </c>
      <c r="E647" s="4" t="s">
        <v>93</v>
      </c>
      <c r="F647" s="4" t="s">
        <v>453</v>
      </c>
      <c r="G647" s="4"/>
      <c r="H647" s="7" t="s">
        <v>131</v>
      </c>
      <c r="I647" s="60"/>
      <c r="J647" s="118">
        <v>172500</v>
      </c>
      <c r="K647" s="118"/>
      <c r="L647" s="118"/>
      <c r="M647" s="118"/>
      <c r="N647" s="127"/>
      <c r="O647" s="26"/>
    </row>
    <row r="648" spans="1:15" ht="15" customHeight="1" x14ac:dyDescent="0.25">
      <c r="A648" s="54">
        <v>45374</v>
      </c>
      <c r="B648" s="25">
        <f t="shared" si="23"/>
        <v>3</v>
      </c>
      <c r="C648" s="25">
        <f t="shared" si="22"/>
        <v>2024</v>
      </c>
      <c r="D648" s="71" t="s">
        <v>352</v>
      </c>
      <c r="E648" s="4" t="s">
        <v>93</v>
      </c>
      <c r="F648" s="4" t="s">
        <v>580</v>
      </c>
      <c r="G648" s="4"/>
      <c r="H648" s="7" t="s">
        <v>131</v>
      </c>
      <c r="I648" s="60"/>
      <c r="J648" s="118">
        <v>50000</v>
      </c>
      <c r="K648" s="118"/>
      <c r="L648" s="118"/>
      <c r="M648" s="118"/>
      <c r="N648" s="127"/>
      <c r="O648" s="26"/>
    </row>
    <row r="649" spans="1:15" ht="15" customHeight="1" x14ac:dyDescent="0.25">
      <c r="A649" s="54">
        <v>45374</v>
      </c>
      <c r="B649" s="25">
        <f t="shared" si="23"/>
        <v>3</v>
      </c>
      <c r="C649" s="25">
        <f t="shared" si="22"/>
        <v>2024</v>
      </c>
      <c r="D649" s="71" t="s">
        <v>352</v>
      </c>
      <c r="E649" s="4" t="s">
        <v>93</v>
      </c>
      <c r="F649" s="4" t="s">
        <v>580</v>
      </c>
      <c r="G649" s="4"/>
      <c r="H649" s="7" t="s">
        <v>131</v>
      </c>
      <c r="I649" s="60"/>
      <c r="J649" s="118">
        <v>60000</v>
      </c>
      <c r="K649" s="118"/>
      <c r="L649" s="118"/>
      <c r="M649" s="118"/>
      <c r="N649" s="127"/>
      <c r="O649" s="26"/>
    </row>
    <row r="650" spans="1:15" ht="15" customHeight="1" x14ac:dyDescent="0.25">
      <c r="A650" s="54">
        <v>45374</v>
      </c>
      <c r="B650" s="25">
        <f t="shared" si="23"/>
        <v>3</v>
      </c>
      <c r="C650" s="25">
        <f t="shared" si="22"/>
        <v>2024</v>
      </c>
      <c r="D650" s="71" t="s">
        <v>352</v>
      </c>
      <c r="E650" s="4" t="s">
        <v>93</v>
      </c>
      <c r="F650" s="4" t="s">
        <v>580</v>
      </c>
      <c r="G650" s="4"/>
      <c r="H650" s="7" t="s">
        <v>131</v>
      </c>
      <c r="I650" s="60"/>
      <c r="J650" s="118">
        <v>50000</v>
      </c>
      <c r="K650" s="118"/>
      <c r="L650" s="118"/>
      <c r="M650" s="118"/>
      <c r="N650" s="127"/>
      <c r="O650" s="26"/>
    </row>
    <row r="651" spans="1:15" ht="15" customHeight="1" x14ac:dyDescent="0.25">
      <c r="A651" s="54">
        <v>45374</v>
      </c>
      <c r="B651" s="25">
        <f t="shared" si="23"/>
        <v>3</v>
      </c>
      <c r="C651" s="25">
        <f t="shared" si="22"/>
        <v>2024</v>
      </c>
      <c r="D651" s="71" t="s">
        <v>352</v>
      </c>
      <c r="E651" s="4" t="s">
        <v>93</v>
      </c>
      <c r="F651" s="4" t="s">
        <v>580</v>
      </c>
      <c r="G651" s="4"/>
      <c r="H651" s="7" t="s">
        <v>131</v>
      </c>
      <c r="I651" s="60"/>
      <c r="J651" s="118">
        <v>23100</v>
      </c>
      <c r="K651" s="118"/>
      <c r="L651" s="118"/>
      <c r="M651" s="118"/>
      <c r="N651" s="127"/>
      <c r="O651" s="26"/>
    </row>
    <row r="652" spans="1:15" ht="15" customHeight="1" x14ac:dyDescent="0.25">
      <c r="A652" s="54">
        <v>45374</v>
      </c>
      <c r="B652" s="25">
        <f t="shared" si="23"/>
        <v>3</v>
      </c>
      <c r="C652" s="25">
        <f t="shared" si="22"/>
        <v>2024</v>
      </c>
      <c r="D652" s="71" t="s">
        <v>352</v>
      </c>
      <c r="E652" s="4" t="s">
        <v>93</v>
      </c>
      <c r="F652" s="4" t="s">
        <v>580</v>
      </c>
      <c r="G652" s="4"/>
      <c r="H652" s="7" t="s">
        <v>131</v>
      </c>
      <c r="I652" s="60"/>
      <c r="J652" s="118">
        <v>38410</v>
      </c>
      <c r="K652" s="118"/>
      <c r="L652" s="118"/>
      <c r="M652" s="118"/>
      <c r="N652" s="127"/>
      <c r="O652" s="26"/>
    </row>
    <row r="653" spans="1:15" ht="15" customHeight="1" x14ac:dyDescent="0.25">
      <c r="A653" s="54">
        <v>45374</v>
      </c>
      <c r="B653" s="25">
        <f t="shared" si="23"/>
        <v>3</v>
      </c>
      <c r="C653" s="25">
        <f t="shared" si="22"/>
        <v>2024</v>
      </c>
      <c r="D653" s="71" t="s">
        <v>352</v>
      </c>
      <c r="E653" s="4" t="s">
        <v>93</v>
      </c>
      <c r="F653" s="4" t="s">
        <v>580</v>
      </c>
      <c r="G653" s="4"/>
      <c r="H653" s="7" t="s">
        <v>131</v>
      </c>
      <c r="I653" s="60"/>
      <c r="J653" s="118">
        <v>50000</v>
      </c>
      <c r="K653" s="118"/>
      <c r="L653" s="118"/>
      <c r="M653" s="118"/>
      <c r="N653" s="127"/>
      <c r="O653" s="26"/>
    </row>
    <row r="654" spans="1:15" ht="15" customHeight="1" x14ac:dyDescent="0.25">
      <c r="A654" s="54">
        <v>45374</v>
      </c>
      <c r="B654" s="25">
        <f t="shared" si="23"/>
        <v>3</v>
      </c>
      <c r="C654" s="25">
        <f t="shared" si="22"/>
        <v>2024</v>
      </c>
      <c r="D654" s="71" t="s">
        <v>352</v>
      </c>
      <c r="E654" s="4" t="s">
        <v>93</v>
      </c>
      <c r="F654" s="4" t="s">
        <v>580</v>
      </c>
      <c r="G654" s="4"/>
      <c r="H654" s="7" t="s">
        <v>131</v>
      </c>
      <c r="I654" s="60"/>
      <c r="J654" s="118">
        <v>107285</v>
      </c>
      <c r="K654" s="118"/>
      <c r="L654" s="118"/>
      <c r="M654" s="118"/>
      <c r="N654" s="127"/>
      <c r="O654" s="26"/>
    </row>
    <row r="655" spans="1:15" ht="15" customHeight="1" x14ac:dyDescent="0.25">
      <c r="A655" s="54">
        <v>45374</v>
      </c>
      <c r="B655" s="25">
        <f t="shared" si="23"/>
        <v>3</v>
      </c>
      <c r="C655" s="25">
        <f t="shared" si="22"/>
        <v>2024</v>
      </c>
      <c r="D655" s="71" t="s">
        <v>352</v>
      </c>
      <c r="E655" s="4" t="s">
        <v>93</v>
      </c>
      <c r="F655" s="4" t="s">
        <v>580</v>
      </c>
      <c r="G655" s="4"/>
      <c r="H655" s="7" t="s">
        <v>131</v>
      </c>
      <c r="I655" s="60"/>
      <c r="J655" s="118">
        <v>50000</v>
      </c>
      <c r="K655" s="118"/>
      <c r="L655" s="118"/>
      <c r="M655" s="118"/>
      <c r="N655" s="127"/>
      <c r="O655" s="26"/>
    </row>
    <row r="656" spans="1:15" ht="15" customHeight="1" x14ac:dyDescent="0.25">
      <c r="A656" s="54">
        <v>45374</v>
      </c>
      <c r="B656" s="25">
        <f t="shared" si="23"/>
        <v>3</v>
      </c>
      <c r="C656" s="25">
        <f t="shared" si="22"/>
        <v>2024</v>
      </c>
      <c r="D656" s="71" t="s">
        <v>352</v>
      </c>
      <c r="E656" s="4" t="s">
        <v>93</v>
      </c>
      <c r="F656" s="4" t="s">
        <v>580</v>
      </c>
      <c r="G656" s="4"/>
      <c r="H656" s="7" t="s">
        <v>131</v>
      </c>
      <c r="I656" s="60"/>
      <c r="J656" s="118">
        <v>50000</v>
      </c>
      <c r="K656" s="118"/>
      <c r="L656" s="118"/>
      <c r="M656" s="118"/>
      <c r="N656" s="127"/>
      <c r="O656" s="26"/>
    </row>
    <row r="657" spans="1:15" ht="15" customHeight="1" x14ac:dyDescent="0.25">
      <c r="A657" s="54">
        <v>45374</v>
      </c>
      <c r="B657" s="25">
        <f t="shared" si="23"/>
        <v>3</v>
      </c>
      <c r="C657" s="25">
        <f t="shared" si="22"/>
        <v>2024</v>
      </c>
      <c r="D657" s="71" t="s">
        <v>352</v>
      </c>
      <c r="E657" s="4" t="s">
        <v>93</v>
      </c>
      <c r="F657" s="4" t="s">
        <v>580</v>
      </c>
      <c r="G657" s="4"/>
      <c r="H657" s="7" t="s">
        <v>131</v>
      </c>
      <c r="I657" s="60"/>
      <c r="J657" s="118">
        <v>317600</v>
      </c>
      <c r="K657" s="118"/>
      <c r="L657" s="118"/>
      <c r="M657" s="118"/>
      <c r="N657" s="127"/>
      <c r="O657" s="26"/>
    </row>
    <row r="658" spans="1:15" ht="15" customHeight="1" x14ac:dyDescent="0.25">
      <c r="A658" s="54">
        <v>45376</v>
      </c>
      <c r="B658" s="25">
        <f t="shared" si="23"/>
        <v>3</v>
      </c>
      <c r="C658" s="25">
        <f t="shared" si="22"/>
        <v>2024</v>
      </c>
      <c r="D658" s="71" t="s">
        <v>124</v>
      </c>
      <c r="E658" s="4" t="s">
        <v>93</v>
      </c>
      <c r="F658" s="4" t="s">
        <v>822</v>
      </c>
      <c r="G658" s="4"/>
      <c r="H658" s="7" t="s">
        <v>131</v>
      </c>
      <c r="I658" s="60"/>
      <c r="J658" s="118"/>
      <c r="K658" s="118">
        <v>23100</v>
      </c>
      <c r="L658" s="118"/>
      <c r="M658" s="118"/>
      <c r="N658" s="127"/>
      <c r="O658" s="26"/>
    </row>
    <row r="659" spans="1:15" ht="15" customHeight="1" x14ac:dyDescent="0.25">
      <c r="A659" s="54">
        <v>45376</v>
      </c>
      <c r="B659" s="25">
        <f t="shared" si="23"/>
        <v>3</v>
      </c>
      <c r="C659" s="25">
        <f t="shared" si="22"/>
        <v>2024</v>
      </c>
      <c r="D659" s="71" t="s">
        <v>92</v>
      </c>
      <c r="E659" s="4" t="s">
        <v>92</v>
      </c>
      <c r="F659" s="4" t="s">
        <v>784</v>
      </c>
      <c r="G659" s="4"/>
      <c r="H659" s="7" t="s">
        <v>92</v>
      </c>
      <c r="I659" s="60"/>
      <c r="J659" s="118"/>
      <c r="K659" s="118">
        <v>106736</v>
      </c>
      <c r="L659" s="118"/>
      <c r="M659" s="118"/>
      <c r="N659" s="127"/>
      <c r="O659" s="26"/>
    </row>
    <row r="660" spans="1:15" ht="15" customHeight="1" x14ac:dyDescent="0.25">
      <c r="A660" s="54">
        <v>45376</v>
      </c>
      <c r="B660" s="25">
        <f t="shared" si="23"/>
        <v>3</v>
      </c>
      <c r="C660" s="25">
        <f t="shared" si="22"/>
        <v>2024</v>
      </c>
      <c r="D660" s="71" t="s">
        <v>92</v>
      </c>
      <c r="E660" s="4" t="s">
        <v>92</v>
      </c>
      <c r="F660" s="4" t="s">
        <v>705</v>
      </c>
      <c r="G660" s="4"/>
      <c r="H660" s="7" t="s">
        <v>92</v>
      </c>
      <c r="I660" s="60"/>
      <c r="J660" s="118"/>
      <c r="K660" s="118">
        <v>19377</v>
      </c>
      <c r="L660" s="118"/>
      <c r="M660" s="118"/>
      <c r="N660" s="127"/>
      <c r="O660" s="26"/>
    </row>
    <row r="661" spans="1:15" ht="15" customHeight="1" x14ac:dyDescent="0.25">
      <c r="A661" s="54">
        <v>45376</v>
      </c>
      <c r="B661" s="25">
        <f t="shared" si="23"/>
        <v>3</v>
      </c>
      <c r="C661" s="25">
        <f t="shared" si="22"/>
        <v>2024</v>
      </c>
      <c r="D661" s="71" t="s">
        <v>92</v>
      </c>
      <c r="E661" s="4" t="s">
        <v>92</v>
      </c>
      <c r="F661" s="4" t="s">
        <v>739</v>
      </c>
      <c r="G661" s="4"/>
      <c r="H661" s="7" t="s">
        <v>92</v>
      </c>
      <c r="I661" s="60"/>
      <c r="J661" s="118"/>
      <c r="K661" s="118">
        <v>4300</v>
      </c>
      <c r="L661" s="118"/>
      <c r="M661" s="118"/>
      <c r="N661" s="127"/>
      <c r="O661" s="26"/>
    </row>
    <row r="662" spans="1:15" ht="15" customHeight="1" x14ac:dyDescent="0.25">
      <c r="A662" s="54">
        <v>45376</v>
      </c>
      <c r="B662" s="25">
        <f t="shared" si="23"/>
        <v>3</v>
      </c>
      <c r="C662" s="25">
        <f t="shared" si="22"/>
        <v>2024</v>
      </c>
      <c r="D662" s="71" t="s">
        <v>92</v>
      </c>
      <c r="E662" s="4" t="s">
        <v>92</v>
      </c>
      <c r="F662" s="4"/>
      <c r="G662" s="4"/>
      <c r="H662" s="7" t="s">
        <v>92</v>
      </c>
      <c r="I662" s="60"/>
      <c r="J662" s="118"/>
      <c r="K662" s="118">
        <v>20000</v>
      </c>
      <c r="L662" s="118"/>
      <c r="M662" s="118"/>
      <c r="N662" s="127"/>
      <c r="O662" s="26"/>
    </row>
    <row r="663" spans="1:15" ht="15" customHeight="1" x14ac:dyDescent="0.25">
      <c r="A663" s="54">
        <v>45376</v>
      </c>
      <c r="B663" s="25">
        <f t="shared" si="23"/>
        <v>3</v>
      </c>
      <c r="C663" s="25">
        <f t="shared" si="22"/>
        <v>2024</v>
      </c>
      <c r="D663" s="71" t="s">
        <v>352</v>
      </c>
      <c r="E663" s="4" t="s">
        <v>93</v>
      </c>
      <c r="F663" s="4" t="s">
        <v>637</v>
      </c>
      <c r="G663" s="4"/>
      <c r="H663" s="7" t="s">
        <v>130</v>
      </c>
      <c r="I663" s="60"/>
      <c r="J663" s="118">
        <v>219300</v>
      </c>
      <c r="K663" s="118"/>
      <c r="L663" s="118"/>
      <c r="M663" s="118"/>
      <c r="N663" s="127"/>
      <c r="O663" s="26"/>
    </row>
    <row r="664" spans="1:15" ht="15" customHeight="1" x14ac:dyDescent="0.25">
      <c r="A664" s="54">
        <v>45376</v>
      </c>
      <c r="B664" s="25">
        <f t="shared" si="23"/>
        <v>3</v>
      </c>
      <c r="C664" s="25">
        <f t="shared" ref="C664:C695" si="24">YEAR((A664))</f>
        <v>2024</v>
      </c>
      <c r="D664" s="71" t="s">
        <v>352</v>
      </c>
      <c r="E664" s="4" t="s">
        <v>93</v>
      </c>
      <c r="F664" s="4" t="s">
        <v>641</v>
      </c>
      <c r="G664" s="4"/>
      <c r="H664" s="7" t="s">
        <v>130</v>
      </c>
      <c r="I664" s="60"/>
      <c r="J664" s="118">
        <v>393600</v>
      </c>
      <c r="K664" s="118"/>
      <c r="L664" s="118"/>
      <c r="M664" s="118"/>
      <c r="N664" s="127"/>
      <c r="O664" s="26"/>
    </row>
    <row r="665" spans="1:15" ht="15" customHeight="1" x14ac:dyDescent="0.25">
      <c r="A665" s="54">
        <v>45376</v>
      </c>
      <c r="B665" s="25">
        <f t="shared" si="23"/>
        <v>3</v>
      </c>
      <c r="C665" s="25">
        <f t="shared" si="24"/>
        <v>2024</v>
      </c>
      <c r="D665" s="71" t="s">
        <v>124</v>
      </c>
      <c r="E665" s="4" t="s">
        <v>93</v>
      </c>
      <c r="F665" s="4"/>
      <c r="G665" s="4" t="s">
        <v>553</v>
      </c>
      <c r="H665" s="7" t="s">
        <v>130</v>
      </c>
      <c r="I665" s="60"/>
      <c r="J665" s="118"/>
      <c r="K665" s="118">
        <v>173600</v>
      </c>
      <c r="L665" s="118"/>
      <c r="M665" s="118"/>
      <c r="N665" s="127"/>
      <c r="O665" s="26"/>
    </row>
    <row r="666" spans="1:15" ht="15" customHeight="1" x14ac:dyDescent="0.25">
      <c r="A666" s="54">
        <v>45376</v>
      </c>
      <c r="B666" s="25">
        <f t="shared" si="23"/>
        <v>3</v>
      </c>
      <c r="C666" s="25">
        <f t="shared" si="24"/>
        <v>2024</v>
      </c>
      <c r="D666" s="71" t="s">
        <v>352</v>
      </c>
      <c r="E666" s="4" t="s">
        <v>93</v>
      </c>
      <c r="F666" s="4" t="s">
        <v>824</v>
      </c>
      <c r="G666" s="4"/>
      <c r="H666" s="7" t="s">
        <v>130</v>
      </c>
      <c r="I666" s="60"/>
      <c r="J666" s="118">
        <v>25000</v>
      </c>
      <c r="K666" s="118"/>
      <c r="L666" s="118"/>
      <c r="M666" s="118"/>
      <c r="N666" s="127"/>
      <c r="O666" s="26"/>
    </row>
    <row r="667" spans="1:15" ht="15" customHeight="1" x14ac:dyDescent="0.25">
      <c r="A667" s="54">
        <v>45376</v>
      </c>
      <c r="B667" s="25">
        <f t="shared" si="23"/>
        <v>3</v>
      </c>
      <c r="C667" s="25">
        <f t="shared" si="24"/>
        <v>2024</v>
      </c>
      <c r="D667" s="71" t="s">
        <v>352</v>
      </c>
      <c r="E667" s="4" t="s">
        <v>93</v>
      </c>
      <c r="F667" s="4" t="s">
        <v>555</v>
      </c>
      <c r="G667" s="4"/>
      <c r="H667" s="7" t="s">
        <v>130</v>
      </c>
      <c r="I667" s="60"/>
      <c r="J667" s="118">
        <v>190100</v>
      </c>
      <c r="K667" s="118"/>
      <c r="L667" s="118"/>
      <c r="M667" s="118"/>
      <c r="N667" s="127"/>
      <c r="O667" s="26"/>
    </row>
    <row r="668" spans="1:15" ht="15" customHeight="1" x14ac:dyDescent="0.25">
      <c r="A668" s="54">
        <v>45376</v>
      </c>
      <c r="B668" s="25">
        <f t="shared" si="23"/>
        <v>3</v>
      </c>
      <c r="C668" s="25">
        <f t="shared" si="24"/>
        <v>2024</v>
      </c>
      <c r="D668" s="71" t="s">
        <v>352</v>
      </c>
      <c r="E668" s="4" t="s">
        <v>93</v>
      </c>
      <c r="F668" s="4" t="s">
        <v>144</v>
      </c>
      <c r="G668" s="4"/>
      <c r="H668" s="7" t="s">
        <v>545</v>
      </c>
      <c r="I668" s="60"/>
      <c r="J668" s="118">
        <v>153275</v>
      </c>
      <c r="K668" s="118"/>
      <c r="L668" s="118"/>
      <c r="M668" s="118"/>
      <c r="N668" s="127"/>
      <c r="O668" s="26"/>
    </row>
    <row r="669" spans="1:15" ht="15" customHeight="1" x14ac:dyDescent="0.25">
      <c r="A669" s="54">
        <v>45376</v>
      </c>
      <c r="B669" s="25">
        <f t="shared" si="23"/>
        <v>3</v>
      </c>
      <c r="C669" s="25">
        <f t="shared" si="24"/>
        <v>2024</v>
      </c>
      <c r="D669" s="71" t="s">
        <v>92</v>
      </c>
      <c r="E669" s="4" t="s">
        <v>92</v>
      </c>
      <c r="F669" s="4"/>
      <c r="G669" s="4"/>
      <c r="H669" s="7" t="s">
        <v>92</v>
      </c>
      <c r="I669" s="60"/>
      <c r="J669" s="118"/>
      <c r="K669" s="118">
        <v>22000</v>
      </c>
      <c r="L669" s="118"/>
      <c r="M669" s="118"/>
      <c r="N669" s="127"/>
      <c r="O669" s="26"/>
    </row>
    <row r="670" spans="1:15" ht="15" customHeight="1" x14ac:dyDescent="0.25">
      <c r="A670" s="54">
        <v>45377</v>
      </c>
      <c r="B670" s="25">
        <f t="shared" si="23"/>
        <v>3</v>
      </c>
      <c r="C670" s="25">
        <f t="shared" si="24"/>
        <v>2024</v>
      </c>
      <c r="D670" s="71" t="s">
        <v>352</v>
      </c>
      <c r="E670" s="4" t="s">
        <v>93</v>
      </c>
      <c r="F670" s="4" t="s">
        <v>581</v>
      </c>
      <c r="G670" s="4"/>
      <c r="H670" s="7" t="s">
        <v>130</v>
      </c>
      <c r="I670" s="60"/>
      <c r="J670" s="118">
        <v>254800</v>
      </c>
      <c r="K670" s="118"/>
      <c r="L670" s="118"/>
      <c r="M670" s="118"/>
      <c r="N670" s="127"/>
      <c r="O670" s="26"/>
    </row>
    <row r="671" spans="1:15" ht="15" customHeight="1" x14ac:dyDescent="0.25">
      <c r="A671" s="54">
        <v>45377</v>
      </c>
      <c r="B671" s="25">
        <f t="shared" si="23"/>
        <v>3</v>
      </c>
      <c r="C671" s="25">
        <f t="shared" si="24"/>
        <v>2024</v>
      </c>
      <c r="D671" s="71" t="s">
        <v>352</v>
      </c>
      <c r="E671" s="4" t="s">
        <v>93</v>
      </c>
      <c r="F671" s="4" t="s">
        <v>150</v>
      </c>
      <c r="G671" s="4"/>
      <c r="H671" s="7" t="s">
        <v>131</v>
      </c>
      <c r="I671" s="60"/>
      <c r="J671" s="118">
        <v>30000</v>
      </c>
      <c r="K671" s="118"/>
      <c r="L671" s="118"/>
      <c r="M671" s="118"/>
      <c r="N671" s="127"/>
      <c r="O671" s="26"/>
    </row>
    <row r="672" spans="1:15" ht="15" customHeight="1" x14ac:dyDescent="0.25">
      <c r="A672" s="54">
        <v>45377</v>
      </c>
      <c r="B672" s="25">
        <f t="shared" si="23"/>
        <v>3</v>
      </c>
      <c r="C672" s="25">
        <f t="shared" si="24"/>
        <v>2024</v>
      </c>
      <c r="D672" s="71" t="s">
        <v>352</v>
      </c>
      <c r="E672" s="4" t="s">
        <v>93</v>
      </c>
      <c r="F672" s="4" t="s">
        <v>150</v>
      </c>
      <c r="G672" s="4"/>
      <c r="H672" s="7" t="s">
        <v>131</v>
      </c>
      <c r="I672" s="60"/>
      <c r="J672" s="118">
        <v>327000</v>
      </c>
      <c r="K672" s="118"/>
      <c r="L672" s="118"/>
      <c r="M672" s="118"/>
      <c r="N672" s="127"/>
      <c r="O672" s="26"/>
    </row>
    <row r="673" spans="1:15" ht="15" customHeight="1" x14ac:dyDescent="0.25">
      <c r="A673" s="54">
        <v>45377</v>
      </c>
      <c r="B673" s="25">
        <f t="shared" si="23"/>
        <v>3</v>
      </c>
      <c r="C673" s="25">
        <f t="shared" si="24"/>
        <v>2024</v>
      </c>
      <c r="D673" s="71" t="s">
        <v>352</v>
      </c>
      <c r="E673" s="4" t="s">
        <v>93</v>
      </c>
      <c r="F673" s="4" t="s">
        <v>652</v>
      </c>
      <c r="G673" s="4"/>
      <c r="H673" s="7" t="s">
        <v>130</v>
      </c>
      <c r="I673" s="60"/>
      <c r="J673" s="118">
        <v>417000</v>
      </c>
      <c r="K673" s="118"/>
      <c r="L673" s="118"/>
      <c r="M673" s="118"/>
      <c r="N673" s="127"/>
      <c r="O673" s="26"/>
    </row>
    <row r="674" spans="1:15" ht="15" customHeight="1" x14ac:dyDescent="0.25">
      <c r="A674" s="54">
        <v>45378</v>
      </c>
      <c r="B674" s="25">
        <f t="shared" si="23"/>
        <v>3</v>
      </c>
      <c r="C674" s="25">
        <f t="shared" si="24"/>
        <v>2024</v>
      </c>
      <c r="D674" s="71" t="s">
        <v>352</v>
      </c>
      <c r="E674" s="4" t="s">
        <v>93</v>
      </c>
      <c r="F674" s="4" t="s">
        <v>772</v>
      </c>
      <c r="G674" s="4"/>
      <c r="H674" s="7" t="s">
        <v>130</v>
      </c>
      <c r="I674" s="60"/>
      <c r="J674" s="118">
        <v>334500</v>
      </c>
      <c r="K674" s="118"/>
      <c r="L674" s="118"/>
      <c r="M674" s="118"/>
      <c r="N674" s="127"/>
      <c r="O674" s="26"/>
    </row>
    <row r="675" spans="1:15" ht="15" customHeight="1" x14ac:dyDescent="0.25">
      <c r="A675" s="54">
        <v>45378</v>
      </c>
      <c r="B675" s="25">
        <f t="shared" si="23"/>
        <v>3</v>
      </c>
      <c r="C675" s="25">
        <f t="shared" si="24"/>
        <v>2024</v>
      </c>
      <c r="D675" s="71" t="s">
        <v>352</v>
      </c>
      <c r="E675" s="4" t="s">
        <v>93</v>
      </c>
      <c r="F675" s="4" t="s">
        <v>397</v>
      </c>
      <c r="G675" s="4"/>
      <c r="H675" s="7" t="s">
        <v>131</v>
      </c>
      <c r="I675" s="60"/>
      <c r="J675" s="118">
        <v>89500</v>
      </c>
      <c r="K675" s="118"/>
      <c r="L675" s="118"/>
      <c r="M675" s="118"/>
      <c r="N675" s="127"/>
      <c r="O675" s="26"/>
    </row>
    <row r="676" spans="1:15" ht="15" customHeight="1" x14ac:dyDescent="0.25">
      <c r="A676" s="54">
        <v>45379</v>
      </c>
      <c r="B676" s="25">
        <f t="shared" si="23"/>
        <v>3</v>
      </c>
      <c r="C676" s="25">
        <f t="shared" si="24"/>
        <v>2024</v>
      </c>
      <c r="D676" s="71" t="s">
        <v>124</v>
      </c>
      <c r="E676" s="4" t="s">
        <v>93</v>
      </c>
      <c r="F676" s="4" t="s">
        <v>826</v>
      </c>
      <c r="G676" s="4"/>
      <c r="H676" s="7" t="s">
        <v>131</v>
      </c>
      <c r="I676" s="60"/>
      <c r="J676" s="118"/>
      <c r="K676" s="118">
        <v>172500</v>
      </c>
      <c r="L676" s="118"/>
      <c r="M676" s="118"/>
      <c r="N676" s="127"/>
      <c r="O676" s="26"/>
    </row>
    <row r="677" spans="1:15" ht="15" customHeight="1" x14ac:dyDescent="0.25">
      <c r="A677" s="54">
        <v>45379</v>
      </c>
      <c r="B677" s="25">
        <f t="shared" si="23"/>
        <v>3</v>
      </c>
      <c r="C677" s="25">
        <f t="shared" si="24"/>
        <v>2024</v>
      </c>
      <c r="D677" s="71" t="s">
        <v>124</v>
      </c>
      <c r="E677" s="4" t="s">
        <v>93</v>
      </c>
      <c r="F677" s="4" t="s">
        <v>826</v>
      </c>
      <c r="G677" s="4"/>
      <c r="H677" s="7" t="s">
        <v>131</v>
      </c>
      <c r="I677" s="60"/>
      <c r="J677" s="118"/>
      <c r="K677" s="118">
        <v>50000</v>
      </c>
      <c r="L677" s="118"/>
      <c r="M677" s="118"/>
      <c r="N677" s="127"/>
      <c r="O677" s="26"/>
    </row>
    <row r="678" spans="1:15" ht="15" customHeight="1" x14ac:dyDescent="0.25">
      <c r="A678" s="54">
        <v>45379</v>
      </c>
      <c r="B678" s="25">
        <f t="shared" si="23"/>
        <v>3</v>
      </c>
      <c r="C678" s="25">
        <f t="shared" si="24"/>
        <v>2024</v>
      </c>
      <c r="D678" s="71" t="s">
        <v>124</v>
      </c>
      <c r="E678" s="4" t="s">
        <v>93</v>
      </c>
      <c r="F678" s="4" t="s">
        <v>826</v>
      </c>
      <c r="G678" s="4"/>
      <c r="H678" s="7" t="s">
        <v>131</v>
      </c>
      <c r="I678" s="60"/>
      <c r="J678" s="118"/>
      <c r="K678" s="118">
        <v>50000</v>
      </c>
      <c r="L678" s="118"/>
      <c r="M678" s="118"/>
      <c r="N678" s="127"/>
      <c r="O678" s="26"/>
    </row>
    <row r="679" spans="1:15" ht="15" customHeight="1" x14ac:dyDescent="0.25">
      <c r="A679" s="54">
        <v>45379</v>
      </c>
      <c r="B679" s="25">
        <f t="shared" si="23"/>
        <v>3</v>
      </c>
      <c r="C679" s="25">
        <f t="shared" si="24"/>
        <v>2024</v>
      </c>
      <c r="D679" s="71" t="s">
        <v>124</v>
      </c>
      <c r="E679" s="4" t="s">
        <v>93</v>
      </c>
      <c r="F679" s="4" t="s">
        <v>826</v>
      </c>
      <c r="G679" s="4"/>
      <c r="H679" s="7" t="s">
        <v>131</v>
      </c>
      <c r="I679" s="60"/>
      <c r="J679" s="118"/>
      <c r="K679" s="118">
        <v>50000</v>
      </c>
      <c r="L679" s="118"/>
      <c r="M679" s="118"/>
      <c r="N679" s="127"/>
      <c r="O679" s="26"/>
    </row>
    <row r="680" spans="1:15" ht="15" customHeight="1" x14ac:dyDescent="0.25">
      <c r="A680" s="54">
        <v>45379</v>
      </c>
      <c r="B680" s="25">
        <f t="shared" si="23"/>
        <v>3</v>
      </c>
      <c r="C680" s="25">
        <f t="shared" si="24"/>
        <v>2024</v>
      </c>
      <c r="D680" s="71" t="s">
        <v>626</v>
      </c>
      <c r="E680" s="4" t="s">
        <v>93</v>
      </c>
      <c r="F680" s="4"/>
      <c r="G680" s="4"/>
      <c r="H680" s="7" t="s">
        <v>130</v>
      </c>
      <c r="I680" s="60"/>
      <c r="J680" s="118"/>
      <c r="K680" s="118">
        <v>97000</v>
      </c>
      <c r="L680" s="118"/>
      <c r="M680" s="118"/>
      <c r="N680" s="127"/>
      <c r="O680" s="26"/>
    </row>
    <row r="681" spans="1:15" ht="15" customHeight="1" x14ac:dyDescent="0.25">
      <c r="A681" s="54">
        <v>45379</v>
      </c>
      <c r="B681" s="25">
        <f t="shared" si="23"/>
        <v>3</v>
      </c>
      <c r="C681" s="25">
        <f t="shared" si="24"/>
        <v>2024</v>
      </c>
      <c r="D681" s="71" t="s">
        <v>689</v>
      </c>
      <c r="E681" s="4" t="s">
        <v>93</v>
      </c>
      <c r="F681" s="4" t="s">
        <v>169</v>
      </c>
      <c r="G681" s="4"/>
      <c r="H681" s="7" t="s">
        <v>130</v>
      </c>
      <c r="I681" s="60"/>
      <c r="J681" s="118"/>
      <c r="K681" s="118">
        <v>130000</v>
      </c>
      <c r="L681" s="118"/>
      <c r="M681" s="118"/>
      <c r="N681" s="127"/>
      <c r="O681" s="26"/>
    </row>
    <row r="682" spans="1:15" ht="15" customHeight="1" x14ac:dyDescent="0.25">
      <c r="A682" s="54">
        <v>45379</v>
      </c>
      <c r="B682" s="25">
        <f t="shared" si="23"/>
        <v>3</v>
      </c>
      <c r="C682" s="25">
        <f t="shared" si="24"/>
        <v>2024</v>
      </c>
      <c r="D682" s="71" t="s">
        <v>689</v>
      </c>
      <c r="E682" s="4" t="s">
        <v>93</v>
      </c>
      <c r="F682" s="4" t="s">
        <v>655</v>
      </c>
      <c r="G682" s="4"/>
      <c r="H682" s="7" t="s">
        <v>130</v>
      </c>
      <c r="I682" s="60"/>
      <c r="J682" s="118"/>
      <c r="K682" s="118">
        <v>130000</v>
      </c>
      <c r="L682" s="118"/>
      <c r="M682" s="118"/>
      <c r="N682" s="127"/>
      <c r="O682" s="26"/>
    </row>
    <row r="683" spans="1:15" ht="15" customHeight="1" x14ac:dyDescent="0.25">
      <c r="A683" s="54">
        <v>45379</v>
      </c>
      <c r="B683" s="25">
        <f t="shared" si="23"/>
        <v>3</v>
      </c>
      <c r="C683" s="25">
        <f t="shared" si="24"/>
        <v>2024</v>
      </c>
      <c r="D683" s="71" t="s">
        <v>352</v>
      </c>
      <c r="E683" s="4" t="s">
        <v>93</v>
      </c>
      <c r="F683" s="4" t="s">
        <v>830</v>
      </c>
      <c r="G683" s="4"/>
      <c r="H683" s="7" t="s">
        <v>130</v>
      </c>
      <c r="I683" s="60"/>
      <c r="J683" s="118">
        <v>250000</v>
      </c>
      <c r="K683" s="118"/>
      <c r="L683" s="118"/>
      <c r="M683" s="118"/>
      <c r="N683" s="127"/>
      <c r="O683" s="26"/>
    </row>
    <row r="684" spans="1:15" ht="15" customHeight="1" x14ac:dyDescent="0.25">
      <c r="A684" s="54">
        <v>45383</v>
      </c>
      <c r="B684" s="25">
        <f t="shared" si="23"/>
        <v>4</v>
      </c>
      <c r="C684" s="25">
        <f t="shared" si="24"/>
        <v>2024</v>
      </c>
      <c r="D684" s="71" t="s">
        <v>352</v>
      </c>
      <c r="E684" s="11" t="s">
        <v>93</v>
      </c>
      <c r="F684" s="11" t="s">
        <v>827</v>
      </c>
      <c r="G684" s="11"/>
      <c r="H684" s="7" t="s">
        <v>130</v>
      </c>
      <c r="I684" s="60"/>
      <c r="J684" s="118">
        <v>200000</v>
      </c>
      <c r="K684" s="118"/>
      <c r="L684" s="118"/>
      <c r="M684" s="118"/>
      <c r="N684" s="127"/>
      <c r="O684" s="26"/>
    </row>
    <row r="685" spans="1:15" ht="15" customHeight="1" x14ac:dyDescent="0.25">
      <c r="A685" s="54">
        <v>45385</v>
      </c>
      <c r="B685" s="25">
        <f t="shared" si="23"/>
        <v>4</v>
      </c>
      <c r="C685" s="25">
        <f t="shared" si="24"/>
        <v>2024</v>
      </c>
      <c r="D685" s="71" t="s">
        <v>352</v>
      </c>
      <c r="E685" s="11" t="s">
        <v>93</v>
      </c>
      <c r="F685" s="11" t="s">
        <v>828</v>
      </c>
      <c r="G685" s="11"/>
      <c r="H685" s="7" t="s">
        <v>130</v>
      </c>
      <c r="I685" s="60"/>
      <c r="J685" s="118">
        <v>220600</v>
      </c>
      <c r="K685" s="118"/>
      <c r="L685" s="118"/>
      <c r="M685" s="118"/>
      <c r="N685" s="127"/>
      <c r="O685" s="26"/>
    </row>
    <row r="686" spans="1:15" ht="15" customHeight="1" x14ac:dyDescent="0.25">
      <c r="A686" s="54">
        <v>45385</v>
      </c>
      <c r="B686" s="25">
        <f t="shared" si="23"/>
        <v>4</v>
      </c>
      <c r="C686" s="25">
        <f t="shared" si="24"/>
        <v>2024</v>
      </c>
      <c r="D686" s="71" t="s">
        <v>124</v>
      </c>
      <c r="E686" s="11" t="s">
        <v>93</v>
      </c>
      <c r="F686" s="11"/>
      <c r="G686" s="11" t="s">
        <v>553</v>
      </c>
      <c r="H686" s="7" t="s">
        <v>130</v>
      </c>
      <c r="I686" s="60"/>
      <c r="J686" s="118"/>
      <c r="K686" s="118">
        <v>220600</v>
      </c>
      <c r="L686" s="118"/>
      <c r="M686" s="118"/>
      <c r="N686" s="127"/>
      <c r="O686" s="26"/>
    </row>
    <row r="687" spans="1:15" ht="15" customHeight="1" x14ac:dyDescent="0.25">
      <c r="A687" s="54">
        <v>45385</v>
      </c>
      <c r="B687" s="25">
        <f t="shared" si="23"/>
        <v>4</v>
      </c>
      <c r="C687" s="25">
        <f t="shared" si="24"/>
        <v>2024</v>
      </c>
      <c r="D687" s="71" t="s">
        <v>124</v>
      </c>
      <c r="E687" s="170" t="s">
        <v>93</v>
      </c>
      <c r="F687" s="170"/>
      <c r="G687" s="170" t="s">
        <v>829</v>
      </c>
      <c r="H687" s="7" t="s">
        <v>131</v>
      </c>
      <c r="I687" s="60"/>
      <c r="J687" s="118"/>
      <c r="K687" s="118">
        <v>111400</v>
      </c>
      <c r="L687" s="118"/>
      <c r="M687" s="118"/>
      <c r="N687" s="127"/>
      <c r="O687" s="26"/>
    </row>
    <row r="688" spans="1:15" ht="15" customHeight="1" x14ac:dyDescent="0.25">
      <c r="A688" s="54">
        <v>45385</v>
      </c>
      <c r="B688" s="25">
        <f t="shared" si="23"/>
        <v>4</v>
      </c>
      <c r="C688" s="25">
        <f t="shared" si="24"/>
        <v>2024</v>
      </c>
      <c r="D688" s="71" t="s">
        <v>124</v>
      </c>
      <c r="E688" s="11" t="s">
        <v>93</v>
      </c>
      <c r="F688" s="11"/>
      <c r="G688" s="11" t="s">
        <v>553</v>
      </c>
      <c r="H688" s="7" t="s">
        <v>131</v>
      </c>
      <c r="I688" s="60"/>
      <c r="J688" s="118"/>
      <c r="K688" s="118">
        <v>38000</v>
      </c>
      <c r="L688" s="118"/>
      <c r="M688" s="118"/>
      <c r="N688" s="127"/>
      <c r="O688" s="26"/>
    </row>
    <row r="689" spans="1:15" ht="15" customHeight="1" x14ac:dyDescent="0.25">
      <c r="A689" s="54">
        <v>45385</v>
      </c>
      <c r="B689" s="25">
        <f t="shared" si="23"/>
        <v>4</v>
      </c>
      <c r="C689" s="25">
        <f t="shared" si="24"/>
        <v>2024</v>
      </c>
      <c r="D689" s="71" t="s">
        <v>124</v>
      </c>
      <c r="E689" s="11" t="s">
        <v>93</v>
      </c>
      <c r="F689" s="11"/>
      <c r="G689" s="11" t="s">
        <v>553</v>
      </c>
      <c r="H689" s="7" t="s">
        <v>131</v>
      </c>
      <c r="I689" s="60"/>
      <c r="J689" s="118"/>
      <c r="K689" s="118">
        <v>270000</v>
      </c>
      <c r="L689" s="118"/>
      <c r="M689" s="118"/>
      <c r="N689" s="127"/>
      <c r="O689" s="26"/>
    </row>
    <row r="690" spans="1:15" ht="15" customHeight="1" x14ac:dyDescent="0.25">
      <c r="A690" s="54">
        <v>45385</v>
      </c>
      <c r="B690" s="25">
        <f t="shared" si="23"/>
        <v>4</v>
      </c>
      <c r="C690" s="25">
        <f t="shared" si="24"/>
        <v>2024</v>
      </c>
      <c r="D690" s="71" t="s">
        <v>124</v>
      </c>
      <c r="E690" s="11" t="s">
        <v>93</v>
      </c>
      <c r="F690" s="11"/>
      <c r="G690" s="11" t="s">
        <v>553</v>
      </c>
      <c r="H690" s="7" t="s">
        <v>131</v>
      </c>
      <c r="I690" s="60"/>
      <c r="J690" s="118"/>
      <c r="K690" s="118">
        <v>317600</v>
      </c>
      <c r="L690" s="118"/>
      <c r="M690" s="118"/>
      <c r="N690" s="127"/>
      <c r="O690" s="26"/>
    </row>
    <row r="691" spans="1:15" ht="15" customHeight="1" x14ac:dyDescent="0.25">
      <c r="A691" s="54">
        <v>45385</v>
      </c>
      <c r="B691" s="25">
        <f t="shared" si="23"/>
        <v>4</v>
      </c>
      <c r="C691" s="25">
        <f t="shared" si="24"/>
        <v>2024</v>
      </c>
      <c r="D691" s="71" t="s">
        <v>124</v>
      </c>
      <c r="E691" s="11" t="s">
        <v>93</v>
      </c>
      <c r="F691" s="11"/>
      <c r="G691" s="11" t="s">
        <v>553</v>
      </c>
      <c r="H691" s="7" t="s">
        <v>131</v>
      </c>
      <c r="I691" s="60"/>
      <c r="J691" s="118"/>
      <c r="K691" s="118">
        <v>50000</v>
      </c>
      <c r="L691" s="118"/>
      <c r="M691" s="118"/>
      <c r="N691" s="127"/>
      <c r="O691" s="26"/>
    </row>
    <row r="692" spans="1:15" ht="15" customHeight="1" x14ac:dyDescent="0.25">
      <c r="A692" s="54">
        <v>45385</v>
      </c>
      <c r="B692" s="25">
        <f t="shared" si="23"/>
        <v>4</v>
      </c>
      <c r="C692" s="25">
        <f t="shared" si="24"/>
        <v>2024</v>
      </c>
      <c r="D692" s="71" t="s">
        <v>124</v>
      </c>
      <c r="E692" s="11" t="s">
        <v>93</v>
      </c>
      <c r="F692" s="11"/>
      <c r="G692" s="11" t="s">
        <v>553</v>
      </c>
      <c r="H692" s="7" t="s">
        <v>131</v>
      </c>
      <c r="I692" s="60"/>
      <c r="J692" s="118"/>
      <c r="K692" s="118">
        <v>38410</v>
      </c>
      <c r="L692" s="118"/>
      <c r="M692" s="118"/>
      <c r="N692" s="127"/>
      <c r="O692" s="26"/>
    </row>
    <row r="693" spans="1:15" ht="15" customHeight="1" x14ac:dyDescent="0.25">
      <c r="A693" s="54">
        <v>45385</v>
      </c>
      <c r="B693" s="25">
        <f t="shared" si="23"/>
        <v>4</v>
      </c>
      <c r="C693" s="25">
        <f t="shared" si="24"/>
        <v>2024</v>
      </c>
      <c r="D693" s="71" t="s">
        <v>124</v>
      </c>
      <c r="E693" s="11" t="s">
        <v>93</v>
      </c>
      <c r="F693" s="11"/>
      <c r="G693" s="11" t="s">
        <v>553</v>
      </c>
      <c r="H693" s="7" t="s">
        <v>131</v>
      </c>
      <c r="I693" s="60"/>
      <c r="J693" s="118"/>
      <c r="K693" s="118">
        <v>327000</v>
      </c>
      <c r="L693" s="118"/>
      <c r="M693" s="118"/>
      <c r="N693" s="127"/>
      <c r="O693" s="26"/>
    </row>
    <row r="694" spans="1:15" ht="15" customHeight="1" x14ac:dyDescent="0.25">
      <c r="A694" s="54">
        <v>45385</v>
      </c>
      <c r="B694" s="25">
        <f t="shared" si="23"/>
        <v>4</v>
      </c>
      <c r="C694" s="25">
        <f t="shared" si="24"/>
        <v>2024</v>
      </c>
      <c r="D694" s="71" t="s">
        <v>124</v>
      </c>
      <c r="E694" s="11" t="s">
        <v>93</v>
      </c>
      <c r="F694" s="11"/>
      <c r="G694" s="11" t="s">
        <v>553</v>
      </c>
      <c r="H694" s="7" t="s">
        <v>131</v>
      </c>
      <c r="I694" s="60"/>
      <c r="J694" s="118"/>
      <c r="K694" s="118">
        <v>300000</v>
      </c>
      <c r="L694" s="118"/>
      <c r="M694" s="118"/>
      <c r="N694" s="127"/>
      <c r="O694" s="26"/>
    </row>
    <row r="695" spans="1:15" ht="15" customHeight="1" x14ac:dyDescent="0.25">
      <c r="A695" s="54">
        <v>45385</v>
      </c>
      <c r="B695" s="25">
        <f t="shared" si="23"/>
        <v>4</v>
      </c>
      <c r="C695" s="25">
        <f t="shared" si="24"/>
        <v>2024</v>
      </c>
      <c r="D695" s="71" t="s">
        <v>124</v>
      </c>
      <c r="E695" s="4" t="s">
        <v>93</v>
      </c>
      <c r="F695" s="4"/>
      <c r="G695" s="4" t="s">
        <v>554</v>
      </c>
      <c r="H695" s="7" t="s">
        <v>130</v>
      </c>
      <c r="I695" s="60"/>
      <c r="J695" s="118"/>
      <c r="K695" s="118">
        <v>924451.82</v>
      </c>
      <c r="L695" s="118"/>
      <c r="M695" s="118"/>
      <c r="N695" s="127"/>
      <c r="O695" s="26"/>
    </row>
    <row r="696" spans="1:15" ht="15" customHeight="1" x14ac:dyDescent="0.25">
      <c r="A696" s="54">
        <v>45385</v>
      </c>
      <c r="B696" s="25">
        <f t="shared" si="23"/>
        <v>4</v>
      </c>
      <c r="C696" s="25">
        <f t="shared" ref="C696:C701" si="25">YEAR((A696))</f>
        <v>2024</v>
      </c>
      <c r="D696" s="71" t="s">
        <v>92</v>
      </c>
      <c r="E696" s="11" t="s">
        <v>92</v>
      </c>
      <c r="F696" s="11" t="s">
        <v>796</v>
      </c>
      <c r="G696" s="11"/>
      <c r="H696" s="7" t="s">
        <v>130</v>
      </c>
      <c r="I696" s="60"/>
      <c r="J696" s="118"/>
      <c r="K696" s="118">
        <v>270000</v>
      </c>
      <c r="L696" s="118"/>
      <c r="M696" s="118"/>
      <c r="N696" s="127"/>
      <c r="O696" s="26"/>
    </row>
    <row r="697" spans="1:15" ht="15" customHeight="1" x14ac:dyDescent="0.25">
      <c r="A697" s="54">
        <v>45385</v>
      </c>
      <c r="B697" s="25">
        <f t="shared" si="23"/>
        <v>4</v>
      </c>
      <c r="C697" s="25">
        <f t="shared" si="25"/>
        <v>2024</v>
      </c>
      <c r="D697" s="71" t="s">
        <v>92</v>
      </c>
      <c r="E697" s="11" t="s">
        <v>92</v>
      </c>
      <c r="F697" s="11"/>
      <c r="G697" s="11"/>
      <c r="H697" s="7" t="s">
        <v>92</v>
      </c>
      <c r="I697" s="60"/>
      <c r="J697" s="118"/>
      <c r="K697" s="118">
        <v>260000</v>
      </c>
      <c r="L697" s="118"/>
      <c r="M697" s="118"/>
      <c r="N697" s="127"/>
      <c r="O697" s="26"/>
    </row>
    <row r="698" spans="1:15" ht="15" customHeight="1" x14ac:dyDescent="0.25">
      <c r="A698" s="54">
        <v>45385</v>
      </c>
      <c r="B698" s="25">
        <f t="shared" si="23"/>
        <v>4</v>
      </c>
      <c r="C698" s="25">
        <f t="shared" si="25"/>
        <v>2024</v>
      </c>
      <c r="D698" s="71" t="s">
        <v>92</v>
      </c>
      <c r="E698" s="11" t="s">
        <v>92</v>
      </c>
      <c r="F698" s="11"/>
      <c r="G698" s="11"/>
      <c r="H698" s="7" t="s">
        <v>92</v>
      </c>
      <c r="I698" s="60"/>
      <c r="J698" s="118"/>
      <c r="K698" s="118">
        <v>59000</v>
      </c>
      <c r="L698" s="118"/>
      <c r="M698" s="118"/>
      <c r="N698" s="127"/>
      <c r="O698" s="26"/>
    </row>
    <row r="699" spans="1:15" ht="15" customHeight="1" x14ac:dyDescent="0.25">
      <c r="A699" s="54">
        <v>45385</v>
      </c>
      <c r="B699" s="25">
        <f t="shared" si="23"/>
        <v>4</v>
      </c>
      <c r="C699" s="25">
        <f t="shared" si="25"/>
        <v>2024</v>
      </c>
      <c r="D699" s="71" t="s">
        <v>92</v>
      </c>
      <c r="E699" s="4" t="s">
        <v>92</v>
      </c>
      <c r="F699" s="4"/>
      <c r="G699" s="4"/>
      <c r="H699" s="7" t="s">
        <v>92</v>
      </c>
      <c r="I699" s="60"/>
      <c r="J699" s="118"/>
      <c r="K699" s="118">
        <v>80000</v>
      </c>
      <c r="L699" s="118"/>
      <c r="M699" s="118"/>
      <c r="N699" s="127"/>
      <c r="O699" s="26"/>
    </row>
    <row r="700" spans="1:15" ht="15" customHeight="1" x14ac:dyDescent="0.25">
      <c r="A700" s="54">
        <v>45385</v>
      </c>
      <c r="B700" s="25">
        <f t="shared" si="23"/>
        <v>4</v>
      </c>
      <c r="C700" s="25">
        <f t="shared" si="25"/>
        <v>2024</v>
      </c>
      <c r="D700" s="71" t="s">
        <v>92</v>
      </c>
      <c r="E700" s="4" t="s">
        <v>92</v>
      </c>
      <c r="F700" s="4"/>
      <c r="G700" s="4"/>
      <c r="H700" s="7" t="s">
        <v>92</v>
      </c>
      <c r="I700" s="60"/>
      <c r="J700" s="118"/>
      <c r="K700" s="118">
        <v>40000</v>
      </c>
      <c r="L700" s="118"/>
      <c r="M700" s="118"/>
      <c r="N700" s="127"/>
      <c r="O700" s="26"/>
    </row>
    <row r="701" spans="1:15" ht="15" customHeight="1" x14ac:dyDescent="0.25">
      <c r="A701" s="54">
        <v>45385</v>
      </c>
      <c r="B701" s="25">
        <f t="shared" si="23"/>
        <v>4</v>
      </c>
      <c r="C701" s="25">
        <f t="shared" si="25"/>
        <v>2024</v>
      </c>
      <c r="D701" s="71" t="s">
        <v>92</v>
      </c>
      <c r="E701" s="4" t="s">
        <v>92</v>
      </c>
      <c r="F701" s="4" t="s">
        <v>139</v>
      </c>
      <c r="G701" s="4"/>
      <c r="H701" s="7" t="s">
        <v>545</v>
      </c>
      <c r="I701" s="7"/>
      <c r="J701" s="118"/>
      <c r="K701" s="118">
        <v>2254.62</v>
      </c>
      <c r="L701" s="118"/>
      <c r="M701" s="118"/>
      <c r="N701" s="127"/>
      <c r="O701" s="26"/>
    </row>
    <row r="702" spans="1:15" ht="15" customHeight="1" x14ac:dyDescent="0.25">
      <c r="A702" s="54">
        <v>45385</v>
      </c>
      <c r="B702" s="25">
        <f t="shared" si="23"/>
        <v>4</v>
      </c>
      <c r="C702" s="25">
        <v>2024</v>
      </c>
      <c r="D702" s="71" t="s">
        <v>92</v>
      </c>
      <c r="E702" s="4" t="s">
        <v>92</v>
      </c>
      <c r="F702" s="4" t="s">
        <v>172</v>
      </c>
      <c r="G702" s="4"/>
      <c r="H702" s="7" t="s">
        <v>545</v>
      </c>
      <c r="I702" s="7"/>
      <c r="J702" s="118"/>
      <c r="K702" s="118">
        <v>187237.93</v>
      </c>
      <c r="L702" s="118"/>
      <c r="M702" s="118"/>
      <c r="N702" s="127"/>
      <c r="O702" s="26"/>
    </row>
    <row r="703" spans="1:15" ht="15" customHeight="1" x14ac:dyDescent="0.25">
      <c r="A703" s="54">
        <v>45385</v>
      </c>
      <c r="B703" s="25">
        <f t="shared" si="23"/>
        <v>4</v>
      </c>
      <c r="C703" s="25">
        <f t="shared" ref="C703:C766" si="26">YEAR((A703))</f>
        <v>2024</v>
      </c>
      <c r="D703" s="71" t="s">
        <v>92</v>
      </c>
      <c r="E703" s="11" t="s">
        <v>92</v>
      </c>
      <c r="F703" s="11" t="s">
        <v>630</v>
      </c>
      <c r="G703" s="11"/>
      <c r="H703" s="7" t="s">
        <v>545</v>
      </c>
      <c r="I703" s="7"/>
      <c r="J703" s="118"/>
      <c r="K703" s="118">
        <v>13100</v>
      </c>
      <c r="L703" s="118"/>
      <c r="M703" s="118"/>
      <c r="N703" s="127"/>
      <c r="O703" s="26"/>
    </row>
    <row r="704" spans="1:15" ht="15" customHeight="1" x14ac:dyDescent="0.25">
      <c r="A704" s="54">
        <v>45386</v>
      </c>
      <c r="B704" s="25">
        <f t="shared" si="23"/>
        <v>4</v>
      </c>
      <c r="C704" s="25">
        <f t="shared" si="26"/>
        <v>2024</v>
      </c>
      <c r="D704" s="71" t="s">
        <v>352</v>
      </c>
      <c r="E704" s="4" t="s">
        <v>93</v>
      </c>
      <c r="F704" s="4" t="s">
        <v>831</v>
      </c>
      <c r="G704" s="4"/>
      <c r="H704" s="7" t="s">
        <v>131</v>
      </c>
      <c r="I704" s="60"/>
      <c r="J704" s="118">
        <v>200000</v>
      </c>
      <c r="K704" s="118"/>
      <c r="L704" s="118"/>
      <c r="M704" s="118"/>
      <c r="N704" s="127"/>
      <c r="O704" s="26"/>
    </row>
    <row r="705" spans="1:15" ht="15" customHeight="1" x14ac:dyDescent="0.25">
      <c r="A705" s="54">
        <v>45386</v>
      </c>
      <c r="B705" s="25">
        <f t="shared" si="23"/>
        <v>4</v>
      </c>
      <c r="C705" s="25">
        <f t="shared" si="26"/>
        <v>2024</v>
      </c>
      <c r="D705" s="71" t="s">
        <v>352</v>
      </c>
      <c r="E705" s="11" t="s">
        <v>93</v>
      </c>
      <c r="F705" s="11" t="s">
        <v>831</v>
      </c>
      <c r="G705" s="11"/>
      <c r="H705" s="7" t="s">
        <v>130</v>
      </c>
      <c r="I705" s="60"/>
      <c r="J705" s="118">
        <v>51000</v>
      </c>
      <c r="K705" s="118"/>
      <c r="L705" s="118"/>
      <c r="M705" s="118"/>
      <c r="N705" s="127"/>
      <c r="O705" s="26"/>
    </row>
    <row r="706" spans="1:15" ht="15" customHeight="1" x14ac:dyDescent="0.25">
      <c r="A706" s="54">
        <v>45387</v>
      </c>
      <c r="B706" s="25">
        <f t="shared" si="23"/>
        <v>4</v>
      </c>
      <c r="C706" s="25">
        <f t="shared" si="26"/>
        <v>2024</v>
      </c>
      <c r="D706" s="71" t="s">
        <v>352</v>
      </c>
      <c r="E706" s="11" t="s">
        <v>93</v>
      </c>
      <c r="F706" s="11" t="s">
        <v>285</v>
      </c>
      <c r="G706" s="11"/>
      <c r="H706" s="7" t="s">
        <v>130</v>
      </c>
      <c r="I706" s="60"/>
      <c r="J706" s="118">
        <v>246560</v>
      </c>
      <c r="K706" s="118"/>
      <c r="L706" s="118"/>
      <c r="M706" s="118"/>
      <c r="N706" s="127"/>
      <c r="O706" s="26"/>
    </row>
    <row r="707" spans="1:15" ht="15" customHeight="1" x14ac:dyDescent="0.25">
      <c r="A707" s="54">
        <v>45387</v>
      </c>
      <c r="B707" s="25">
        <f t="shared" ref="B707:B770" si="27">MONTH(A707)</f>
        <v>4</v>
      </c>
      <c r="C707" s="25">
        <f t="shared" si="26"/>
        <v>2024</v>
      </c>
      <c r="D707" s="71" t="s">
        <v>124</v>
      </c>
      <c r="E707" s="11" t="s">
        <v>93</v>
      </c>
      <c r="F707" s="11"/>
      <c r="G707" s="11" t="s">
        <v>751</v>
      </c>
      <c r="H707" s="7" t="s">
        <v>130</v>
      </c>
      <c r="I707" s="60"/>
      <c r="J707" s="118"/>
      <c r="K707" s="118">
        <v>246560</v>
      </c>
      <c r="L707" s="118"/>
      <c r="M707" s="118"/>
      <c r="N707" s="127"/>
      <c r="O707" s="26"/>
    </row>
    <row r="708" spans="1:15" ht="15" customHeight="1" x14ac:dyDescent="0.25">
      <c r="A708" s="54">
        <v>45387</v>
      </c>
      <c r="B708" s="25">
        <f t="shared" si="27"/>
        <v>4</v>
      </c>
      <c r="C708" s="25">
        <f t="shared" si="26"/>
        <v>2024</v>
      </c>
      <c r="D708" s="71" t="s">
        <v>92</v>
      </c>
      <c r="E708" s="11" t="s">
        <v>92</v>
      </c>
      <c r="F708" s="11"/>
      <c r="G708" s="11"/>
      <c r="H708" s="7" t="s">
        <v>92</v>
      </c>
      <c r="I708" s="60"/>
      <c r="J708" s="118"/>
      <c r="K708" s="118">
        <v>16000</v>
      </c>
      <c r="L708" s="118"/>
      <c r="M708" s="118"/>
      <c r="N708" s="127"/>
      <c r="O708" s="26"/>
    </row>
    <row r="709" spans="1:15" ht="15" customHeight="1" x14ac:dyDescent="0.25">
      <c r="A709" s="54">
        <v>45387</v>
      </c>
      <c r="B709" s="25">
        <f t="shared" si="27"/>
        <v>4</v>
      </c>
      <c r="C709" s="25">
        <f t="shared" si="26"/>
        <v>2024</v>
      </c>
      <c r="D709" s="71" t="s">
        <v>626</v>
      </c>
      <c r="E709" s="11" t="s">
        <v>93</v>
      </c>
      <c r="F709" s="11"/>
      <c r="G709" s="11"/>
      <c r="H709" s="7" t="s">
        <v>130</v>
      </c>
      <c r="I709" s="60"/>
      <c r="J709" s="118"/>
      <c r="K709" s="118">
        <v>97000</v>
      </c>
      <c r="L709" s="118"/>
      <c r="M709" s="118"/>
      <c r="N709" s="127"/>
      <c r="O709" s="26"/>
    </row>
    <row r="710" spans="1:15" ht="15" customHeight="1" x14ac:dyDescent="0.25">
      <c r="A710" s="54">
        <v>45387</v>
      </c>
      <c r="B710" s="25">
        <f t="shared" si="27"/>
        <v>4</v>
      </c>
      <c r="C710" s="25">
        <f t="shared" si="26"/>
        <v>2024</v>
      </c>
      <c r="D710" s="71" t="s">
        <v>352</v>
      </c>
      <c r="E710" s="4" t="s">
        <v>93</v>
      </c>
      <c r="F710" s="4" t="s">
        <v>837</v>
      </c>
      <c r="G710" s="4"/>
      <c r="H710" s="7" t="s">
        <v>545</v>
      </c>
      <c r="I710" s="60"/>
      <c r="J710" s="118">
        <v>435000</v>
      </c>
      <c r="K710" s="118"/>
      <c r="L710" s="118"/>
      <c r="M710" s="118"/>
      <c r="N710" s="127">
        <v>45391</v>
      </c>
      <c r="O710" s="26">
        <v>406103.38</v>
      </c>
    </row>
    <row r="711" spans="1:15" ht="15" customHeight="1" x14ac:dyDescent="0.25">
      <c r="A711" s="54">
        <v>45387</v>
      </c>
      <c r="B711" s="25">
        <f t="shared" si="27"/>
        <v>4</v>
      </c>
      <c r="C711" s="25">
        <f t="shared" si="26"/>
        <v>2024</v>
      </c>
      <c r="D711" s="71" t="s">
        <v>352</v>
      </c>
      <c r="E711" s="4" t="s">
        <v>93</v>
      </c>
      <c r="F711" s="4" t="s">
        <v>839</v>
      </c>
      <c r="G711" s="4"/>
      <c r="H711" s="7" t="s">
        <v>130</v>
      </c>
      <c r="I711" s="60"/>
      <c r="J711" s="118">
        <v>65000</v>
      </c>
      <c r="K711" s="118"/>
      <c r="L711" s="118"/>
      <c r="M711" s="118"/>
      <c r="N711" s="127"/>
      <c r="O711" s="26"/>
    </row>
    <row r="712" spans="1:15" ht="15" customHeight="1" x14ac:dyDescent="0.25">
      <c r="A712" s="54">
        <v>45388</v>
      </c>
      <c r="B712" s="25">
        <f t="shared" si="27"/>
        <v>4</v>
      </c>
      <c r="C712" s="25">
        <f t="shared" si="26"/>
        <v>2024</v>
      </c>
      <c r="D712" s="71" t="s">
        <v>352</v>
      </c>
      <c r="E712" s="4" t="s">
        <v>93</v>
      </c>
      <c r="F712" s="4" t="s">
        <v>564</v>
      </c>
      <c r="G712" s="4"/>
      <c r="H712" s="7" t="s">
        <v>130</v>
      </c>
      <c r="I712" s="60"/>
      <c r="J712" s="118">
        <v>181000</v>
      </c>
      <c r="K712" s="118"/>
      <c r="L712" s="118"/>
      <c r="M712" s="118"/>
      <c r="N712" s="127"/>
      <c r="O712" s="26"/>
    </row>
    <row r="713" spans="1:15" ht="15" customHeight="1" x14ac:dyDescent="0.25">
      <c r="A713" s="54">
        <v>45388</v>
      </c>
      <c r="B713" s="25">
        <f t="shared" si="27"/>
        <v>4</v>
      </c>
      <c r="C713" s="25">
        <f t="shared" si="26"/>
        <v>2024</v>
      </c>
      <c r="D713" s="71" t="s">
        <v>689</v>
      </c>
      <c r="E713" s="4" t="s">
        <v>93</v>
      </c>
      <c r="F713" s="4" t="s">
        <v>169</v>
      </c>
      <c r="G713" s="4"/>
      <c r="H713" s="7" t="s">
        <v>130</v>
      </c>
      <c r="I713" s="60"/>
      <c r="J713" s="118"/>
      <c r="K713" s="118">
        <v>130000</v>
      </c>
      <c r="L713" s="118"/>
      <c r="M713" s="118"/>
      <c r="N713" s="127"/>
      <c r="O713" s="26"/>
    </row>
    <row r="714" spans="1:15" ht="15" customHeight="1" x14ac:dyDescent="0.25">
      <c r="A714" s="54">
        <v>45390</v>
      </c>
      <c r="B714" s="25">
        <f t="shared" si="27"/>
        <v>4</v>
      </c>
      <c r="C714" s="25">
        <f t="shared" si="26"/>
        <v>2024</v>
      </c>
      <c r="D714" s="71" t="s">
        <v>352</v>
      </c>
      <c r="E714" s="4" t="s">
        <v>93</v>
      </c>
      <c r="F714" s="4" t="s">
        <v>654</v>
      </c>
      <c r="G714" s="4"/>
      <c r="H714" s="7" t="s">
        <v>131</v>
      </c>
      <c r="I714" s="60"/>
      <c r="J714" s="118">
        <v>62000</v>
      </c>
      <c r="K714" s="118"/>
      <c r="L714" s="118"/>
      <c r="M714" s="118"/>
      <c r="N714" s="127"/>
      <c r="O714" s="26"/>
    </row>
    <row r="715" spans="1:15" ht="15" customHeight="1" x14ac:dyDescent="0.25">
      <c r="A715" s="54">
        <v>45390</v>
      </c>
      <c r="B715" s="25">
        <f t="shared" si="27"/>
        <v>4</v>
      </c>
      <c r="C715" s="25">
        <f t="shared" si="26"/>
        <v>2024</v>
      </c>
      <c r="D715" s="71" t="s">
        <v>352</v>
      </c>
      <c r="E715" s="11" t="s">
        <v>93</v>
      </c>
      <c r="F715" s="11" t="s">
        <v>512</v>
      </c>
      <c r="G715" s="11"/>
      <c r="H715" s="7" t="s">
        <v>131</v>
      </c>
      <c r="I715" s="60"/>
      <c r="J715" s="118">
        <v>6808.41</v>
      </c>
      <c r="K715" s="118"/>
      <c r="L715" s="118"/>
      <c r="M715" s="118"/>
      <c r="N715" s="127"/>
      <c r="O715" s="26"/>
    </row>
    <row r="716" spans="1:15" ht="15" customHeight="1" x14ac:dyDescent="0.25">
      <c r="A716" s="54">
        <v>45390</v>
      </c>
      <c r="B716" s="25">
        <f t="shared" si="27"/>
        <v>4</v>
      </c>
      <c r="C716" s="25">
        <f t="shared" si="26"/>
        <v>2024</v>
      </c>
      <c r="D716" s="71" t="s">
        <v>124</v>
      </c>
      <c r="E716" s="4" t="s">
        <v>93</v>
      </c>
      <c r="F716" s="4" t="s">
        <v>834</v>
      </c>
      <c r="G716" s="4"/>
      <c r="H716" s="7" t="s">
        <v>130</v>
      </c>
      <c r="I716" s="60"/>
      <c r="J716" s="118"/>
      <c r="K716" s="118">
        <v>12430</v>
      </c>
      <c r="L716" s="118"/>
      <c r="M716" s="118" t="s">
        <v>954</v>
      </c>
      <c r="N716" s="127"/>
      <c r="O716" s="26"/>
    </row>
    <row r="717" spans="1:15" ht="15" customHeight="1" x14ac:dyDescent="0.25">
      <c r="A717" s="54">
        <v>45390</v>
      </c>
      <c r="B717" s="25">
        <f t="shared" si="27"/>
        <v>4</v>
      </c>
      <c r="C717" s="25">
        <f t="shared" si="26"/>
        <v>2024</v>
      </c>
      <c r="D717" s="71" t="s">
        <v>352</v>
      </c>
      <c r="E717" s="4" t="s">
        <v>93</v>
      </c>
      <c r="F717" s="4" t="s">
        <v>641</v>
      </c>
      <c r="G717" s="4"/>
      <c r="H717" s="7" t="s">
        <v>130</v>
      </c>
      <c r="I717" s="60"/>
      <c r="J717" s="118">
        <v>165000</v>
      </c>
      <c r="K717" s="118"/>
      <c r="L717" s="118"/>
      <c r="M717" s="118"/>
      <c r="N717" s="127"/>
      <c r="O717" s="26"/>
    </row>
    <row r="718" spans="1:15" ht="15" customHeight="1" x14ac:dyDescent="0.25">
      <c r="A718" s="54">
        <v>45391</v>
      </c>
      <c r="B718" s="25">
        <f t="shared" si="27"/>
        <v>4</v>
      </c>
      <c r="C718" s="25">
        <f t="shared" si="26"/>
        <v>2024</v>
      </c>
      <c r="D718" s="71" t="s">
        <v>352</v>
      </c>
      <c r="E718" s="4" t="s">
        <v>93</v>
      </c>
      <c r="F718" s="4" t="s">
        <v>809</v>
      </c>
      <c r="G718" s="4"/>
      <c r="H718" s="7" t="s">
        <v>130</v>
      </c>
      <c r="I718" s="60"/>
      <c r="J718" s="118">
        <v>200000</v>
      </c>
      <c r="K718" s="118"/>
      <c r="L718" s="118"/>
      <c r="M718" s="118"/>
      <c r="N718" s="127"/>
      <c r="O718" s="26"/>
    </row>
    <row r="719" spans="1:15" ht="15" customHeight="1" x14ac:dyDescent="0.25">
      <c r="A719" s="54">
        <v>45391</v>
      </c>
      <c r="B719" s="25">
        <f t="shared" si="27"/>
        <v>4</v>
      </c>
      <c r="C719" s="25">
        <f t="shared" si="26"/>
        <v>2024</v>
      </c>
      <c r="D719" s="71" t="s">
        <v>352</v>
      </c>
      <c r="E719" s="11" t="s">
        <v>93</v>
      </c>
      <c r="F719" s="11" t="s">
        <v>576</v>
      </c>
      <c r="G719" s="11"/>
      <c r="H719" s="7" t="s">
        <v>545</v>
      </c>
      <c r="I719" s="60"/>
      <c r="J719" s="118">
        <v>42000</v>
      </c>
      <c r="K719" s="118"/>
      <c r="L719" s="118"/>
      <c r="M719" s="118"/>
      <c r="N719" s="127"/>
      <c r="O719" s="26"/>
    </row>
    <row r="720" spans="1:15" ht="15" customHeight="1" x14ac:dyDescent="0.25">
      <c r="A720" s="54">
        <v>45391</v>
      </c>
      <c r="B720" s="25">
        <f t="shared" si="27"/>
        <v>4</v>
      </c>
      <c r="C720" s="25">
        <f t="shared" si="26"/>
        <v>2024</v>
      </c>
      <c r="D720" s="71" t="s">
        <v>352</v>
      </c>
      <c r="E720" s="11" t="s">
        <v>93</v>
      </c>
      <c r="F720" s="11" t="s">
        <v>830</v>
      </c>
      <c r="G720" s="11"/>
      <c r="H720" s="7" t="s">
        <v>130</v>
      </c>
      <c r="I720" s="60"/>
      <c r="J720" s="118">
        <v>404900</v>
      </c>
      <c r="K720" s="118"/>
      <c r="L720" s="118"/>
      <c r="M720" s="118"/>
      <c r="N720" s="127"/>
      <c r="O720" s="26"/>
    </row>
    <row r="721" spans="1:15" ht="15" customHeight="1" x14ac:dyDescent="0.25">
      <c r="A721" s="54">
        <v>45391</v>
      </c>
      <c r="B721" s="25">
        <f t="shared" si="27"/>
        <v>4</v>
      </c>
      <c r="C721" s="25">
        <f t="shared" si="26"/>
        <v>2024</v>
      </c>
      <c r="D721" s="71" t="s">
        <v>124</v>
      </c>
      <c r="E721" s="11" t="s">
        <v>93</v>
      </c>
      <c r="F721" s="11" t="s">
        <v>840</v>
      </c>
      <c r="G721" s="11"/>
      <c r="H721" s="7" t="s">
        <v>131</v>
      </c>
      <c r="I721" s="60"/>
      <c r="J721" s="118"/>
      <c r="K721" s="118">
        <v>200000</v>
      </c>
      <c r="L721" s="118"/>
      <c r="M721" s="118"/>
      <c r="N721" s="127"/>
      <c r="O721" s="26"/>
    </row>
    <row r="722" spans="1:15" ht="15" customHeight="1" x14ac:dyDescent="0.25">
      <c r="A722" s="54">
        <v>45391</v>
      </c>
      <c r="B722" s="25">
        <f t="shared" si="27"/>
        <v>4</v>
      </c>
      <c r="C722" s="25">
        <f t="shared" si="26"/>
        <v>2024</v>
      </c>
      <c r="D722" s="71" t="s">
        <v>124</v>
      </c>
      <c r="E722" s="11" t="s">
        <v>93</v>
      </c>
      <c r="F722" s="11" t="s">
        <v>840</v>
      </c>
      <c r="G722" s="11"/>
      <c r="H722" s="7" t="s">
        <v>131</v>
      </c>
      <c r="I722" s="60"/>
      <c r="J722" s="118"/>
      <c r="K722" s="118">
        <v>30000</v>
      </c>
      <c r="L722" s="118"/>
      <c r="M722" s="118"/>
      <c r="N722" s="127"/>
      <c r="O722" s="26"/>
    </row>
    <row r="723" spans="1:15" ht="15" customHeight="1" x14ac:dyDescent="0.25">
      <c r="A723" s="54">
        <v>45391</v>
      </c>
      <c r="B723" s="25">
        <f t="shared" si="27"/>
        <v>4</v>
      </c>
      <c r="C723" s="25">
        <f t="shared" si="26"/>
        <v>2024</v>
      </c>
      <c r="D723" s="71" t="s">
        <v>149</v>
      </c>
      <c r="E723" s="11" t="s">
        <v>93</v>
      </c>
      <c r="F723" s="11" t="s">
        <v>841</v>
      </c>
      <c r="G723" s="11"/>
      <c r="H723" s="7" t="s">
        <v>130</v>
      </c>
      <c r="I723" s="60"/>
      <c r="J723" s="118"/>
      <c r="K723" s="118">
        <v>375100</v>
      </c>
      <c r="L723" s="118"/>
      <c r="M723" s="118"/>
      <c r="N723" s="127"/>
      <c r="O723" s="26"/>
    </row>
    <row r="724" spans="1:15" ht="15" customHeight="1" x14ac:dyDescent="0.25">
      <c r="A724" s="54">
        <v>45391</v>
      </c>
      <c r="B724" s="25">
        <f t="shared" si="27"/>
        <v>4</v>
      </c>
      <c r="C724" s="25">
        <f t="shared" si="26"/>
        <v>2024</v>
      </c>
      <c r="D724" s="71" t="s">
        <v>109</v>
      </c>
      <c r="E724" s="4" t="s">
        <v>93</v>
      </c>
      <c r="F724" s="4" t="s">
        <v>145</v>
      </c>
      <c r="G724" s="4"/>
      <c r="H724" s="7" t="s">
        <v>130</v>
      </c>
      <c r="I724" s="60"/>
      <c r="J724" s="118"/>
      <c r="K724" s="118">
        <v>46220</v>
      </c>
      <c r="L724" s="118"/>
      <c r="M724" s="118"/>
      <c r="N724" s="127"/>
      <c r="O724" s="26"/>
    </row>
    <row r="725" spans="1:15" ht="15" customHeight="1" x14ac:dyDescent="0.25">
      <c r="A725" s="54">
        <v>45392</v>
      </c>
      <c r="B725" s="25">
        <f t="shared" si="27"/>
        <v>4</v>
      </c>
      <c r="C725" s="25">
        <f t="shared" si="26"/>
        <v>2024</v>
      </c>
      <c r="D725" s="71" t="s">
        <v>352</v>
      </c>
      <c r="E725" s="4" t="s">
        <v>93</v>
      </c>
      <c r="F725" s="4" t="s">
        <v>811</v>
      </c>
      <c r="G725" s="4"/>
      <c r="H725" s="7" t="s">
        <v>130</v>
      </c>
      <c r="I725" s="60"/>
      <c r="J725" s="118">
        <v>101000</v>
      </c>
      <c r="K725" s="118"/>
      <c r="L725" s="118"/>
      <c r="M725" s="118"/>
      <c r="N725" s="127"/>
      <c r="O725" s="26"/>
    </row>
    <row r="726" spans="1:15" ht="15" customHeight="1" x14ac:dyDescent="0.25">
      <c r="A726" s="54">
        <v>45392</v>
      </c>
      <c r="B726" s="25">
        <f t="shared" si="27"/>
        <v>4</v>
      </c>
      <c r="C726" s="25">
        <f t="shared" si="26"/>
        <v>2024</v>
      </c>
      <c r="D726" s="71" t="s">
        <v>92</v>
      </c>
      <c r="E726" s="4" t="s">
        <v>92</v>
      </c>
      <c r="F726" s="4"/>
      <c r="G726" s="4"/>
      <c r="H726" s="7" t="s">
        <v>92</v>
      </c>
      <c r="I726" s="60"/>
      <c r="J726" s="118"/>
      <c r="K726" s="118">
        <v>190000</v>
      </c>
      <c r="L726" s="118"/>
      <c r="M726" s="118"/>
      <c r="N726" s="127"/>
      <c r="O726" s="26"/>
    </row>
    <row r="727" spans="1:15" ht="15" customHeight="1" x14ac:dyDescent="0.25">
      <c r="A727" s="54">
        <v>45392</v>
      </c>
      <c r="B727" s="25">
        <f t="shared" si="27"/>
        <v>4</v>
      </c>
      <c r="C727" s="25">
        <f t="shared" si="26"/>
        <v>2024</v>
      </c>
      <c r="D727" s="71" t="s">
        <v>352</v>
      </c>
      <c r="E727" s="4" t="s">
        <v>93</v>
      </c>
      <c r="F727" s="4" t="s">
        <v>726</v>
      </c>
      <c r="G727" s="4"/>
      <c r="H727" s="7" t="s">
        <v>130</v>
      </c>
      <c r="I727" s="60"/>
      <c r="J727" s="118">
        <v>247300</v>
      </c>
      <c r="K727" s="118"/>
      <c r="L727" s="118"/>
      <c r="M727" s="118"/>
      <c r="N727" s="127"/>
      <c r="O727" s="26"/>
    </row>
    <row r="728" spans="1:15" ht="15" customHeight="1" x14ac:dyDescent="0.25">
      <c r="A728" s="54">
        <v>45392</v>
      </c>
      <c r="B728" s="25">
        <f t="shared" si="27"/>
        <v>4</v>
      </c>
      <c r="C728" s="25">
        <f t="shared" si="26"/>
        <v>2024</v>
      </c>
      <c r="D728" s="71" t="s">
        <v>250</v>
      </c>
      <c r="E728" s="11" t="s">
        <v>93</v>
      </c>
      <c r="F728" s="11"/>
      <c r="G728" s="11"/>
      <c r="H728" s="7" t="s">
        <v>545</v>
      </c>
      <c r="I728" s="60"/>
      <c r="J728" s="118"/>
      <c r="K728" s="118">
        <v>29000</v>
      </c>
      <c r="L728" s="118"/>
      <c r="M728" s="118"/>
      <c r="N728" s="127"/>
      <c r="O728" s="26"/>
    </row>
    <row r="729" spans="1:15" ht="15" customHeight="1" x14ac:dyDescent="0.25">
      <c r="A729" s="54">
        <v>45392</v>
      </c>
      <c r="B729" s="25">
        <f t="shared" si="27"/>
        <v>4</v>
      </c>
      <c r="C729" s="25">
        <f t="shared" si="26"/>
        <v>2024</v>
      </c>
      <c r="D729" s="71" t="s">
        <v>502</v>
      </c>
      <c r="E729" s="4" t="s">
        <v>93</v>
      </c>
      <c r="F729" s="4"/>
      <c r="G729" s="4"/>
      <c r="H729" s="7" t="s">
        <v>545</v>
      </c>
      <c r="I729" s="60"/>
      <c r="J729" s="118"/>
      <c r="K729" s="118">
        <v>29300</v>
      </c>
      <c r="L729" s="118"/>
      <c r="M729" s="118"/>
      <c r="N729" s="127"/>
      <c r="O729" s="26"/>
    </row>
    <row r="730" spans="1:15" ht="15" customHeight="1" x14ac:dyDescent="0.25">
      <c r="A730" s="54">
        <v>45393</v>
      </c>
      <c r="B730" s="25">
        <f t="shared" si="27"/>
        <v>4</v>
      </c>
      <c r="C730" s="25">
        <f t="shared" si="26"/>
        <v>2024</v>
      </c>
      <c r="D730" s="71" t="s">
        <v>124</v>
      </c>
      <c r="E730" s="4" t="s">
        <v>93</v>
      </c>
      <c r="F730" s="4" t="s">
        <v>844</v>
      </c>
      <c r="G730" s="4"/>
      <c r="H730" s="7" t="s">
        <v>131</v>
      </c>
      <c r="I730" s="60"/>
      <c r="J730" s="118"/>
      <c r="K730" s="118">
        <v>89500</v>
      </c>
      <c r="L730" s="118"/>
      <c r="M730" s="118"/>
      <c r="N730" s="127"/>
      <c r="O730" s="26"/>
    </row>
    <row r="731" spans="1:15" ht="15" customHeight="1" x14ac:dyDescent="0.25">
      <c r="A731" s="54">
        <v>45393</v>
      </c>
      <c r="B731" s="25">
        <f t="shared" si="27"/>
        <v>4</v>
      </c>
      <c r="C731" s="25">
        <f t="shared" si="26"/>
        <v>2024</v>
      </c>
      <c r="D731" s="71" t="s">
        <v>89</v>
      </c>
      <c r="E731" s="4" t="s">
        <v>93</v>
      </c>
      <c r="F731" s="4" t="s">
        <v>813</v>
      </c>
      <c r="G731" s="4"/>
      <c r="H731" s="7" t="s">
        <v>130</v>
      </c>
      <c r="I731" s="60"/>
      <c r="J731" s="118">
        <v>75000</v>
      </c>
      <c r="K731" s="118"/>
      <c r="L731" s="118"/>
      <c r="M731" s="118"/>
      <c r="N731" s="127"/>
      <c r="O731" s="26"/>
    </row>
    <row r="732" spans="1:15" ht="15" customHeight="1" x14ac:dyDescent="0.25">
      <c r="A732" s="54">
        <v>45393</v>
      </c>
      <c r="B732" s="25">
        <f t="shared" si="27"/>
        <v>4</v>
      </c>
      <c r="C732" s="25">
        <f t="shared" si="26"/>
        <v>2024</v>
      </c>
      <c r="D732" s="71" t="s">
        <v>352</v>
      </c>
      <c r="E732" s="170" t="s">
        <v>93</v>
      </c>
      <c r="F732" s="170" t="s">
        <v>546</v>
      </c>
      <c r="G732" s="170"/>
      <c r="H732" s="7" t="s">
        <v>131</v>
      </c>
      <c r="I732" s="60"/>
      <c r="J732" s="118">
        <v>30000</v>
      </c>
      <c r="K732" s="118"/>
      <c r="L732" s="118"/>
      <c r="M732" s="118"/>
      <c r="N732" s="127"/>
      <c r="O732" s="26"/>
    </row>
    <row r="733" spans="1:15" ht="15" customHeight="1" x14ac:dyDescent="0.25">
      <c r="A733" s="54">
        <v>45393</v>
      </c>
      <c r="B733" s="25">
        <f t="shared" si="27"/>
        <v>4</v>
      </c>
      <c r="C733" s="25">
        <f t="shared" si="26"/>
        <v>2024</v>
      </c>
      <c r="D733" s="71" t="s">
        <v>352</v>
      </c>
      <c r="E733" s="11" t="s">
        <v>93</v>
      </c>
      <c r="F733" s="11" t="s">
        <v>845</v>
      </c>
      <c r="G733" s="11"/>
      <c r="H733" s="7" t="s">
        <v>545</v>
      </c>
      <c r="I733" s="60"/>
      <c r="J733" s="118">
        <v>160600</v>
      </c>
      <c r="K733" s="118"/>
      <c r="L733" s="118"/>
      <c r="M733" s="118"/>
      <c r="N733" s="127"/>
      <c r="O733" s="26"/>
    </row>
    <row r="734" spans="1:15" s="16" customFormat="1" ht="15" customHeight="1" x14ac:dyDescent="0.25">
      <c r="A734" s="54">
        <v>45394</v>
      </c>
      <c r="B734" s="25">
        <f t="shared" si="27"/>
        <v>4</v>
      </c>
      <c r="C734" s="25">
        <f t="shared" si="26"/>
        <v>2024</v>
      </c>
      <c r="D734" s="71" t="s">
        <v>89</v>
      </c>
      <c r="E734" s="170" t="s">
        <v>93</v>
      </c>
      <c r="F734" s="170" t="s">
        <v>846</v>
      </c>
      <c r="G734" s="170"/>
      <c r="H734" s="7" t="s">
        <v>130</v>
      </c>
      <c r="I734" s="60"/>
      <c r="J734" s="118">
        <v>200000</v>
      </c>
      <c r="K734" s="118"/>
      <c r="L734" s="118"/>
      <c r="M734" s="118"/>
      <c r="N734" s="127"/>
      <c r="O734" s="26"/>
    </row>
    <row r="735" spans="1:15" ht="15" customHeight="1" x14ac:dyDescent="0.25">
      <c r="A735" s="54">
        <v>45394</v>
      </c>
      <c r="B735" s="25">
        <f t="shared" si="27"/>
        <v>4</v>
      </c>
      <c r="C735" s="25">
        <f t="shared" si="26"/>
        <v>2024</v>
      </c>
      <c r="D735" s="71" t="s">
        <v>149</v>
      </c>
      <c r="E735" s="170" t="s">
        <v>93</v>
      </c>
      <c r="F735" s="170" t="s">
        <v>593</v>
      </c>
      <c r="G735" s="170"/>
      <c r="H735" s="7" t="s">
        <v>130</v>
      </c>
      <c r="I735" s="60"/>
      <c r="J735" s="118"/>
      <c r="K735" s="118">
        <v>120000</v>
      </c>
      <c r="L735" s="118"/>
      <c r="M735" s="118"/>
      <c r="N735" s="127"/>
      <c r="O735" s="26"/>
    </row>
    <row r="736" spans="1:15" ht="15" customHeight="1" x14ac:dyDescent="0.25">
      <c r="A736" s="54">
        <v>45394</v>
      </c>
      <c r="B736" s="25">
        <f t="shared" si="27"/>
        <v>4</v>
      </c>
      <c r="C736" s="25">
        <f t="shared" si="26"/>
        <v>2024</v>
      </c>
      <c r="D736" s="71" t="s">
        <v>89</v>
      </c>
      <c r="E736" s="170" t="s">
        <v>93</v>
      </c>
      <c r="F736" s="170" t="s">
        <v>847</v>
      </c>
      <c r="G736" s="170"/>
      <c r="H736" s="7" t="s">
        <v>545</v>
      </c>
      <c r="I736" s="60"/>
      <c r="J736" s="118">
        <v>562100</v>
      </c>
      <c r="K736" s="118"/>
      <c r="L736" s="118"/>
      <c r="M736" s="118"/>
      <c r="N736" s="127"/>
      <c r="O736" s="26"/>
    </row>
    <row r="737" spans="1:15" ht="15" customHeight="1" x14ac:dyDescent="0.25">
      <c r="A737" s="54">
        <v>45394</v>
      </c>
      <c r="B737" s="25">
        <f t="shared" si="27"/>
        <v>4</v>
      </c>
      <c r="C737" s="25">
        <f t="shared" si="26"/>
        <v>2024</v>
      </c>
      <c r="D737" s="71" t="s">
        <v>626</v>
      </c>
      <c r="E737" s="170" t="s">
        <v>93</v>
      </c>
      <c r="F737" s="170"/>
      <c r="G737" s="170"/>
      <c r="H737" s="7" t="s">
        <v>130</v>
      </c>
      <c r="I737" s="60"/>
      <c r="J737" s="118"/>
      <c r="K737" s="118">
        <v>97000</v>
      </c>
      <c r="L737" s="118"/>
      <c r="M737" s="118"/>
      <c r="N737" s="127"/>
      <c r="O737" s="26"/>
    </row>
    <row r="738" spans="1:15" ht="15" customHeight="1" x14ac:dyDescent="0.25">
      <c r="A738" s="54">
        <v>45394</v>
      </c>
      <c r="B738" s="25">
        <f t="shared" si="27"/>
        <v>4</v>
      </c>
      <c r="C738" s="25">
        <f t="shared" si="26"/>
        <v>2024</v>
      </c>
      <c r="D738" s="71" t="s">
        <v>689</v>
      </c>
      <c r="E738" s="11" t="s">
        <v>93</v>
      </c>
      <c r="F738" s="11" t="s">
        <v>169</v>
      </c>
      <c r="G738" s="11"/>
      <c r="H738" s="7" t="s">
        <v>130</v>
      </c>
      <c r="I738" s="60"/>
      <c r="J738" s="118"/>
      <c r="K738" s="118">
        <v>130000</v>
      </c>
      <c r="L738" s="118"/>
      <c r="M738" s="118"/>
      <c r="N738" s="127"/>
      <c r="O738" s="26"/>
    </row>
    <row r="739" spans="1:15" ht="15" customHeight="1" x14ac:dyDescent="0.25">
      <c r="A739" s="66">
        <v>45397</v>
      </c>
      <c r="B739" s="77">
        <f t="shared" si="27"/>
        <v>4</v>
      </c>
      <c r="C739" s="77">
        <f t="shared" si="26"/>
        <v>2024</v>
      </c>
      <c r="D739" s="74" t="s">
        <v>352</v>
      </c>
      <c r="E739" s="156" t="s">
        <v>93</v>
      </c>
      <c r="F739" s="156" t="s">
        <v>204</v>
      </c>
      <c r="G739" s="156"/>
      <c r="H739" s="14" t="s">
        <v>131</v>
      </c>
      <c r="I739" s="14"/>
      <c r="J739" s="118">
        <v>233814.72</v>
      </c>
      <c r="K739" s="118"/>
      <c r="L739" s="118"/>
      <c r="M739" s="118"/>
      <c r="N739" s="127"/>
      <c r="O739" s="143"/>
    </row>
    <row r="740" spans="1:15" ht="15" customHeight="1" x14ac:dyDescent="0.25">
      <c r="A740" s="54">
        <v>45397</v>
      </c>
      <c r="B740" s="25">
        <f t="shared" si="27"/>
        <v>4</v>
      </c>
      <c r="C740" s="25">
        <f t="shared" si="26"/>
        <v>2024</v>
      </c>
      <c r="D740" s="71" t="s">
        <v>92</v>
      </c>
      <c r="E740" s="11" t="s">
        <v>92</v>
      </c>
      <c r="F740" s="11" t="s">
        <v>296</v>
      </c>
      <c r="G740" s="11"/>
      <c r="H740" s="7" t="s">
        <v>92</v>
      </c>
      <c r="I740" s="7"/>
      <c r="J740" s="118"/>
      <c r="K740" s="118">
        <v>348964</v>
      </c>
      <c r="L740" s="118"/>
      <c r="M740" s="118"/>
      <c r="N740" s="127"/>
      <c r="O740" s="26"/>
    </row>
    <row r="741" spans="1:15" ht="15" customHeight="1" x14ac:dyDescent="0.25">
      <c r="A741" s="54">
        <v>45398</v>
      </c>
      <c r="B741" s="25">
        <f t="shared" si="27"/>
        <v>4</v>
      </c>
      <c r="C741" s="25">
        <f t="shared" si="26"/>
        <v>2024</v>
      </c>
      <c r="D741" s="71" t="s">
        <v>89</v>
      </c>
      <c r="E741" s="11" t="s">
        <v>93</v>
      </c>
      <c r="F741" s="11" t="s">
        <v>848</v>
      </c>
      <c r="G741" s="11"/>
      <c r="H741" s="7" t="s">
        <v>130</v>
      </c>
      <c r="I741" s="7"/>
      <c r="J741" s="118">
        <v>332375</v>
      </c>
      <c r="K741" s="118"/>
      <c r="L741" s="118"/>
      <c r="M741" s="118"/>
      <c r="N741" s="127"/>
      <c r="O741" s="26"/>
    </row>
    <row r="742" spans="1:15" ht="15" customHeight="1" x14ac:dyDescent="0.25">
      <c r="A742" s="54">
        <v>45398</v>
      </c>
      <c r="B742" s="25">
        <f t="shared" si="27"/>
        <v>4</v>
      </c>
      <c r="C742" s="25">
        <f t="shared" si="26"/>
        <v>2024</v>
      </c>
      <c r="D742" s="71" t="s">
        <v>110</v>
      </c>
      <c r="E742" s="11" t="s">
        <v>93</v>
      </c>
      <c r="F742" s="11" t="s">
        <v>836</v>
      </c>
      <c r="G742" s="11"/>
      <c r="H742" s="7" t="s">
        <v>131</v>
      </c>
      <c r="I742" s="7"/>
      <c r="J742" s="118">
        <v>16000</v>
      </c>
      <c r="K742" s="118"/>
      <c r="L742" s="118"/>
      <c r="M742" s="118"/>
      <c r="N742" s="127"/>
      <c r="O742" s="26"/>
    </row>
    <row r="743" spans="1:15" ht="15" customHeight="1" x14ac:dyDescent="0.25">
      <c r="A743" s="54">
        <v>45398</v>
      </c>
      <c r="B743" s="25">
        <f t="shared" si="27"/>
        <v>4</v>
      </c>
      <c r="C743" s="25">
        <f t="shared" si="26"/>
        <v>2024</v>
      </c>
      <c r="D743" s="71" t="s">
        <v>352</v>
      </c>
      <c r="E743" s="11" t="s">
        <v>93</v>
      </c>
      <c r="F743" s="11" t="s">
        <v>560</v>
      </c>
      <c r="G743" s="11"/>
      <c r="H743" s="7" t="s">
        <v>130</v>
      </c>
      <c r="I743" s="7"/>
      <c r="J743" s="118">
        <v>67000</v>
      </c>
      <c r="K743" s="118"/>
      <c r="L743" s="118"/>
      <c r="M743" s="118"/>
      <c r="N743" s="127"/>
      <c r="O743" s="26"/>
    </row>
    <row r="744" spans="1:15" ht="15" customHeight="1" x14ac:dyDescent="0.25">
      <c r="A744" s="54">
        <v>45399</v>
      </c>
      <c r="B744" s="25">
        <f t="shared" si="27"/>
        <v>4</v>
      </c>
      <c r="C744" s="25">
        <f t="shared" si="26"/>
        <v>2024</v>
      </c>
      <c r="D744" s="71" t="s">
        <v>352</v>
      </c>
      <c r="E744" s="170" t="s">
        <v>93</v>
      </c>
      <c r="F744" s="170" t="s">
        <v>639</v>
      </c>
      <c r="G744" s="170"/>
      <c r="H744" s="7" t="s">
        <v>130</v>
      </c>
      <c r="I744" s="7"/>
      <c r="J744" s="118">
        <v>68000</v>
      </c>
      <c r="K744" s="118"/>
      <c r="L744" s="118"/>
      <c r="M744" s="118"/>
      <c r="N744" s="127"/>
      <c r="O744" s="26"/>
    </row>
    <row r="745" spans="1:15" ht="15" customHeight="1" x14ac:dyDescent="0.25">
      <c r="A745" s="54">
        <v>45400</v>
      </c>
      <c r="B745" s="25">
        <f t="shared" si="27"/>
        <v>4</v>
      </c>
      <c r="C745" s="25">
        <f t="shared" si="26"/>
        <v>2024</v>
      </c>
      <c r="D745" s="71" t="s">
        <v>124</v>
      </c>
      <c r="E745" s="170" t="s">
        <v>93</v>
      </c>
      <c r="F745" s="170" t="s">
        <v>826</v>
      </c>
      <c r="G745" s="170"/>
      <c r="H745" s="7" t="s">
        <v>131</v>
      </c>
      <c r="I745" s="7"/>
      <c r="J745" s="118"/>
      <c r="K745" s="118">
        <v>16000</v>
      </c>
      <c r="L745" s="118"/>
      <c r="M745" s="118"/>
      <c r="N745" s="127"/>
      <c r="O745" s="26"/>
    </row>
    <row r="746" spans="1:15" ht="15" customHeight="1" x14ac:dyDescent="0.25">
      <c r="A746" s="54">
        <v>45400</v>
      </c>
      <c r="B746" s="25">
        <f t="shared" si="27"/>
        <v>4</v>
      </c>
      <c r="C746" s="25">
        <f t="shared" si="26"/>
        <v>2024</v>
      </c>
      <c r="D746" s="71" t="s">
        <v>352</v>
      </c>
      <c r="E746" s="11" t="s">
        <v>93</v>
      </c>
      <c r="F746" s="11" t="s">
        <v>453</v>
      </c>
      <c r="G746" s="11"/>
      <c r="H746" s="7" t="s">
        <v>131</v>
      </c>
      <c r="I746" s="7"/>
      <c r="J746" s="118">
        <v>178000</v>
      </c>
      <c r="K746" s="118"/>
      <c r="L746" s="118"/>
      <c r="M746" s="118"/>
      <c r="N746" s="127"/>
      <c r="O746" s="26"/>
    </row>
    <row r="747" spans="1:15" ht="15" customHeight="1" x14ac:dyDescent="0.25">
      <c r="A747" s="54">
        <v>45400</v>
      </c>
      <c r="B747" s="25">
        <f t="shared" si="27"/>
        <v>4</v>
      </c>
      <c r="C747" s="25">
        <f t="shared" si="26"/>
        <v>2024</v>
      </c>
      <c r="D747" s="71" t="s">
        <v>352</v>
      </c>
      <c r="E747" s="170" t="s">
        <v>93</v>
      </c>
      <c r="F747" s="170" t="s">
        <v>453</v>
      </c>
      <c r="G747" s="170"/>
      <c r="H747" s="7" t="s">
        <v>131</v>
      </c>
      <c r="I747" s="7"/>
      <c r="J747" s="118">
        <v>178950</v>
      </c>
      <c r="K747" s="118"/>
      <c r="L747" s="118"/>
      <c r="M747" s="118"/>
      <c r="N747" s="127"/>
      <c r="O747" s="26"/>
    </row>
    <row r="748" spans="1:15" ht="15" customHeight="1" x14ac:dyDescent="0.25">
      <c r="A748" s="54">
        <v>45400</v>
      </c>
      <c r="B748" s="25">
        <f t="shared" si="27"/>
        <v>4</v>
      </c>
      <c r="C748" s="25">
        <f t="shared" si="26"/>
        <v>2024</v>
      </c>
      <c r="D748" s="71" t="s">
        <v>352</v>
      </c>
      <c r="E748" s="170" t="s">
        <v>93</v>
      </c>
      <c r="F748" s="170" t="s">
        <v>556</v>
      </c>
      <c r="G748" s="170"/>
      <c r="H748" s="7" t="s">
        <v>874</v>
      </c>
      <c r="I748" s="7"/>
      <c r="J748" s="118">
        <v>597135</v>
      </c>
      <c r="K748" s="118"/>
      <c r="L748" s="118"/>
      <c r="M748" s="118"/>
      <c r="N748" s="127"/>
      <c r="O748" s="26"/>
    </row>
    <row r="749" spans="1:15" ht="15" customHeight="1" x14ac:dyDescent="0.25">
      <c r="A749" s="54">
        <v>45401</v>
      </c>
      <c r="B749" s="25">
        <f t="shared" si="27"/>
        <v>4</v>
      </c>
      <c r="C749" s="25">
        <f t="shared" si="26"/>
        <v>2024</v>
      </c>
      <c r="D749" s="71" t="s">
        <v>352</v>
      </c>
      <c r="E749" s="11" t="s">
        <v>93</v>
      </c>
      <c r="F749" s="11" t="s">
        <v>855</v>
      </c>
      <c r="G749" s="11"/>
      <c r="H749" s="7" t="s">
        <v>545</v>
      </c>
      <c r="I749" s="7"/>
      <c r="J749" s="118">
        <v>96300</v>
      </c>
      <c r="K749" s="118"/>
      <c r="L749" s="118"/>
      <c r="M749" s="118"/>
      <c r="N749" s="127"/>
      <c r="O749" s="26"/>
    </row>
    <row r="750" spans="1:15" ht="15" customHeight="1" x14ac:dyDescent="0.25">
      <c r="A750" s="54">
        <v>45401</v>
      </c>
      <c r="B750" s="25">
        <f t="shared" si="27"/>
        <v>4</v>
      </c>
      <c r="C750" s="25">
        <f t="shared" si="26"/>
        <v>2024</v>
      </c>
      <c r="D750" s="71" t="s">
        <v>352</v>
      </c>
      <c r="E750" s="11" t="s">
        <v>93</v>
      </c>
      <c r="F750" s="11" t="s">
        <v>856</v>
      </c>
      <c r="G750" s="11"/>
      <c r="H750" s="7" t="s">
        <v>545</v>
      </c>
      <c r="I750" s="7"/>
      <c r="J750" s="118">
        <v>47800</v>
      </c>
      <c r="K750" s="118"/>
      <c r="L750" s="118"/>
      <c r="M750" s="118"/>
      <c r="N750" s="127"/>
      <c r="O750" s="26"/>
    </row>
    <row r="751" spans="1:15" ht="15" customHeight="1" x14ac:dyDescent="0.25">
      <c r="A751" s="54">
        <v>45401</v>
      </c>
      <c r="B751" s="25">
        <f t="shared" si="27"/>
        <v>4</v>
      </c>
      <c r="C751" s="25">
        <f t="shared" si="26"/>
        <v>2024</v>
      </c>
      <c r="D751" s="71" t="s">
        <v>92</v>
      </c>
      <c r="E751" s="11" t="s">
        <v>92</v>
      </c>
      <c r="F751" s="11"/>
      <c r="G751" s="11"/>
      <c r="H751" s="7" t="s">
        <v>92</v>
      </c>
      <c r="I751" s="7"/>
      <c r="J751" s="118"/>
      <c r="K751" s="118">
        <v>146000</v>
      </c>
      <c r="L751" s="118"/>
      <c r="M751" s="118"/>
      <c r="N751" s="127"/>
      <c r="O751" s="26"/>
    </row>
    <row r="752" spans="1:15" ht="15" customHeight="1" x14ac:dyDescent="0.25">
      <c r="A752" s="54">
        <v>45401</v>
      </c>
      <c r="B752" s="25">
        <f t="shared" si="27"/>
        <v>4</v>
      </c>
      <c r="C752" s="25">
        <f t="shared" si="26"/>
        <v>2024</v>
      </c>
      <c r="D752" s="71" t="s">
        <v>92</v>
      </c>
      <c r="E752" s="167" t="s">
        <v>92</v>
      </c>
      <c r="F752" s="167"/>
      <c r="G752" s="167"/>
      <c r="H752" s="7" t="s">
        <v>92</v>
      </c>
      <c r="I752" s="7"/>
      <c r="J752" s="118"/>
      <c r="K752" s="118">
        <v>117000</v>
      </c>
      <c r="L752" s="118"/>
      <c r="M752" s="118"/>
      <c r="N752" s="127"/>
      <c r="O752" s="26"/>
    </row>
    <row r="753" spans="1:15" ht="15" customHeight="1" x14ac:dyDescent="0.25">
      <c r="A753" s="54">
        <v>45401</v>
      </c>
      <c r="B753" s="25">
        <f t="shared" si="27"/>
        <v>4</v>
      </c>
      <c r="C753" s="25">
        <f t="shared" si="26"/>
        <v>2024</v>
      </c>
      <c r="D753" s="71" t="s">
        <v>92</v>
      </c>
      <c r="E753" s="170" t="s">
        <v>92</v>
      </c>
      <c r="F753" s="170"/>
      <c r="G753" s="170"/>
      <c r="H753" s="7" t="s">
        <v>92</v>
      </c>
      <c r="I753" s="7"/>
      <c r="J753" s="118"/>
      <c r="K753" s="118">
        <v>45000</v>
      </c>
      <c r="L753" s="118"/>
      <c r="M753" s="118"/>
      <c r="N753" s="127"/>
      <c r="O753" s="26"/>
    </row>
    <row r="754" spans="1:15" ht="15" customHeight="1" x14ac:dyDescent="0.25">
      <c r="A754" s="54">
        <v>45401</v>
      </c>
      <c r="B754" s="25">
        <f t="shared" si="27"/>
        <v>4</v>
      </c>
      <c r="C754" s="25">
        <f t="shared" si="26"/>
        <v>2024</v>
      </c>
      <c r="D754" s="71" t="s">
        <v>352</v>
      </c>
      <c r="E754" s="170" t="s">
        <v>93</v>
      </c>
      <c r="F754" s="170" t="s">
        <v>857</v>
      </c>
      <c r="G754" s="170"/>
      <c r="H754" s="7" t="s">
        <v>545</v>
      </c>
      <c r="I754" s="7"/>
      <c r="J754" s="118">
        <v>200625</v>
      </c>
      <c r="K754" s="118"/>
      <c r="L754" s="118"/>
      <c r="M754" s="118"/>
      <c r="N754" s="127"/>
      <c r="O754" s="26"/>
    </row>
    <row r="755" spans="1:15" ht="15" customHeight="1" x14ac:dyDescent="0.25">
      <c r="A755" s="54">
        <v>45401</v>
      </c>
      <c r="B755" s="25">
        <f t="shared" si="27"/>
        <v>4</v>
      </c>
      <c r="C755" s="25">
        <f t="shared" si="26"/>
        <v>2024</v>
      </c>
      <c r="D755" s="71" t="s">
        <v>352</v>
      </c>
      <c r="E755" s="170" t="s">
        <v>93</v>
      </c>
      <c r="F755" s="170" t="s">
        <v>859</v>
      </c>
      <c r="G755" s="170"/>
      <c r="H755" s="7" t="s">
        <v>545</v>
      </c>
      <c r="I755" s="7"/>
      <c r="J755" s="118">
        <v>49000</v>
      </c>
      <c r="K755" s="118"/>
      <c r="L755" s="118"/>
      <c r="M755" s="118"/>
      <c r="N755" s="127"/>
      <c r="O755" s="26"/>
    </row>
    <row r="756" spans="1:15" ht="15" customHeight="1" x14ac:dyDescent="0.25">
      <c r="A756" s="54">
        <v>45402</v>
      </c>
      <c r="B756" s="25">
        <f t="shared" si="27"/>
        <v>4</v>
      </c>
      <c r="C756" s="25">
        <f t="shared" si="26"/>
        <v>2024</v>
      </c>
      <c r="D756" s="71" t="s">
        <v>689</v>
      </c>
      <c r="E756" s="170" t="s">
        <v>93</v>
      </c>
      <c r="F756" s="170" t="s">
        <v>169</v>
      </c>
      <c r="G756" s="170"/>
      <c r="H756" s="7" t="s">
        <v>130</v>
      </c>
      <c r="I756" s="7"/>
      <c r="J756" s="118"/>
      <c r="K756" s="118">
        <v>100000</v>
      </c>
      <c r="L756" s="118"/>
      <c r="M756" s="118"/>
      <c r="N756" s="127"/>
      <c r="O756" s="26"/>
    </row>
    <row r="757" spans="1:15" ht="15" customHeight="1" x14ac:dyDescent="0.25">
      <c r="A757" s="54">
        <v>45402</v>
      </c>
      <c r="B757" s="25">
        <f t="shared" si="27"/>
        <v>4</v>
      </c>
      <c r="C757" s="25">
        <f t="shared" si="26"/>
        <v>2024</v>
      </c>
      <c r="D757" s="71" t="s">
        <v>626</v>
      </c>
      <c r="E757" s="11" t="s">
        <v>93</v>
      </c>
      <c r="F757" s="11"/>
      <c r="G757" s="11"/>
      <c r="H757" s="7" t="s">
        <v>130</v>
      </c>
      <c r="I757" s="7"/>
      <c r="J757" s="118"/>
      <c r="K757" s="118">
        <v>97000</v>
      </c>
      <c r="L757" s="118"/>
      <c r="M757" s="118"/>
      <c r="N757" s="127"/>
      <c r="O757" s="26"/>
    </row>
    <row r="758" spans="1:15" ht="15" customHeight="1" x14ac:dyDescent="0.25">
      <c r="A758" s="54">
        <v>45402</v>
      </c>
      <c r="B758" s="25">
        <f t="shared" si="27"/>
        <v>4</v>
      </c>
      <c r="C758" s="25">
        <f t="shared" si="26"/>
        <v>2024</v>
      </c>
      <c r="D758" s="71" t="s">
        <v>92</v>
      </c>
      <c r="E758" s="11" t="s">
        <v>92</v>
      </c>
      <c r="F758" s="11"/>
      <c r="G758" s="11"/>
      <c r="H758" s="7" t="s">
        <v>92</v>
      </c>
      <c r="I758" s="7"/>
      <c r="J758" s="118"/>
      <c r="K758" s="118">
        <v>140000</v>
      </c>
      <c r="L758" s="118"/>
      <c r="M758" s="118"/>
      <c r="N758" s="127"/>
      <c r="O758" s="26"/>
    </row>
    <row r="759" spans="1:15" ht="15" customHeight="1" x14ac:dyDescent="0.25">
      <c r="A759" s="54">
        <v>45404</v>
      </c>
      <c r="B759" s="25">
        <f t="shared" si="27"/>
        <v>4</v>
      </c>
      <c r="C759" s="25">
        <f t="shared" si="26"/>
        <v>2024</v>
      </c>
      <c r="D759" s="71" t="s">
        <v>352</v>
      </c>
      <c r="E759" s="11" t="s">
        <v>93</v>
      </c>
      <c r="F759" s="11" t="s">
        <v>860</v>
      </c>
      <c r="G759" s="11"/>
      <c r="H759" s="7" t="s">
        <v>861</v>
      </c>
      <c r="I759" s="7"/>
      <c r="J759" s="118">
        <v>201400</v>
      </c>
      <c r="K759" s="118"/>
      <c r="L759" s="118"/>
      <c r="M759" s="118"/>
      <c r="N759" s="127"/>
      <c r="O759" s="26"/>
    </row>
    <row r="760" spans="1:15" ht="15" customHeight="1" x14ac:dyDescent="0.25">
      <c r="A760" s="54">
        <v>45406</v>
      </c>
      <c r="B760" s="25">
        <f t="shared" si="27"/>
        <v>4</v>
      </c>
      <c r="C760" s="25">
        <f t="shared" si="26"/>
        <v>2024</v>
      </c>
      <c r="D760" s="71" t="s">
        <v>92</v>
      </c>
      <c r="E760" s="170" t="s">
        <v>92</v>
      </c>
      <c r="F760" s="170" t="s">
        <v>866</v>
      </c>
      <c r="G760" s="170"/>
      <c r="H760" s="7" t="s">
        <v>92</v>
      </c>
      <c r="I760" s="7"/>
      <c r="J760" s="118"/>
      <c r="K760" s="118">
        <v>25000</v>
      </c>
      <c r="L760" s="118"/>
      <c r="M760" s="118"/>
      <c r="N760" s="127"/>
      <c r="O760" s="26"/>
    </row>
    <row r="761" spans="1:15" ht="15" customHeight="1" x14ac:dyDescent="0.25">
      <c r="A761" s="54">
        <v>45406</v>
      </c>
      <c r="B761" s="25">
        <f t="shared" si="27"/>
        <v>4</v>
      </c>
      <c r="C761" s="25">
        <f t="shared" si="26"/>
        <v>2024</v>
      </c>
      <c r="D761" s="71" t="s">
        <v>352</v>
      </c>
      <c r="E761" s="4" t="s">
        <v>93</v>
      </c>
      <c r="F761" s="4" t="s">
        <v>815</v>
      </c>
      <c r="G761" s="4"/>
      <c r="H761" s="7" t="s">
        <v>130</v>
      </c>
      <c r="I761" s="7"/>
      <c r="J761" s="118">
        <v>135600</v>
      </c>
      <c r="K761" s="118"/>
      <c r="L761" s="118"/>
      <c r="M761" s="118"/>
      <c r="N761" s="127"/>
      <c r="O761" s="26"/>
    </row>
    <row r="762" spans="1:15" ht="15" customHeight="1" x14ac:dyDescent="0.25">
      <c r="A762" s="54">
        <v>45407</v>
      </c>
      <c r="B762" s="25">
        <f t="shared" si="27"/>
        <v>4</v>
      </c>
      <c r="C762" s="25">
        <f t="shared" si="26"/>
        <v>2024</v>
      </c>
      <c r="D762" s="71" t="s">
        <v>352</v>
      </c>
      <c r="E762" s="11" t="s">
        <v>93</v>
      </c>
      <c r="F762" s="11" t="s">
        <v>867</v>
      </c>
      <c r="G762" s="11"/>
      <c r="H762" s="7" t="s">
        <v>545</v>
      </c>
      <c r="I762" s="7"/>
      <c r="J762" s="118">
        <v>346400</v>
      </c>
      <c r="K762" s="118"/>
      <c r="L762" s="118"/>
      <c r="M762" s="118"/>
      <c r="N762" s="127"/>
      <c r="O762" s="26"/>
    </row>
    <row r="763" spans="1:15" ht="15" customHeight="1" x14ac:dyDescent="0.25">
      <c r="A763" s="54">
        <v>45407</v>
      </c>
      <c r="B763" s="25">
        <f t="shared" si="27"/>
        <v>4</v>
      </c>
      <c r="C763" s="25">
        <f t="shared" si="26"/>
        <v>2024</v>
      </c>
      <c r="D763" s="71" t="s">
        <v>352</v>
      </c>
      <c r="E763" s="170" t="s">
        <v>93</v>
      </c>
      <c r="F763" s="170" t="s">
        <v>430</v>
      </c>
      <c r="G763" s="170"/>
      <c r="H763" s="7" t="s">
        <v>545</v>
      </c>
      <c r="I763" s="7"/>
      <c r="J763" s="118">
        <v>92000</v>
      </c>
      <c r="K763" s="118"/>
      <c r="L763" s="118"/>
      <c r="M763" s="118"/>
      <c r="N763" s="127"/>
      <c r="O763" s="26"/>
    </row>
    <row r="764" spans="1:15" ht="15" customHeight="1" x14ac:dyDescent="0.25">
      <c r="A764" s="54">
        <v>45407</v>
      </c>
      <c r="B764" s="25">
        <f t="shared" si="27"/>
        <v>4</v>
      </c>
      <c r="C764" s="25">
        <f t="shared" si="26"/>
        <v>2024</v>
      </c>
      <c r="D764" s="71" t="s">
        <v>92</v>
      </c>
      <c r="E764" s="170" t="s">
        <v>92</v>
      </c>
      <c r="F764" s="170"/>
      <c r="G764" s="170"/>
      <c r="H764" s="7" t="s">
        <v>92</v>
      </c>
      <c r="I764" s="7"/>
      <c r="J764" s="118"/>
      <c r="K764" s="118">
        <v>9000</v>
      </c>
      <c r="L764" s="118"/>
      <c r="M764" s="118"/>
      <c r="N764" s="127"/>
      <c r="O764" s="26"/>
    </row>
    <row r="765" spans="1:15" ht="15" customHeight="1" x14ac:dyDescent="0.25">
      <c r="A765" s="54">
        <v>45408</v>
      </c>
      <c r="B765" s="25">
        <f t="shared" si="27"/>
        <v>4</v>
      </c>
      <c r="C765" s="25">
        <f t="shared" si="26"/>
        <v>2024</v>
      </c>
      <c r="D765" s="71" t="s">
        <v>352</v>
      </c>
      <c r="E765" s="11" t="s">
        <v>93</v>
      </c>
      <c r="F765" s="11" t="s">
        <v>447</v>
      </c>
      <c r="G765" s="11"/>
      <c r="H765" s="7" t="s">
        <v>130</v>
      </c>
      <c r="I765" s="7"/>
      <c r="J765" s="118">
        <v>61000</v>
      </c>
      <c r="K765" s="118"/>
      <c r="L765" s="118"/>
      <c r="M765" s="118"/>
      <c r="N765" s="127"/>
      <c r="O765" s="26"/>
    </row>
    <row r="766" spans="1:15" ht="15" customHeight="1" x14ac:dyDescent="0.25">
      <c r="A766" s="54">
        <v>45408</v>
      </c>
      <c r="B766" s="25">
        <f t="shared" si="27"/>
        <v>4</v>
      </c>
      <c r="C766" s="25">
        <f t="shared" si="26"/>
        <v>2024</v>
      </c>
      <c r="D766" s="71" t="s">
        <v>92</v>
      </c>
      <c r="E766" s="170" t="s">
        <v>92</v>
      </c>
      <c r="F766" s="170" t="s">
        <v>807</v>
      </c>
      <c r="G766" s="170"/>
      <c r="H766" s="7" t="s">
        <v>92</v>
      </c>
      <c r="I766" s="7"/>
      <c r="J766" s="118"/>
      <c r="K766" s="118">
        <v>42000</v>
      </c>
      <c r="L766" s="118"/>
      <c r="M766" s="118"/>
      <c r="N766" s="127"/>
      <c r="O766" s="26"/>
    </row>
    <row r="767" spans="1:15" ht="15" customHeight="1" x14ac:dyDescent="0.25">
      <c r="A767" s="54">
        <v>45408</v>
      </c>
      <c r="B767" s="25">
        <f t="shared" si="27"/>
        <v>4</v>
      </c>
      <c r="C767" s="25">
        <f t="shared" ref="C767:C830" si="28">YEAR((A767))</f>
        <v>2024</v>
      </c>
      <c r="D767" s="71" t="s">
        <v>124</v>
      </c>
      <c r="E767" s="11" t="s">
        <v>93</v>
      </c>
      <c r="F767" s="11" t="s">
        <v>868</v>
      </c>
      <c r="G767" s="11"/>
      <c r="H767" s="7" t="s">
        <v>130</v>
      </c>
      <c r="I767" s="7"/>
      <c r="J767" s="118"/>
      <c r="K767" s="118">
        <v>62500</v>
      </c>
      <c r="L767" s="118"/>
      <c r="M767" s="118" t="s">
        <v>954</v>
      </c>
      <c r="N767" s="127"/>
      <c r="O767" s="26"/>
    </row>
    <row r="768" spans="1:15" ht="15" customHeight="1" x14ac:dyDescent="0.25">
      <c r="A768" s="54">
        <v>45408</v>
      </c>
      <c r="B768" s="25">
        <f t="shared" si="27"/>
        <v>4</v>
      </c>
      <c r="C768" s="25">
        <f t="shared" si="28"/>
        <v>2024</v>
      </c>
      <c r="D768" s="71" t="s">
        <v>92</v>
      </c>
      <c r="E768" s="11" t="s">
        <v>92</v>
      </c>
      <c r="F768" s="11"/>
      <c r="G768" s="11"/>
      <c r="H768" s="7" t="s">
        <v>92</v>
      </c>
      <c r="I768" s="7"/>
      <c r="J768" s="118"/>
      <c r="K768" s="118">
        <v>58800</v>
      </c>
      <c r="L768" s="118"/>
      <c r="M768" s="118"/>
      <c r="N768" s="127"/>
      <c r="O768" s="26"/>
    </row>
    <row r="769" spans="1:15" ht="15" customHeight="1" x14ac:dyDescent="0.25">
      <c r="A769" s="54">
        <v>45409</v>
      </c>
      <c r="B769" s="25">
        <f t="shared" si="27"/>
        <v>4</v>
      </c>
      <c r="C769" s="25">
        <f t="shared" si="28"/>
        <v>2024</v>
      </c>
      <c r="D769" s="71" t="s">
        <v>92</v>
      </c>
      <c r="E769" s="11" t="s">
        <v>92</v>
      </c>
      <c r="F769" s="11"/>
      <c r="G769" s="11"/>
      <c r="H769" s="7" t="s">
        <v>92</v>
      </c>
      <c r="I769" s="7"/>
      <c r="J769" s="118"/>
      <c r="K769" s="118">
        <v>84000</v>
      </c>
      <c r="L769" s="118"/>
      <c r="M769" s="118"/>
      <c r="N769" s="127"/>
      <c r="O769" s="26"/>
    </row>
    <row r="770" spans="1:15" ht="15" customHeight="1" x14ac:dyDescent="0.25">
      <c r="A770" s="54">
        <v>45409</v>
      </c>
      <c r="B770" s="25">
        <f t="shared" si="27"/>
        <v>4</v>
      </c>
      <c r="C770" s="25">
        <f t="shared" si="28"/>
        <v>2024</v>
      </c>
      <c r="D770" s="71" t="s">
        <v>689</v>
      </c>
      <c r="E770" s="11" t="s">
        <v>93</v>
      </c>
      <c r="F770" s="11" t="s">
        <v>169</v>
      </c>
      <c r="G770" s="11"/>
      <c r="H770" s="7" t="s">
        <v>130</v>
      </c>
      <c r="I770" s="7"/>
      <c r="J770" s="118"/>
      <c r="K770" s="118">
        <v>130000</v>
      </c>
      <c r="L770" s="118"/>
      <c r="M770" s="118"/>
      <c r="N770" s="127"/>
      <c r="O770" s="26"/>
    </row>
    <row r="771" spans="1:15" ht="15" customHeight="1" x14ac:dyDescent="0.25">
      <c r="A771" s="54">
        <v>45409</v>
      </c>
      <c r="B771" s="25">
        <f t="shared" ref="B771:B834" si="29">MONTH(A771)</f>
        <v>4</v>
      </c>
      <c r="C771" s="25">
        <f t="shared" si="28"/>
        <v>2024</v>
      </c>
      <c r="D771" s="71" t="s">
        <v>626</v>
      </c>
      <c r="E771" s="11" t="s">
        <v>93</v>
      </c>
      <c r="F771" s="11"/>
      <c r="G771" s="11"/>
      <c r="H771" s="7" t="s">
        <v>130</v>
      </c>
      <c r="I771" s="7"/>
      <c r="J771" s="118"/>
      <c r="K771" s="118">
        <v>97000</v>
      </c>
      <c r="L771" s="118"/>
      <c r="M771" s="118"/>
      <c r="N771" s="127"/>
      <c r="O771" s="26"/>
    </row>
    <row r="772" spans="1:15" ht="15" customHeight="1" x14ac:dyDescent="0.25">
      <c r="A772" s="54">
        <v>45410</v>
      </c>
      <c r="B772" s="25">
        <f t="shared" si="29"/>
        <v>4</v>
      </c>
      <c r="C772" s="25">
        <f t="shared" si="28"/>
        <v>2024</v>
      </c>
      <c r="D772" s="71" t="s">
        <v>92</v>
      </c>
      <c r="E772" s="11" t="s">
        <v>92</v>
      </c>
      <c r="F772" s="11"/>
      <c r="G772" s="11"/>
      <c r="H772" s="7" t="s">
        <v>92</v>
      </c>
      <c r="I772" s="7"/>
      <c r="J772" s="118"/>
      <c r="K772" s="118">
        <v>150000</v>
      </c>
      <c r="L772" s="118"/>
      <c r="M772" s="118"/>
      <c r="N772" s="127"/>
      <c r="O772" s="26"/>
    </row>
    <row r="773" spans="1:15" ht="15" customHeight="1" x14ac:dyDescent="0.25">
      <c r="A773" s="54">
        <v>45411</v>
      </c>
      <c r="B773" s="25">
        <f t="shared" si="29"/>
        <v>4</v>
      </c>
      <c r="C773" s="25">
        <f t="shared" si="28"/>
        <v>2024</v>
      </c>
      <c r="D773" s="71" t="s">
        <v>89</v>
      </c>
      <c r="E773" s="11" t="s">
        <v>93</v>
      </c>
      <c r="F773" s="11" t="s">
        <v>297</v>
      </c>
      <c r="G773" s="11"/>
      <c r="H773" s="7" t="s">
        <v>131</v>
      </c>
      <c r="I773" s="7"/>
      <c r="J773" s="118">
        <v>76200</v>
      </c>
      <c r="K773" s="118"/>
      <c r="L773" s="118"/>
      <c r="M773" s="118"/>
      <c r="N773" s="127"/>
      <c r="O773" s="26"/>
    </row>
    <row r="774" spans="1:15" ht="15" customHeight="1" x14ac:dyDescent="0.25">
      <c r="A774" s="54">
        <v>45411</v>
      </c>
      <c r="B774" s="25">
        <f t="shared" si="29"/>
        <v>4</v>
      </c>
      <c r="C774" s="25">
        <f t="shared" si="28"/>
        <v>2024</v>
      </c>
      <c r="D774" s="71" t="s">
        <v>352</v>
      </c>
      <c r="E774" s="11" t="s">
        <v>93</v>
      </c>
      <c r="F774" s="11" t="s">
        <v>827</v>
      </c>
      <c r="G774" s="11"/>
      <c r="H774" s="7" t="s">
        <v>130</v>
      </c>
      <c r="I774" s="7"/>
      <c r="J774" s="118">
        <v>137700</v>
      </c>
      <c r="K774" s="118"/>
      <c r="L774" s="118"/>
      <c r="M774" s="118"/>
      <c r="N774" s="127"/>
      <c r="O774" s="26"/>
    </row>
    <row r="775" spans="1:15" ht="15" customHeight="1" x14ac:dyDescent="0.25">
      <c r="A775" s="54">
        <v>45412</v>
      </c>
      <c r="B775" s="25">
        <f t="shared" si="29"/>
        <v>4</v>
      </c>
      <c r="C775" s="25">
        <f t="shared" si="28"/>
        <v>2024</v>
      </c>
      <c r="D775" s="71" t="s">
        <v>352</v>
      </c>
      <c r="E775" s="170" t="s">
        <v>93</v>
      </c>
      <c r="F775" s="170" t="s">
        <v>771</v>
      </c>
      <c r="G775" s="170"/>
      <c r="H775" s="7" t="s">
        <v>130</v>
      </c>
      <c r="I775" s="7"/>
      <c r="J775" s="118">
        <v>210000</v>
      </c>
      <c r="K775" s="118"/>
      <c r="L775" s="118"/>
      <c r="M775" s="118"/>
      <c r="N775" s="127"/>
      <c r="O775" s="26"/>
    </row>
    <row r="776" spans="1:15" ht="15" customHeight="1" x14ac:dyDescent="0.25">
      <c r="A776" s="54">
        <v>45412</v>
      </c>
      <c r="B776" s="25">
        <f t="shared" si="29"/>
        <v>4</v>
      </c>
      <c r="C776" s="25">
        <f t="shared" si="28"/>
        <v>2024</v>
      </c>
      <c r="D776" s="71" t="s">
        <v>124</v>
      </c>
      <c r="E776" s="170" t="s">
        <v>93</v>
      </c>
      <c r="F776" s="170"/>
      <c r="G776" s="170" t="s">
        <v>558</v>
      </c>
      <c r="H776" s="7" t="s">
        <v>130</v>
      </c>
      <c r="I776" s="7"/>
      <c r="J776" s="118"/>
      <c r="K776" s="118">
        <v>239775</v>
      </c>
      <c r="L776" s="118"/>
      <c r="M776" s="118" t="s">
        <v>954</v>
      </c>
      <c r="N776" s="127"/>
      <c r="O776" s="26"/>
    </row>
    <row r="777" spans="1:15" ht="15" customHeight="1" x14ac:dyDescent="0.25">
      <c r="A777" s="54">
        <v>45412</v>
      </c>
      <c r="B777" s="25">
        <f t="shared" si="29"/>
        <v>4</v>
      </c>
      <c r="C777" s="25">
        <f t="shared" si="28"/>
        <v>2024</v>
      </c>
      <c r="D777" s="71" t="s">
        <v>124</v>
      </c>
      <c r="E777" s="170" t="s">
        <v>93</v>
      </c>
      <c r="F777" s="170"/>
      <c r="G777" s="170" t="s">
        <v>558</v>
      </c>
      <c r="H777" s="7" t="s">
        <v>131</v>
      </c>
      <c r="I777" s="7"/>
      <c r="J777" s="118"/>
      <c r="K777" s="118">
        <v>178000</v>
      </c>
      <c r="L777" s="118"/>
      <c r="M777" s="118" t="s">
        <v>954</v>
      </c>
      <c r="N777" s="127"/>
      <c r="O777" s="26"/>
    </row>
    <row r="778" spans="1:15" ht="15" customHeight="1" x14ac:dyDescent="0.25">
      <c r="A778" s="54">
        <v>45412</v>
      </c>
      <c r="B778" s="25">
        <f t="shared" si="29"/>
        <v>4</v>
      </c>
      <c r="C778" s="25">
        <f t="shared" si="28"/>
        <v>2024</v>
      </c>
      <c r="D778" s="71" t="s">
        <v>124</v>
      </c>
      <c r="E778" s="11" t="s">
        <v>93</v>
      </c>
      <c r="F778" s="11"/>
      <c r="G778" s="11" t="s">
        <v>558</v>
      </c>
      <c r="H778" s="7" t="s">
        <v>131</v>
      </c>
      <c r="I778" s="7"/>
      <c r="J778" s="118"/>
      <c r="K778" s="118">
        <v>178950</v>
      </c>
      <c r="L778" s="118"/>
      <c r="M778" s="118" t="s">
        <v>954</v>
      </c>
      <c r="N778" s="127"/>
      <c r="O778" s="26"/>
    </row>
    <row r="779" spans="1:15" ht="15" customHeight="1" x14ac:dyDescent="0.25">
      <c r="A779" s="54">
        <v>45412</v>
      </c>
      <c r="B779" s="25">
        <f t="shared" si="29"/>
        <v>4</v>
      </c>
      <c r="C779" s="25">
        <f t="shared" si="28"/>
        <v>2024</v>
      </c>
      <c r="D779" s="71" t="s">
        <v>124</v>
      </c>
      <c r="E779" s="11" t="s">
        <v>93</v>
      </c>
      <c r="F779" s="11"/>
      <c r="G779" s="11" t="s">
        <v>558</v>
      </c>
      <c r="H779" s="7" t="s">
        <v>131</v>
      </c>
      <c r="I779" s="14"/>
      <c r="J779" s="118"/>
      <c r="K779" s="118">
        <v>76200</v>
      </c>
      <c r="L779" s="118"/>
      <c r="M779" s="118" t="s">
        <v>954</v>
      </c>
      <c r="N779" s="127"/>
      <c r="O779" s="26"/>
    </row>
    <row r="780" spans="1:15" ht="15" customHeight="1" x14ac:dyDescent="0.25">
      <c r="A780" s="54">
        <v>45412</v>
      </c>
      <c r="B780" s="25">
        <f t="shared" si="29"/>
        <v>4</v>
      </c>
      <c r="C780" s="25">
        <f t="shared" si="28"/>
        <v>2024</v>
      </c>
      <c r="D780" s="71" t="s">
        <v>124</v>
      </c>
      <c r="E780" s="11" t="s">
        <v>93</v>
      </c>
      <c r="F780" s="11"/>
      <c r="G780" s="11" t="s">
        <v>558</v>
      </c>
      <c r="H780" s="7" t="s">
        <v>131</v>
      </c>
      <c r="I780" s="14"/>
      <c r="J780" s="118"/>
      <c r="K780" s="118">
        <v>275477</v>
      </c>
      <c r="L780" s="118"/>
      <c r="M780" s="118" t="s">
        <v>954</v>
      </c>
      <c r="N780" s="127"/>
      <c r="O780" s="26"/>
    </row>
    <row r="781" spans="1:15" ht="15" customHeight="1" x14ac:dyDescent="0.25">
      <c r="A781" s="54">
        <v>45412</v>
      </c>
      <c r="B781" s="25">
        <f t="shared" si="29"/>
        <v>4</v>
      </c>
      <c r="C781" s="25">
        <f t="shared" si="28"/>
        <v>2024</v>
      </c>
      <c r="D781" s="71" t="s">
        <v>352</v>
      </c>
      <c r="E781" s="11" t="s">
        <v>93</v>
      </c>
      <c r="F781" s="11" t="s">
        <v>876</v>
      </c>
      <c r="G781" s="11"/>
      <c r="H781" s="14" t="s">
        <v>130</v>
      </c>
      <c r="I781" s="14"/>
      <c r="J781" s="118">
        <v>40000</v>
      </c>
      <c r="K781" s="118"/>
      <c r="L781" s="118"/>
      <c r="M781" s="118"/>
      <c r="N781" s="127"/>
      <c r="O781" s="26"/>
    </row>
    <row r="782" spans="1:15" ht="15" customHeight="1" x14ac:dyDescent="0.25">
      <c r="A782" s="54">
        <v>45415</v>
      </c>
      <c r="B782" s="25">
        <f t="shared" si="29"/>
        <v>5</v>
      </c>
      <c r="C782" s="25">
        <f t="shared" si="28"/>
        <v>2024</v>
      </c>
      <c r="D782" s="71" t="s">
        <v>89</v>
      </c>
      <c r="E782" s="170" t="s">
        <v>93</v>
      </c>
      <c r="F782" s="170" t="s">
        <v>877</v>
      </c>
      <c r="G782" s="170"/>
      <c r="H782" s="7" t="s">
        <v>130</v>
      </c>
      <c r="I782" s="7"/>
      <c r="J782" s="118">
        <v>97000</v>
      </c>
      <c r="K782" s="118"/>
      <c r="L782" s="118"/>
      <c r="M782" s="118"/>
      <c r="N782" s="127"/>
      <c r="O782" s="26"/>
    </row>
    <row r="783" spans="1:15" ht="15" customHeight="1" x14ac:dyDescent="0.25">
      <c r="A783" s="54">
        <v>45415</v>
      </c>
      <c r="B783" s="25">
        <f t="shared" si="29"/>
        <v>5</v>
      </c>
      <c r="C783" s="25">
        <f t="shared" si="28"/>
        <v>2024</v>
      </c>
      <c r="D783" s="71" t="s">
        <v>89</v>
      </c>
      <c r="E783" s="170" t="s">
        <v>93</v>
      </c>
      <c r="F783" s="170" t="s">
        <v>812</v>
      </c>
      <c r="G783" s="170"/>
      <c r="H783" s="7" t="s">
        <v>131</v>
      </c>
      <c r="I783" s="7"/>
      <c r="J783" s="118">
        <v>501787</v>
      </c>
      <c r="K783" s="118"/>
      <c r="L783" s="118"/>
      <c r="M783" s="118"/>
      <c r="N783" s="127"/>
      <c r="O783" s="26"/>
    </row>
    <row r="784" spans="1:15" ht="15" customHeight="1" x14ac:dyDescent="0.25">
      <c r="A784" s="54">
        <v>45415</v>
      </c>
      <c r="B784" s="25">
        <f t="shared" si="29"/>
        <v>5</v>
      </c>
      <c r="C784" s="25">
        <f t="shared" si="28"/>
        <v>2024</v>
      </c>
      <c r="D784" s="71" t="s">
        <v>352</v>
      </c>
      <c r="E784" s="170" t="s">
        <v>93</v>
      </c>
      <c r="F784" s="170" t="s">
        <v>556</v>
      </c>
      <c r="G784" s="170"/>
      <c r="H784" s="7" t="s">
        <v>874</v>
      </c>
      <c r="I784" s="7"/>
      <c r="J784" s="118">
        <v>200000</v>
      </c>
      <c r="K784" s="118"/>
      <c r="L784" s="118"/>
      <c r="M784" s="118"/>
      <c r="N784" s="127"/>
      <c r="O784" s="26"/>
    </row>
    <row r="785" spans="1:15" ht="15" customHeight="1" x14ac:dyDescent="0.25">
      <c r="A785" s="54">
        <v>45415</v>
      </c>
      <c r="B785" s="25">
        <f t="shared" si="29"/>
        <v>5</v>
      </c>
      <c r="C785" s="25">
        <f t="shared" si="28"/>
        <v>2024</v>
      </c>
      <c r="D785" s="71" t="s">
        <v>352</v>
      </c>
      <c r="E785" s="170" t="s">
        <v>93</v>
      </c>
      <c r="F785" s="170" t="s">
        <v>556</v>
      </c>
      <c r="G785" s="170"/>
      <c r="H785" s="7" t="s">
        <v>874</v>
      </c>
      <c r="I785" s="7"/>
      <c r="J785" s="118">
        <v>200000</v>
      </c>
      <c r="K785" s="118"/>
      <c r="L785" s="118"/>
      <c r="M785" s="118"/>
      <c r="N785" s="127"/>
      <c r="O785" s="26"/>
    </row>
    <row r="786" spans="1:15" ht="15" customHeight="1" x14ac:dyDescent="0.25">
      <c r="A786" s="54">
        <v>45415</v>
      </c>
      <c r="B786" s="25">
        <f t="shared" si="29"/>
        <v>5</v>
      </c>
      <c r="C786" s="25">
        <f t="shared" si="28"/>
        <v>2024</v>
      </c>
      <c r="D786" s="71" t="s">
        <v>352</v>
      </c>
      <c r="E786" s="170" t="s">
        <v>93</v>
      </c>
      <c r="F786" s="170" t="s">
        <v>556</v>
      </c>
      <c r="G786" s="170"/>
      <c r="H786" s="7" t="s">
        <v>874</v>
      </c>
      <c r="I786" s="7"/>
      <c r="J786" s="118">
        <v>200000</v>
      </c>
      <c r="K786" s="118"/>
      <c r="L786" s="118"/>
      <c r="M786" s="118"/>
      <c r="N786" s="127"/>
      <c r="O786" s="26"/>
    </row>
    <row r="787" spans="1:15" ht="15" customHeight="1" x14ac:dyDescent="0.25">
      <c r="A787" s="54">
        <v>45415</v>
      </c>
      <c r="B787" s="25">
        <f t="shared" si="29"/>
        <v>5</v>
      </c>
      <c r="C787" s="25">
        <f t="shared" si="28"/>
        <v>2024</v>
      </c>
      <c r="D787" s="71" t="s">
        <v>352</v>
      </c>
      <c r="E787" s="170" t="s">
        <v>93</v>
      </c>
      <c r="F787" s="170" t="s">
        <v>556</v>
      </c>
      <c r="G787" s="170"/>
      <c r="H787" s="7" t="s">
        <v>874</v>
      </c>
      <c r="I787" s="7"/>
      <c r="J787" s="118">
        <v>135407</v>
      </c>
      <c r="K787" s="118"/>
      <c r="L787" s="118"/>
      <c r="M787" s="118"/>
      <c r="N787" s="127"/>
      <c r="O787" s="26"/>
    </row>
    <row r="788" spans="1:15" ht="15" customHeight="1" x14ac:dyDescent="0.25">
      <c r="A788" s="54">
        <v>45415</v>
      </c>
      <c r="B788" s="25">
        <f t="shared" si="29"/>
        <v>5</v>
      </c>
      <c r="C788" s="25">
        <f t="shared" si="28"/>
        <v>2024</v>
      </c>
      <c r="D788" s="71" t="s">
        <v>352</v>
      </c>
      <c r="E788" s="170" t="s">
        <v>93</v>
      </c>
      <c r="F788" s="170" t="s">
        <v>809</v>
      </c>
      <c r="G788" s="170"/>
      <c r="H788" s="7" t="s">
        <v>545</v>
      </c>
      <c r="I788" s="7"/>
      <c r="J788" s="118">
        <v>429474</v>
      </c>
      <c r="K788" s="118"/>
      <c r="L788" s="118"/>
      <c r="M788" s="118"/>
      <c r="N788" s="127"/>
      <c r="O788" s="26"/>
    </row>
    <row r="789" spans="1:15" ht="15" customHeight="1" x14ac:dyDescent="0.25">
      <c r="A789" s="54">
        <v>45415</v>
      </c>
      <c r="B789" s="25">
        <f t="shared" si="29"/>
        <v>5</v>
      </c>
      <c r="C789" s="25">
        <f t="shared" si="28"/>
        <v>2024</v>
      </c>
      <c r="D789" s="71" t="s">
        <v>626</v>
      </c>
      <c r="E789" s="167" t="s">
        <v>93</v>
      </c>
      <c r="F789" s="167"/>
      <c r="G789" s="167"/>
      <c r="H789" s="7" t="s">
        <v>130</v>
      </c>
      <c r="I789" s="7"/>
      <c r="J789" s="118"/>
      <c r="K789" s="118">
        <v>97000</v>
      </c>
      <c r="L789" s="118"/>
      <c r="M789" s="118"/>
      <c r="N789" s="127"/>
      <c r="O789" s="26"/>
    </row>
    <row r="790" spans="1:15" ht="15" customHeight="1" x14ac:dyDescent="0.25">
      <c r="A790" s="54">
        <v>45416</v>
      </c>
      <c r="B790" s="25">
        <f t="shared" si="29"/>
        <v>5</v>
      </c>
      <c r="C790" s="25">
        <f t="shared" si="28"/>
        <v>2024</v>
      </c>
      <c r="D790" s="71" t="s">
        <v>352</v>
      </c>
      <c r="E790" s="170" t="s">
        <v>93</v>
      </c>
      <c r="F790" s="170" t="s">
        <v>666</v>
      </c>
      <c r="G790" s="170"/>
      <c r="H790" s="7" t="s">
        <v>130</v>
      </c>
      <c r="I790" s="7"/>
      <c r="J790" s="118">
        <v>33750</v>
      </c>
      <c r="K790" s="118"/>
      <c r="L790" s="118"/>
      <c r="M790" s="118"/>
      <c r="N790" s="127"/>
      <c r="O790" s="26"/>
    </row>
    <row r="791" spans="1:15" ht="15" customHeight="1" x14ac:dyDescent="0.25">
      <c r="A791" s="54">
        <v>45416</v>
      </c>
      <c r="B791" s="25">
        <f t="shared" si="29"/>
        <v>5</v>
      </c>
      <c r="C791" s="25">
        <f t="shared" si="28"/>
        <v>2024</v>
      </c>
      <c r="D791" s="71" t="s">
        <v>352</v>
      </c>
      <c r="E791" s="170" t="s">
        <v>93</v>
      </c>
      <c r="F791" s="170" t="s">
        <v>879</v>
      </c>
      <c r="G791" s="170"/>
      <c r="H791" s="7" t="s">
        <v>130</v>
      </c>
      <c r="I791" s="7"/>
      <c r="J791" s="118">
        <v>57900</v>
      </c>
      <c r="K791" s="118"/>
      <c r="L791" s="118"/>
      <c r="M791" s="118"/>
      <c r="N791" s="127"/>
      <c r="O791" s="26"/>
    </row>
    <row r="792" spans="1:15" ht="15" customHeight="1" x14ac:dyDescent="0.25">
      <c r="A792" s="54">
        <v>45416</v>
      </c>
      <c r="B792" s="25">
        <f t="shared" si="29"/>
        <v>5</v>
      </c>
      <c r="C792" s="25">
        <f t="shared" si="28"/>
        <v>2024</v>
      </c>
      <c r="D792" s="71" t="s">
        <v>689</v>
      </c>
      <c r="E792" s="170" t="s">
        <v>93</v>
      </c>
      <c r="F792" s="170" t="s">
        <v>169</v>
      </c>
      <c r="G792" s="170"/>
      <c r="H792" s="7" t="s">
        <v>130</v>
      </c>
      <c r="I792" s="7"/>
      <c r="J792" s="118"/>
      <c r="K792" s="118">
        <v>130000</v>
      </c>
      <c r="L792" s="118"/>
      <c r="M792" s="118"/>
      <c r="N792" s="127"/>
      <c r="O792" s="26"/>
    </row>
    <row r="793" spans="1:15" ht="15" customHeight="1" x14ac:dyDescent="0.25">
      <c r="A793" s="54">
        <v>45418</v>
      </c>
      <c r="B793" s="25">
        <f t="shared" si="29"/>
        <v>5</v>
      </c>
      <c r="C793" s="25">
        <f t="shared" si="28"/>
        <v>2024</v>
      </c>
      <c r="D793" s="71" t="s">
        <v>352</v>
      </c>
      <c r="E793" s="170" t="s">
        <v>93</v>
      </c>
      <c r="F793" s="170" t="s">
        <v>881</v>
      </c>
      <c r="G793" s="170"/>
      <c r="H793" s="7" t="s">
        <v>131</v>
      </c>
      <c r="I793" s="7"/>
      <c r="J793" s="118">
        <v>148000</v>
      </c>
      <c r="K793" s="118"/>
      <c r="L793" s="118"/>
      <c r="M793" s="118"/>
      <c r="N793" s="127"/>
      <c r="O793" s="26"/>
    </row>
    <row r="794" spans="1:15" ht="15" customHeight="1" x14ac:dyDescent="0.25">
      <c r="A794" s="54">
        <v>45418</v>
      </c>
      <c r="B794" s="25">
        <f t="shared" si="29"/>
        <v>5</v>
      </c>
      <c r="C794" s="25">
        <f t="shared" si="28"/>
        <v>2024</v>
      </c>
      <c r="D794" s="71" t="s">
        <v>352</v>
      </c>
      <c r="E794" s="170" t="s">
        <v>93</v>
      </c>
      <c r="F794" s="170" t="s">
        <v>881</v>
      </c>
      <c r="G794" s="170"/>
      <c r="H794" s="7" t="s">
        <v>131</v>
      </c>
      <c r="I794" s="7"/>
      <c r="J794" s="118">
        <v>149902</v>
      </c>
      <c r="K794" s="118"/>
      <c r="L794" s="118"/>
      <c r="M794" s="118"/>
      <c r="N794" s="127"/>
      <c r="O794" s="26"/>
    </row>
    <row r="795" spans="1:15" ht="15" customHeight="1" x14ac:dyDescent="0.25">
      <c r="A795" s="54">
        <v>45418</v>
      </c>
      <c r="B795" s="25">
        <f t="shared" si="29"/>
        <v>5</v>
      </c>
      <c r="C795" s="25">
        <f t="shared" si="28"/>
        <v>2024</v>
      </c>
      <c r="D795" s="71" t="s">
        <v>92</v>
      </c>
      <c r="E795" s="170" t="s">
        <v>92</v>
      </c>
      <c r="F795" s="170" t="s">
        <v>630</v>
      </c>
      <c r="G795" s="170"/>
      <c r="H795" s="7" t="s">
        <v>545</v>
      </c>
      <c r="I795" s="7"/>
      <c r="J795" s="118"/>
      <c r="K795" s="118">
        <v>16000</v>
      </c>
      <c r="L795" s="118"/>
      <c r="M795" s="118"/>
      <c r="N795" s="127"/>
      <c r="O795" s="26"/>
    </row>
    <row r="796" spans="1:15" ht="15" customHeight="1" x14ac:dyDescent="0.25">
      <c r="A796" s="54">
        <v>45418</v>
      </c>
      <c r="B796" s="25">
        <f t="shared" si="29"/>
        <v>5</v>
      </c>
      <c r="C796" s="25">
        <f t="shared" si="28"/>
        <v>2024</v>
      </c>
      <c r="D796" s="71" t="s">
        <v>92</v>
      </c>
      <c r="E796" s="170" t="s">
        <v>92</v>
      </c>
      <c r="F796" s="170" t="s">
        <v>139</v>
      </c>
      <c r="G796" s="170"/>
      <c r="H796" s="7" t="s">
        <v>545</v>
      </c>
      <c r="I796" s="7"/>
      <c r="J796" s="118"/>
      <c r="K796" s="118">
        <v>2355.35</v>
      </c>
      <c r="L796" s="118"/>
      <c r="M796" s="118"/>
      <c r="N796" s="127"/>
      <c r="O796" s="26"/>
    </row>
    <row r="797" spans="1:15" ht="15" customHeight="1" x14ac:dyDescent="0.25">
      <c r="A797" s="54">
        <v>45418</v>
      </c>
      <c r="B797" s="25">
        <f t="shared" si="29"/>
        <v>5</v>
      </c>
      <c r="C797" s="25">
        <f t="shared" si="28"/>
        <v>2024</v>
      </c>
      <c r="D797" s="71" t="s">
        <v>92</v>
      </c>
      <c r="E797" s="170" t="s">
        <v>92</v>
      </c>
      <c r="F797" s="170" t="s">
        <v>172</v>
      </c>
      <c r="G797" s="170"/>
      <c r="H797" s="7" t="s">
        <v>545</v>
      </c>
      <c r="I797" s="7"/>
      <c r="J797" s="118"/>
      <c r="K797" s="118">
        <v>141868</v>
      </c>
      <c r="L797" s="118"/>
      <c r="M797" s="118"/>
      <c r="N797" s="127"/>
      <c r="O797" s="26"/>
    </row>
    <row r="798" spans="1:15" ht="15" customHeight="1" x14ac:dyDescent="0.25">
      <c r="A798" s="54">
        <v>45418</v>
      </c>
      <c r="B798" s="25">
        <f t="shared" si="29"/>
        <v>5</v>
      </c>
      <c r="C798" s="25">
        <f t="shared" si="28"/>
        <v>2024</v>
      </c>
      <c r="D798" s="71" t="s">
        <v>352</v>
      </c>
      <c r="E798" s="170" t="s">
        <v>93</v>
      </c>
      <c r="F798" s="170" t="s">
        <v>839</v>
      </c>
      <c r="G798" s="170"/>
      <c r="H798" s="7" t="s">
        <v>130</v>
      </c>
      <c r="I798" s="7"/>
      <c r="J798" s="118">
        <v>141600</v>
      </c>
      <c r="K798" s="118"/>
      <c r="L798" s="118"/>
      <c r="M798" s="118"/>
      <c r="N798" s="127"/>
      <c r="O798" s="26"/>
    </row>
    <row r="799" spans="1:15" ht="15" customHeight="1" x14ac:dyDescent="0.25">
      <c r="A799" s="54">
        <v>45419</v>
      </c>
      <c r="B799" s="25">
        <f t="shared" si="29"/>
        <v>5</v>
      </c>
      <c r="C799" s="25">
        <f t="shared" si="28"/>
        <v>2024</v>
      </c>
      <c r="D799" s="71" t="s">
        <v>352</v>
      </c>
      <c r="E799" s="170" t="s">
        <v>93</v>
      </c>
      <c r="F799" s="170" t="s">
        <v>681</v>
      </c>
      <c r="G799" s="170"/>
      <c r="H799" s="7" t="s">
        <v>130</v>
      </c>
      <c r="I799" s="7"/>
      <c r="J799" s="118">
        <v>85340</v>
      </c>
      <c r="K799" s="118"/>
      <c r="L799" s="118"/>
      <c r="M799" s="118"/>
      <c r="N799" s="127"/>
      <c r="O799" s="26"/>
    </row>
    <row r="800" spans="1:15" ht="15" customHeight="1" x14ac:dyDescent="0.25">
      <c r="A800" s="66">
        <v>45419</v>
      </c>
      <c r="B800" s="25">
        <f t="shared" si="29"/>
        <v>5</v>
      </c>
      <c r="C800" s="25">
        <f t="shared" si="28"/>
        <v>2024</v>
      </c>
      <c r="D800" s="74" t="s">
        <v>352</v>
      </c>
      <c r="E800" s="170" t="s">
        <v>93</v>
      </c>
      <c r="F800" s="170" t="s">
        <v>509</v>
      </c>
      <c r="G800" s="170"/>
      <c r="H800" s="14" t="s">
        <v>545</v>
      </c>
      <c r="I800" s="14"/>
      <c r="J800" s="118">
        <v>230200</v>
      </c>
      <c r="K800" s="118"/>
      <c r="L800" s="118"/>
      <c r="M800" s="118"/>
      <c r="N800" s="127"/>
      <c r="O800" s="26"/>
    </row>
    <row r="801" spans="1:15" ht="15" customHeight="1" x14ac:dyDescent="0.25">
      <c r="A801" s="54">
        <v>45419</v>
      </c>
      <c r="B801" s="25">
        <f t="shared" si="29"/>
        <v>5</v>
      </c>
      <c r="C801" s="25">
        <f t="shared" si="28"/>
        <v>2024</v>
      </c>
      <c r="D801" s="71" t="s">
        <v>124</v>
      </c>
      <c r="E801" s="170" t="s">
        <v>93</v>
      </c>
      <c r="F801" s="170" t="s">
        <v>103</v>
      </c>
      <c r="G801" s="170"/>
      <c r="H801" s="7" t="s">
        <v>131</v>
      </c>
      <c r="I801" s="7"/>
      <c r="J801" s="118"/>
      <c r="K801" s="118">
        <v>35264.33</v>
      </c>
      <c r="L801" s="118"/>
      <c r="M801" s="118" t="s">
        <v>954</v>
      </c>
      <c r="N801" s="127"/>
      <c r="O801" s="26"/>
    </row>
    <row r="802" spans="1:15" ht="15" customHeight="1" x14ac:dyDescent="0.25">
      <c r="A802" s="54">
        <v>45419</v>
      </c>
      <c r="B802" s="25">
        <f t="shared" si="29"/>
        <v>5</v>
      </c>
      <c r="C802" s="25">
        <f t="shared" si="28"/>
        <v>2024</v>
      </c>
      <c r="D802" s="71" t="s">
        <v>124</v>
      </c>
      <c r="E802" s="170" t="s">
        <v>93</v>
      </c>
      <c r="F802" s="170" t="s">
        <v>103</v>
      </c>
      <c r="G802" s="170"/>
      <c r="H802" s="7" t="s">
        <v>131</v>
      </c>
      <c r="I802" s="7"/>
      <c r="J802" s="118"/>
      <c r="K802" s="118">
        <v>148000</v>
      </c>
      <c r="L802" s="118"/>
      <c r="M802" s="118" t="s">
        <v>954</v>
      </c>
      <c r="N802" s="127"/>
      <c r="O802" s="26"/>
    </row>
    <row r="803" spans="1:15" ht="15" customHeight="1" x14ac:dyDescent="0.25">
      <c r="A803" s="54">
        <v>45419</v>
      </c>
      <c r="B803" s="25">
        <f t="shared" si="29"/>
        <v>5</v>
      </c>
      <c r="C803" s="25">
        <f t="shared" si="28"/>
        <v>2024</v>
      </c>
      <c r="D803" s="71" t="s">
        <v>124</v>
      </c>
      <c r="E803" s="170" t="s">
        <v>93</v>
      </c>
      <c r="F803" s="170"/>
      <c r="G803" s="170" t="s">
        <v>553</v>
      </c>
      <c r="H803" s="7" t="s">
        <v>131</v>
      </c>
      <c r="I803" s="7"/>
      <c r="J803" s="118"/>
      <c r="K803" s="118">
        <v>149902</v>
      </c>
      <c r="L803" s="118"/>
      <c r="M803" s="118" t="s">
        <v>954</v>
      </c>
      <c r="N803" s="127"/>
      <c r="O803" s="26"/>
    </row>
    <row r="804" spans="1:15" ht="15" customHeight="1" x14ac:dyDescent="0.25">
      <c r="A804" s="54">
        <v>45419</v>
      </c>
      <c r="B804" s="25">
        <f t="shared" si="29"/>
        <v>5</v>
      </c>
      <c r="C804" s="25">
        <f t="shared" si="28"/>
        <v>2024</v>
      </c>
      <c r="D804" s="71" t="s">
        <v>124</v>
      </c>
      <c r="E804" s="170" t="s">
        <v>93</v>
      </c>
      <c r="F804" s="170"/>
      <c r="G804" s="170" t="s">
        <v>553</v>
      </c>
      <c r="H804" s="7" t="s">
        <v>131</v>
      </c>
      <c r="I804" s="7"/>
      <c r="J804" s="118"/>
      <c r="K804" s="118">
        <v>501787</v>
      </c>
      <c r="L804" s="118"/>
      <c r="M804" s="118" t="s">
        <v>954</v>
      </c>
      <c r="N804" s="127"/>
      <c r="O804" s="26"/>
    </row>
    <row r="805" spans="1:15" ht="15" customHeight="1" x14ac:dyDescent="0.25">
      <c r="A805" s="54">
        <v>45420</v>
      </c>
      <c r="B805" s="25">
        <f t="shared" si="29"/>
        <v>5</v>
      </c>
      <c r="C805" s="25">
        <f t="shared" si="28"/>
        <v>2024</v>
      </c>
      <c r="D805" s="71" t="s">
        <v>352</v>
      </c>
      <c r="E805" s="170" t="s">
        <v>93</v>
      </c>
      <c r="F805" s="170" t="s">
        <v>585</v>
      </c>
      <c r="G805" s="170"/>
      <c r="H805" s="7" t="s">
        <v>130</v>
      </c>
      <c r="I805" s="7"/>
      <c r="J805" s="118">
        <v>272710</v>
      </c>
      <c r="K805" s="118"/>
      <c r="L805" s="118"/>
      <c r="M805" s="118"/>
      <c r="N805" s="127"/>
      <c r="O805" s="26"/>
    </row>
    <row r="806" spans="1:15" ht="15" customHeight="1" x14ac:dyDescent="0.25">
      <c r="A806" s="54">
        <v>45420</v>
      </c>
      <c r="B806" s="25">
        <f t="shared" si="29"/>
        <v>5</v>
      </c>
      <c r="C806" s="25">
        <f t="shared" si="28"/>
        <v>2024</v>
      </c>
      <c r="D806" s="71" t="s">
        <v>352</v>
      </c>
      <c r="E806" s="170" t="s">
        <v>93</v>
      </c>
      <c r="F806" s="170" t="s">
        <v>640</v>
      </c>
      <c r="G806" s="170"/>
      <c r="H806" s="7" t="s">
        <v>545</v>
      </c>
      <c r="I806" s="7"/>
      <c r="J806" s="118">
        <v>449285</v>
      </c>
      <c r="K806" s="118"/>
      <c r="L806" s="118"/>
      <c r="M806" s="118"/>
      <c r="N806" s="127"/>
      <c r="O806" s="26"/>
    </row>
    <row r="807" spans="1:15" ht="15" customHeight="1" x14ac:dyDescent="0.25">
      <c r="A807" s="54">
        <v>45420</v>
      </c>
      <c r="B807" s="25">
        <f t="shared" si="29"/>
        <v>5</v>
      </c>
      <c r="C807" s="25">
        <f t="shared" si="28"/>
        <v>2024</v>
      </c>
      <c r="D807" s="71" t="s">
        <v>352</v>
      </c>
      <c r="E807" s="170" t="s">
        <v>93</v>
      </c>
      <c r="F807" s="170" t="s">
        <v>886</v>
      </c>
      <c r="G807" s="170"/>
      <c r="H807" s="7" t="s">
        <v>130</v>
      </c>
      <c r="I807" s="7"/>
      <c r="J807" s="118">
        <v>155200</v>
      </c>
      <c r="K807" s="118"/>
      <c r="L807" s="118"/>
      <c r="M807" s="118"/>
      <c r="N807" s="127"/>
      <c r="O807" s="26"/>
    </row>
    <row r="808" spans="1:15" ht="15" customHeight="1" x14ac:dyDescent="0.25">
      <c r="A808" s="54">
        <v>45421</v>
      </c>
      <c r="B808" s="25">
        <f t="shared" si="29"/>
        <v>5</v>
      </c>
      <c r="C808" s="25">
        <f t="shared" si="28"/>
        <v>2024</v>
      </c>
      <c r="D808" s="71" t="s">
        <v>124</v>
      </c>
      <c r="E808" s="170" t="s">
        <v>93</v>
      </c>
      <c r="F808" s="170"/>
      <c r="G808" s="170" t="s">
        <v>554</v>
      </c>
      <c r="H808" s="7" t="s">
        <v>130</v>
      </c>
      <c r="I808" s="7"/>
      <c r="J808" s="118"/>
      <c r="K808" s="118">
        <v>695963.4</v>
      </c>
      <c r="L808" s="118"/>
      <c r="M808" s="118" t="s">
        <v>954</v>
      </c>
      <c r="N808" s="127"/>
      <c r="O808" s="26"/>
    </row>
    <row r="809" spans="1:15" ht="15" customHeight="1" x14ac:dyDescent="0.25">
      <c r="A809" s="54">
        <v>45421</v>
      </c>
      <c r="B809" s="25">
        <f t="shared" si="29"/>
        <v>5</v>
      </c>
      <c r="C809" s="25">
        <f t="shared" si="28"/>
        <v>2024</v>
      </c>
      <c r="D809" s="71" t="s">
        <v>124</v>
      </c>
      <c r="E809" s="170" t="s">
        <v>93</v>
      </c>
      <c r="F809" s="170"/>
      <c r="G809" s="170" t="s">
        <v>553</v>
      </c>
      <c r="H809" s="7" t="s">
        <v>874</v>
      </c>
      <c r="I809" s="7"/>
      <c r="J809" s="118"/>
      <c r="K809" s="118">
        <v>945079.42</v>
      </c>
      <c r="L809" s="118"/>
      <c r="M809" s="118" t="s">
        <v>954</v>
      </c>
      <c r="N809" s="127"/>
      <c r="O809" s="26"/>
    </row>
    <row r="810" spans="1:15" ht="15" customHeight="1" x14ac:dyDescent="0.25">
      <c r="A810" s="54">
        <v>45421</v>
      </c>
      <c r="B810" s="25">
        <f t="shared" si="29"/>
        <v>5</v>
      </c>
      <c r="C810" s="25">
        <f t="shared" si="28"/>
        <v>2024</v>
      </c>
      <c r="D810" s="71" t="s">
        <v>352</v>
      </c>
      <c r="E810" s="170" t="s">
        <v>93</v>
      </c>
      <c r="F810" s="170" t="s">
        <v>889</v>
      </c>
      <c r="G810" s="170"/>
      <c r="H810" s="7" t="s">
        <v>130</v>
      </c>
      <c r="I810" s="7"/>
      <c r="J810" s="118">
        <v>242089</v>
      </c>
      <c r="K810" s="118"/>
      <c r="L810" s="118"/>
      <c r="M810" s="118"/>
      <c r="N810" s="127"/>
      <c r="O810" s="26"/>
    </row>
    <row r="811" spans="1:15" ht="15" customHeight="1" x14ac:dyDescent="0.25">
      <c r="A811" s="54">
        <v>45422</v>
      </c>
      <c r="B811" s="25">
        <f t="shared" si="29"/>
        <v>5</v>
      </c>
      <c r="C811" s="25">
        <f t="shared" si="28"/>
        <v>2024</v>
      </c>
      <c r="D811" s="71" t="s">
        <v>352</v>
      </c>
      <c r="E811" s="170" t="s">
        <v>93</v>
      </c>
      <c r="F811" s="170" t="s">
        <v>356</v>
      </c>
      <c r="G811" s="170"/>
      <c r="H811" s="7" t="s">
        <v>861</v>
      </c>
      <c r="I811" s="7"/>
      <c r="J811" s="118">
        <v>200000</v>
      </c>
      <c r="K811" s="118"/>
      <c r="L811" s="118"/>
      <c r="M811" s="118"/>
      <c r="N811" s="127"/>
      <c r="O811" s="26"/>
    </row>
    <row r="812" spans="1:15" ht="15" customHeight="1" x14ac:dyDescent="0.25">
      <c r="A812" s="54">
        <v>45422</v>
      </c>
      <c r="B812" s="25">
        <f t="shared" si="29"/>
        <v>5</v>
      </c>
      <c r="C812" s="25">
        <f t="shared" si="28"/>
        <v>2024</v>
      </c>
      <c r="D812" s="71" t="s">
        <v>626</v>
      </c>
      <c r="E812" s="170" t="s">
        <v>93</v>
      </c>
      <c r="F812" s="170"/>
      <c r="G812" s="170"/>
      <c r="H812" s="7" t="s">
        <v>861</v>
      </c>
      <c r="I812" s="7"/>
      <c r="J812" s="118"/>
      <c r="K812" s="118">
        <v>97000</v>
      </c>
      <c r="L812" s="118"/>
      <c r="M812" s="118"/>
      <c r="N812" s="127"/>
      <c r="O812" s="26"/>
    </row>
    <row r="813" spans="1:15" ht="15" customHeight="1" x14ac:dyDescent="0.25">
      <c r="A813" s="54">
        <v>45422</v>
      </c>
      <c r="B813" s="25">
        <f t="shared" si="29"/>
        <v>5</v>
      </c>
      <c r="C813" s="25">
        <f t="shared" si="28"/>
        <v>2024</v>
      </c>
      <c r="D813" s="71" t="s">
        <v>689</v>
      </c>
      <c r="E813" s="170" t="s">
        <v>93</v>
      </c>
      <c r="F813" s="170" t="s">
        <v>169</v>
      </c>
      <c r="G813" s="170"/>
      <c r="H813" s="7" t="s">
        <v>130</v>
      </c>
      <c r="I813" s="7"/>
      <c r="J813" s="118"/>
      <c r="K813" s="118">
        <v>130000</v>
      </c>
      <c r="L813" s="118"/>
      <c r="M813" s="118"/>
      <c r="N813" s="127"/>
      <c r="O813" s="26"/>
    </row>
    <row r="814" spans="1:15" ht="15" customHeight="1" x14ac:dyDescent="0.25">
      <c r="A814" s="54">
        <v>45422</v>
      </c>
      <c r="B814" s="25">
        <f t="shared" si="29"/>
        <v>5</v>
      </c>
      <c r="C814" s="25">
        <f t="shared" si="28"/>
        <v>2024</v>
      </c>
      <c r="D814" s="71" t="s">
        <v>89</v>
      </c>
      <c r="E814" s="170" t="s">
        <v>93</v>
      </c>
      <c r="F814" s="170" t="s">
        <v>895</v>
      </c>
      <c r="G814" s="170"/>
      <c r="H814" s="7" t="s">
        <v>131</v>
      </c>
      <c r="I814" s="7"/>
      <c r="J814" s="118">
        <v>143145</v>
      </c>
      <c r="K814" s="118"/>
      <c r="L814" s="118"/>
      <c r="M814" s="118"/>
      <c r="N814" s="127"/>
      <c r="O814" s="26"/>
    </row>
    <row r="815" spans="1:15" ht="15" customHeight="1" x14ac:dyDescent="0.25">
      <c r="A815" s="54">
        <v>45422</v>
      </c>
      <c r="B815" s="25">
        <f t="shared" si="29"/>
        <v>5</v>
      </c>
      <c r="C815" s="25">
        <f t="shared" si="28"/>
        <v>2024</v>
      </c>
      <c r="D815" s="71" t="s">
        <v>352</v>
      </c>
      <c r="E815" s="170" t="s">
        <v>93</v>
      </c>
      <c r="F815" s="170" t="s">
        <v>895</v>
      </c>
      <c r="G815" s="170"/>
      <c r="H815" s="7" t="s">
        <v>131</v>
      </c>
      <c r="I815" s="7"/>
      <c r="J815" s="118">
        <v>143145</v>
      </c>
      <c r="K815" s="118"/>
      <c r="L815" s="118"/>
      <c r="M815" s="118"/>
      <c r="N815" s="127"/>
      <c r="O815" s="26"/>
    </row>
    <row r="816" spans="1:15" ht="15" customHeight="1" x14ac:dyDescent="0.25">
      <c r="A816" s="54">
        <v>45424</v>
      </c>
      <c r="B816" s="25">
        <f t="shared" si="29"/>
        <v>5</v>
      </c>
      <c r="C816" s="25">
        <f t="shared" si="28"/>
        <v>2024</v>
      </c>
      <c r="D816" s="71" t="s">
        <v>92</v>
      </c>
      <c r="E816" s="170" t="s">
        <v>92</v>
      </c>
      <c r="F816" s="170" t="s">
        <v>907</v>
      </c>
      <c r="G816" s="170"/>
      <c r="H816" s="7" t="s">
        <v>92</v>
      </c>
      <c r="I816" s="7"/>
      <c r="J816" s="118"/>
      <c r="K816" s="118">
        <v>250000</v>
      </c>
      <c r="L816" s="118"/>
      <c r="M816" s="118"/>
      <c r="N816" s="127"/>
      <c r="O816" s="26"/>
    </row>
    <row r="817" spans="1:15" ht="15" customHeight="1" x14ac:dyDescent="0.25">
      <c r="A817" s="54">
        <v>45425</v>
      </c>
      <c r="B817" s="25">
        <f t="shared" si="29"/>
        <v>5</v>
      </c>
      <c r="C817" s="25">
        <f t="shared" si="28"/>
        <v>2024</v>
      </c>
      <c r="D817" s="71" t="s">
        <v>92</v>
      </c>
      <c r="E817" s="170" t="s">
        <v>92</v>
      </c>
      <c r="F817" s="170" t="s">
        <v>624</v>
      </c>
      <c r="G817" s="170"/>
      <c r="H817" s="7" t="s">
        <v>92</v>
      </c>
      <c r="I817" s="7"/>
      <c r="J817" s="118"/>
      <c r="K817" s="118">
        <v>175000</v>
      </c>
      <c r="L817" s="118"/>
      <c r="M817" s="118"/>
      <c r="N817" s="127"/>
      <c r="O817" s="26"/>
    </row>
    <row r="818" spans="1:15" ht="15" customHeight="1" x14ac:dyDescent="0.25">
      <c r="A818" s="54">
        <v>45425</v>
      </c>
      <c r="B818" s="25">
        <f t="shared" si="29"/>
        <v>5</v>
      </c>
      <c r="C818" s="25">
        <f t="shared" si="28"/>
        <v>2024</v>
      </c>
      <c r="D818" s="71" t="s">
        <v>92</v>
      </c>
      <c r="E818" s="170" t="s">
        <v>92</v>
      </c>
      <c r="F818" s="170" t="s">
        <v>784</v>
      </c>
      <c r="G818" s="170"/>
      <c r="H818" s="7" t="s">
        <v>92</v>
      </c>
      <c r="I818" s="7"/>
      <c r="J818" s="118"/>
      <c r="K818" s="118">
        <v>166000</v>
      </c>
      <c r="L818" s="118"/>
      <c r="M818" s="118"/>
      <c r="N818" s="127"/>
      <c r="O818" s="26"/>
    </row>
    <row r="819" spans="1:15" ht="15" customHeight="1" x14ac:dyDescent="0.25">
      <c r="A819" s="54">
        <v>45425</v>
      </c>
      <c r="B819" s="25">
        <f t="shared" si="29"/>
        <v>5</v>
      </c>
      <c r="C819" s="25">
        <f t="shared" si="28"/>
        <v>2024</v>
      </c>
      <c r="D819" s="71" t="s">
        <v>92</v>
      </c>
      <c r="E819" s="167" t="s">
        <v>92</v>
      </c>
      <c r="F819" s="167" t="s">
        <v>296</v>
      </c>
      <c r="G819" s="167"/>
      <c r="H819" s="7" t="s">
        <v>92</v>
      </c>
      <c r="I819" s="7"/>
      <c r="J819" s="118"/>
      <c r="K819" s="118">
        <v>358288</v>
      </c>
      <c r="L819" s="118"/>
      <c r="M819" s="118"/>
      <c r="N819" s="127"/>
      <c r="O819" s="26"/>
    </row>
    <row r="820" spans="1:15" ht="15" customHeight="1" x14ac:dyDescent="0.25">
      <c r="A820" s="54">
        <v>45425</v>
      </c>
      <c r="B820" s="25">
        <f t="shared" si="29"/>
        <v>5</v>
      </c>
      <c r="C820" s="25">
        <f t="shared" si="28"/>
        <v>2024</v>
      </c>
      <c r="D820" s="71" t="s">
        <v>92</v>
      </c>
      <c r="E820" s="170" t="s">
        <v>92</v>
      </c>
      <c r="F820" s="170" t="s">
        <v>796</v>
      </c>
      <c r="G820" s="170"/>
      <c r="H820" s="7" t="s">
        <v>92</v>
      </c>
      <c r="I820" s="7"/>
      <c r="J820" s="118"/>
      <c r="K820" s="118">
        <v>270000</v>
      </c>
      <c r="L820" s="118"/>
      <c r="M820" s="118"/>
      <c r="N820" s="127"/>
      <c r="O820" s="26"/>
    </row>
    <row r="821" spans="1:15" ht="15" customHeight="1" x14ac:dyDescent="0.25">
      <c r="A821" s="54">
        <v>45425</v>
      </c>
      <c r="B821" s="25">
        <f t="shared" si="29"/>
        <v>5</v>
      </c>
      <c r="C821" s="25">
        <f t="shared" si="28"/>
        <v>2024</v>
      </c>
      <c r="D821" s="71" t="s">
        <v>352</v>
      </c>
      <c r="E821" s="170" t="s">
        <v>93</v>
      </c>
      <c r="F821" s="170" t="s">
        <v>551</v>
      </c>
      <c r="G821" s="170"/>
      <c r="H821" s="7" t="s">
        <v>874</v>
      </c>
      <c r="I821" s="7"/>
      <c r="J821" s="118">
        <v>1500000</v>
      </c>
      <c r="K821" s="118"/>
      <c r="L821" s="118"/>
      <c r="M821" s="118"/>
      <c r="N821" s="127"/>
      <c r="O821" s="26"/>
    </row>
    <row r="822" spans="1:15" ht="15" customHeight="1" x14ac:dyDescent="0.25">
      <c r="A822" s="54">
        <v>45425</v>
      </c>
      <c r="B822" s="25">
        <f t="shared" si="29"/>
        <v>5</v>
      </c>
      <c r="C822" s="25">
        <f t="shared" si="28"/>
        <v>2024</v>
      </c>
      <c r="D822" s="71" t="s">
        <v>352</v>
      </c>
      <c r="E822" s="170" t="s">
        <v>93</v>
      </c>
      <c r="F822" s="170" t="s">
        <v>877</v>
      </c>
      <c r="G822" s="170"/>
      <c r="H822" s="7" t="s">
        <v>130</v>
      </c>
      <c r="I822" s="7"/>
      <c r="J822" s="118">
        <v>82000</v>
      </c>
      <c r="K822" s="118"/>
      <c r="L822" s="118"/>
      <c r="M822" s="118"/>
      <c r="N822" s="127"/>
      <c r="O822" s="26"/>
    </row>
    <row r="823" spans="1:15" ht="15" customHeight="1" x14ac:dyDescent="0.25">
      <c r="A823" s="54">
        <v>45425</v>
      </c>
      <c r="B823" s="25">
        <f t="shared" si="29"/>
        <v>5</v>
      </c>
      <c r="C823" s="25">
        <f t="shared" si="28"/>
        <v>2024</v>
      </c>
      <c r="D823" s="71" t="s">
        <v>124</v>
      </c>
      <c r="E823" s="170" t="s">
        <v>93</v>
      </c>
      <c r="F823" s="170"/>
      <c r="G823" s="170" t="s">
        <v>553</v>
      </c>
      <c r="H823" s="7" t="s">
        <v>131</v>
      </c>
      <c r="I823" s="7"/>
      <c r="J823" s="118"/>
      <c r="K823" s="118">
        <v>143145</v>
      </c>
      <c r="L823" s="118"/>
      <c r="M823" s="118" t="s">
        <v>954</v>
      </c>
      <c r="N823" s="127"/>
      <c r="O823" s="26"/>
    </row>
    <row r="824" spans="1:15" ht="15" customHeight="1" x14ac:dyDescent="0.25">
      <c r="A824" s="54">
        <v>45425</v>
      </c>
      <c r="B824" s="25">
        <f t="shared" si="29"/>
        <v>5</v>
      </c>
      <c r="C824" s="25">
        <f t="shared" si="28"/>
        <v>2024</v>
      </c>
      <c r="D824" s="71" t="s">
        <v>124</v>
      </c>
      <c r="E824" s="170" t="s">
        <v>93</v>
      </c>
      <c r="F824" s="170"/>
      <c r="G824" s="170" t="s">
        <v>553</v>
      </c>
      <c r="H824" s="7" t="s">
        <v>131</v>
      </c>
      <c r="I824" s="7"/>
      <c r="J824" s="118"/>
      <c r="K824" s="118">
        <v>143145</v>
      </c>
      <c r="L824" s="118"/>
      <c r="M824" s="118" t="s">
        <v>954</v>
      </c>
      <c r="N824" s="127"/>
      <c r="O824" s="26"/>
    </row>
    <row r="825" spans="1:15" ht="15" customHeight="1" x14ac:dyDescent="0.25">
      <c r="A825" s="54">
        <v>45426</v>
      </c>
      <c r="B825" s="25">
        <f t="shared" si="29"/>
        <v>5</v>
      </c>
      <c r="C825" s="25">
        <f t="shared" si="28"/>
        <v>2024</v>
      </c>
      <c r="D825" s="71" t="s">
        <v>89</v>
      </c>
      <c r="E825" s="170" t="s">
        <v>93</v>
      </c>
      <c r="F825" s="170" t="s">
        <v>485</v>
      </c>
      <c r="G825" s="170"/>
      <c r="H825" s="7" t="s">
        <v>131</v>
      </c>
      <c r="I825" s="7"/>
      <c r="J825" s="118">
        <v>332425</v>
      </c>
      <c r="K825" s="118"/>
      <c r="L825" s="118"/>
      <c r="M825" s="118"/>
      <c r="N825" s="127"/>
      <c r="O825" s="26"/>
    </row>
    <row r="826" spans="1:15" ht="15" customHeight="1" x14ac:dyDescent="0.25">
      <c r="A826" s="54">
        <v>45426</v>
      </c>
      <c r="B826" s="25">
        <f t="shared" si="29"/>
        <v>5</v>
      </c>
      <c r="C826" s="25">
        <f t="shared" si="28"/>
        <v>2024</v>
      </c>
      <c r="D826" s="71" t="s">
        <v>124</v>
      </c>
      <c r="E826" s="170" t="s">
        <v>93</v>
      </c>
      <c r="F826" s="170"/>
      <c r="G826" s="170" t="s">
        <v>557</v>
      </c>
      <c r="H826" s="7" t="s">
        <v>130</v>
      </c>
      <c r="I826" s="7"/>
      <c r="J826" s="118"/>
      <c r="K826" s="118">
        <v>301680</v>
      </c>
      <c r="L826" s="118"/>
      <c r="M826" s="118" t="s">
        <v>954</v>
      </c>
      <c r="N826" s="127"/>
      <c r="O826" s="26"/>
    </row>
    <row r="827" spans="1:15" ht="15" customHeight="1" x14ac:dyDescent="0.25">
      <c r="A827" s="54">
        <v>45426</v>
      </c>
      <c r="B827" s="25">
        <f t="shared" si="29"/>
        <v>5</v>
      </c>
      <c r="C827" s="25">
        <f t="shared" si="28"/>
        <v>2024</v>
      </c>
      <c r="D827" s="71" t="s">
        <v>124</v>
      </c>
      <c r="E827" s="170" t="s">
        <v>93</v>
      </c>
      <c r="F827" s="170" t="s">
        <v>896</v>
      </c>
      <c r="G827" s="170"/>
      <c r="H827" s="7" t="s">
        <v>130</v>
      </c>
      <c r="I827" s="7"/>
      <c r="J827" s="118"/>
      <c r="K827" s="118">
        <v>130700</v>
      </c>
      <c r="L827" s="118"/>
      <c r="M827" s="118" t="s">
        <v>954</v>
      </c>
      <c r="N827" s="127"/>
      <c r="O827" s="26"/>
    </row>
    <row r="828" spans="1:15" ht="15" customHeight="1" x14ac:dyDescent="0.25">
      <c r="A828" s="54">
        <v>45426</v>
      </c>
      <c r="B828" s="25">
        <f t="shared" si="29"/>
        <v>5</v>
      </c>
      <c r="C828" s="25">
        <f t="shared" si="28"/>
        <v>2024</v>
      </c>
      <c r="D828" s="71" t="s">
        <v>124</v>
      </c>
      <c r="E828" s="170" t="s">
        <v>93</v>
      </c>
      <c r="F828" s="170"/>
      <c r="G828" s="170" t="s">
        <v>475</v>
      </c>
      <c r="H828" s="7" t="s">
        <v>130</v>
      </c>
      <c r="I828" s="7"/>
      <c r="J828" s="118"/>
      <c r="K828" s="118">
        <v>51962.43</v>
      </c>
      <c r="L828" s="118"/>
      <c r="M828" s="118" t="s">
        <v>954</v>
      </c>
      <c r="N828" s="127"/>
      <c r="O828" s="26"/>
    </row>
    <row r="829" spans="1:15" ht="15" customHeight="1" x14ac:dyDescent="0.25">
      <c r="A829" s="54">
        <v>45426</v>
      </c>
      <c r="B829" s="25">
        <f t="shared" si="29"/>
        <v>5</v>
      </c>
      <c r="C829" s="25">
        <f t="shared" si="28"/>
        <v>2024</v>
      </c>
      <c r="D829" s="71" t="s">
        <v>124</v>
      </c>
      <c r="E829" s="170" t="s">
        <v>93</v>
      </c>
      <c r="F829" s="170"/>
      <c r="G829" s="170" t="s">
        <v>100</v>
      </c>
      <c r="H829" s="7" t="s">
        <v>130</v>
      </c>
      <c r="I829" s="7"/>
      <c r="J829" s="118"/>
      <c r="K829" s="118">
        <v>253600</v>
      </c>
      <c r="L829" s="118"/>
      <c r="M829" s="118"/>
      <c r="N829" s="127"/>
      <c r="O829" s="26"/>
    </row>
    <row r="830" spans="1:15" ht="15" customHeight="1" x14ac:dyDescent="0.25">
      <c r="A830" s="54">
        <v>45427</v>
      </c>
      <c r="B830" s="25">
        <f t="shared" si="29"/>
        <v>5</v>
      </c>
      <c r="C830" s="25">
        <f t="shared" si="28"/>
        <v>2024</v>
      </c>
      <c r="D830" s="71" t="s">
        <v>352</v>
      </c>
      <c r="E830" s="170" t="s">
        <v>93</v>
      </c>
      <c r="F830" s="170" t="s">
        <v>813</v>
      </c>
      <c r="G830" s="170"/>
      <c r="H830" s="7" t="s">
        <v>130</v>
      </c>
      <c r="I830" s="7"/>
      <c r="J830" s="118">
        <v>99100</v>
      </c>
      <c r="K830" s="118"/>
      <c r="L830" s="118"/>
      <c r="M830" s="118"/>
      <c r="N830" s="127"/>
      <c r="O830" s="26"/>
    </row>
    <row r="831" spans="1:15" ht="15" customHeight="1" x14ac:dyDescent="0.25">
      <c r="A831" s="54">
        <v>45427</v>
      </c>
      <c r="B831" s="25">
        <f t="shared" si="29"/>
        <v>5</v>
      </c>
      <c r="C831" s="25">
        <f t="shared" ref="C831:C894" si="30">YEAR((A831))</f>
        <v>2024</v>
      </c>
      <c r="D831" s="71" t="s">
        <v>124</v>
      </c>
      <c r="E831" s="170" t="s">
        <v>93</v>
      </c>
      <c r="F831" s="170"/>
      <c r="G831" s="170" t="s">
        <v>475</v>
      </c>
      <c r="H831" s="7" t="s">
        <v>130</v>
      </c>
      <c r="I831" s="7"/>
      <c r="J831" s="118"/>
      <c r="K831" s="118">
        <v>43858.720000000001</v>
      </c>
      <c r="L831" s="118"/>
      <c r="M831" s="118" t="s">
        <v>954</v>
      </c>
      <c r="N831" s="127"/>
      <c r="O831" s="26"/>
    </row>
    <row r="832" spans="1:15" ht="15" customHeight="1" x14ac:dyDescent="0.25">
      <c r="A832" s="54">
        <v>45427</v>
      </c>
      <c r="B832" s="25">
        <f t="shared" si="29"/>
        <v>5</v>
      </c>
      <c r="C832" s="25">
        <f t="shared" si="30"/>
        <v>2024</v>
      </c>
      <c r="D832" s="71" t="s">
        <v>352</v>
      </c>
      <c r="E832" s="170" t="s">
        <v>93</v>
      </c>
      <c r="F832" s="170" t="s">
        <v>897</v>
      </c>
      <c r="G832" s="170"/>
      <c r="H832" s="7" t="s">
        <v>545</v>
      </c>
      <c r="I832" s="7"/>
      <c r="J832" s="118">
        <v>430177</v>
      </c>
      <c r="K832" s="118"/>
      <c r="L832" s="118"/>
      <c r="M832" s="118"/>
      <c r="N832" s="127"/>
      <c r="O832" s="26"/>
    </row>
    <row r="833" spans="1:15" ht="15" customHeight="1" x14ac:dyDescent="0.25">
      <c r="A833" s="54">
        <v>45427</v>
      </c>
      <c r="B833" s="25">
        <f t="shared" si="29"/>
        <v>5</v>
      </c>
      <c r="C833" s="25">
        <f t="shared" si="30"/>
        <v>2024</v>
      </c>
      <c r="D833" s="71" t="s">
        <v>89</v>
      </c>
      <c r="E833" s="170" t="s">
        <v>93</v>
      </c>
      <c r="F833" s="170" t="s">
        <v>898</v>
      </c>
      <c r="G833" s="170"/>
      <c r="H833" s="7" t="s">
        <v>130</v>
      </c>
      <c r="I833" s="7"/>
      <c r="J833" s="118">
        <v>95000</v>
      </c>
      <c r="K833" s="118"/>
      <c r="L833" s="118"/>
      <c r="M833" s="118"/>
      <c r="N833" s="127"/>
      <c r="O833" s="26"/>
    </row>
    <row r="834" spans="1:15" ht="15" customHeight="1" x14ac:dyDescent="0.25">
      <c r="A834" s="54">
        <v>45427</v>
      </c>
      <c r="B834" s="25">
        <f t="shared" si="29"/>
        <v>5</v>
      </c>
      <c r="C834" s="25">
        <f t="shared" si="30"/>
        <v>2024</v>
      </c>
      <c r="D834" s="71" t="s">
        <v>507</v>
      </c>
      <c r="E834" s="170" t="s">
        <v>92</v>
      </c>
      <c r="F834" s="170" t="s">
        <v>899</v>
      </c>
      <c r="G834" s="170"/>
      <c r="H834" s="7" t="s">
        <v>92</v>
      </c>
      <c r="I834" s="7"/>
      <c r="J834" s="118"/>
      <c r="K834" s="118">
        <v>110980</v>
      </c>
      <c r="L834" s="118"/>
      <c r="M834" s="118"/>
      <c r="N834" s="127"/>
      <c r="O834" s="26"/>
    </row>
    <row r="835" spans="1:15" ht="15" customHeight="1" x14ac:dyDescent="0.25">
      <c r="A835" s="54">
        <v>45427</v>
      </c>
      <c r="B835" s="25">
        <f t="shared" ref="B835:B898" si="31">MONTH(A835)</f>
        <v>5</v>
      </c>
      <c r="C835" s="25">
        <f t="shared" si="30"/>
        <v>2024</v>
      </c>
      <c r="D835" s="71" t="s">
        <v>352</v>
      </c>
      <c r="E835" s="170" t="s">
        <v>93</v>
      </c>
      <c r="F835" s="170" t="s">
        <v>561</v>
      </c>
      <c r="G835" s="170"/>
      <c r="H835" s="7" t="s">
        <v>545</v>
      </c>
      <c r="I835" s="7"/>
      <c r="J835" s="118">
        <v>403413</v>
      </c>
      <c r="K835" s="118"/>
      <c r="L835" s="118"/>
      <c r="M835" s="118"/>
      <c r="N835" s="127"/>
      <c r="O835" s="26"/>
    </row>
    <row r="836" spans="1:15" ht="15" customHeight="1" x14ac:dyDescent="0.25">
      <c r="A836" s="54">
        <v>45427</v>
      </c>
      <c r="B836" s="25">
        <f t="shared" si="31"/>
        <v>5</v>
      </c>
      <c r="C836" s="25">
        <f t="shared" si="30"/>
        <v>2024</v>
      </c>
      <c r="D836" s="71" t="s">
        <v>352</v>
      </c>
      <c r="E836" s="170" t="s">
        <v>93</v>
      </c>
      <c r="F836" s="170" t="s">
        <v>900</v>
      </c>
      <c r="G836" s="170"/>
      <c r="H836" s="7" t="s">
        <v>545</v>
      </c>
      <c r="I836" s="7"/>
      <c r="J836" s="118">
        <v>202063</v>
      </c>
      <c r="K836" s="118"/>
      <c r="L836" s="118"/>
      <c r="M836" s="118"/>
      <c r="N836" s="127"/>
      <c r="O836" s="26"/>
    </row>
    <row r="837" spans="1:15" ht="15" customHeight="1" x14ac:dyDescent="0.25">
      <c r="A837" s="54">
        <v>45428</v>
      </c>
      <c r="B837" s="25">
        <f t="shared" si="31"/>
        <v>5</v>
      </c>
      <c r="C837" s="25">
        <f t="shared" si="30"/>
        <v>2024</v>
      </c>
      <c r="D837" s="71" t="s">
        <v>124</v>
      </c>
      <c r="E837" s="170" t="s">
        <v>93</v>
      </c>
      <c r="F837" s="170" t="s">
        <v>826</v>
      </c>
      <c r="G837" s="170"/>
      <c r="H837" s="7" t="s">
        <v>131</v>
      </c>
      <c r="I837" s="7"/>
      <c r="J837" s="118"/>
      <c r="K837" s="118">
        <v>332425</v>
      </c>
      <c r="L837" s="118"/>
      <c r="M837" s="118"/>
      <c r="N837" s="127"/>
      <c r="O837" s="26"/>
    </row>
    <row r="838" spans="1:15" ht="15" customHeight="1" x14ac:dyDescent="0.25">
      <c r="A838" s="54">
        <v>45428</v>
      </c>
      <c r="B838" s="25">
        <f t="shared" si="31"/>
        <v>5</v>
      </c>
      <c r="C838" s="25">
        <f t="shared" si="30"/>
        <v>2024</v>
      </c>
      <c r="D838" s="71" t="s">
        <v>352</v>
      </c>
      <c r="E838" s="170" t="s">
        <v>93</v>
      </c>
      <c r="F838" s="170" t="s">
        <v>901</v>
      </c>
      <c r="G838" s="170"/>
      <c r="H838" s="7" t="s">
        <v>130</v>
      </c>
      <c r="I838" s="7"/>
      <c r="J838" s="118">
        <v>120000</v>
      </c>
      <c r="K838" s="118"/>
      <c r="L838" s="118"/>
      <c r="M838" s="118"/>
      <c r="N838" s="127"/>
      <c r="O838" s="26"/>
    </row>
    <row r="839" spans="1:15" ht="15" customHeight="1" x14ac:dyDescent="0.25">
      <c r="A839" s="54">
        <v>45429</v>
      </c>
      <c r="B839" s="25">
        <f t="shared" si="31"/>
        <v>5</v>
      </c>
      <c r="C839" s="25">
        <f t="shared" si="30"/>
        <v>2024</v>
      </c>
      <c r="D839" s="71" t="s">
        <v>124</v>
      </c>
      <c r="E839" s="170" t="s">
        <v>93</v>
      </c>
      <c r="F839" s="170" t="s">
        <v>844</v>
      </c>
      <c r="G839" s="170"/>
      <c r="H839" s="7" t="s">
        <v>130</v>
      </c>
      <c r="I839" s="7"/>
      <c r="J839" s="118"/>
      <c r="K839" s="118">
        <v>29627.13</v>
      </c>
      <c r="L839" s="118"/>
      <c r="M839" s="118" t="s">
        <v>954</v>
      </c>
      <c r="N839" s="127"/>
      <c r="O839" s="26"/>
    </row>
    <row r="840" spans="1:15" ht="15" customHeight="1" x14ac:dyDescent="0.25">
      <c r="A840" s="54">
        <v>45429</v>
      </c>
      <c r="B840" s="25">
        <f t="shared" si="31"/>
        <v>5</v>
      </c>
      <c r="C840" s="25">
        <f t="shared" si="30"/>
        <v>2024</v>
      </c>
      <c r="D840" s="71" t="s">
        <v>124</v>
      </c>
      <c r="E840" s="170" t="s">
        <v>93</v>
      </c>
      <c r="F840" s="170" t="s">
        <v>903</v>
      </c>
      <c r="G840" s="170"/>
      <c r="H840" s="7" t="s">
        <v>130</v>
      </c>
      <c r="I840" s="7"/>
      <c r="J840" s="118"/>
      <c r="K840" s="118">
        <v>10000</v>
      </c>
      <c r="L840" s="118"/>
      <c r="M840" s="118" t="s">
        <v>954</v>
      </c>
      <c r="N840" s="127"/>
      <c r="O840" s="26"/>
    </row>
    <row r="841" spans="1:15" ht="15" customHeight="1" x14ac:dyDescent="0.25">
      <c r="A841" s="54">
        <v>45429</v>
      </c>
      <c r="B841" s="25">
        <f t="shared" si="31"/>
        <v>5</v>
      </c>
      <c r="C841" s="25">
        <f t="shared" si="30"/>
        <v>2024</v>
      </c>
      <c r="D841" s="71" t="s">
        <v>352</v>
      </c>
      <c r="E841" s="170" t="s">
        <v>93</v>
      </c>
      <c r="F841" s="170" t="s">
        <v>356</v>
      </c>
      <c r="G841" s="170"/>
      <c r="H841" s="7" t="s">
        <v>130</v>
      </c>
      <c r="I841" s="7"/>
      <c r="J841" s="118">
        <v>100000</v>
      </c>
      <c r="K841" s="118"/>
      <c r="L841" s="118"/>
      <c r="M841" s="118"/>
      <c r="N841" s="127"/>
      <c r="O841" s="26"/>
    </row>
    <row r="842" spans="1:15" ht="15" customHeight="1" x14ac:dyDescent="0.25">
      <c r="A842" s="54">
        <v>45429</v>
      </c>
      <c r="B842" s="25">
        <f t="shared" si="31"/>
        <v>5</v>
      </c>
      <c r="C842" s="25">
        <f t="shared" si="30"/>
        <v>2024</v>
      </c>
      <c r="D842" s="71" t="s">
        <v>124</v>
      </c>
      <c r="E842" s="170" t="s">
        <v>93</v>
      </c>
      <c r="F842" s="170" t="s">
        <v>904</v>
      </c>
      <c r="G842" s="170"/>
      <c r="H842" s="7" t="s">
        <v>130</v>
      </c>
      <c r="I842" s="7"/>
      <c r="J842" s="118"/>
      <c r="K842" s="118">
        <v>60000</v>
      </c>
      <c r="L842" s="118"/>
      <c r="M842" s="118"/>
      <c r="N842" s="127"/>
      <c r="O842" s="26"/>
    </row>
    <row r="843" spans="1:15" ht="15" customHeight="1" x14ac:dyDescent="0.25">
      <c r="A843" s="54">
        <v>45429</v>
      </c>
      <c r="B843" s="25">
        <f t="shared" si="31"/>
        <v>5</v>
      </c>
      <c r="C843" s="25">
        <f t="shared" si="30"/>
        <v>2024</v>
      </c>
      <c r="D843" s="71" t="s">
        <v>352</v>
      </c>
      <c r="E843" s="170" t="s">
        <v>93</v>
      </c>
      <c r="F843" s="170" t="s">
        <v>430</v>
      </c>
      <c r="G843" s="170"/>
      <c r="H843" s="7" t="s">
        <v>131</v>
      </c>
      <c r="I843" s="7"/>
      <c r="J843" s="118">
        <v>143945</v>
      </c>
      <c r="K843" s="118"/>
      <c r="L843" s="118"/>
      <c r="M843" s="118"/>
      <c r="N843" s="127"/>
      <c r="O843" s="26"/>
    </row>
    <row r="844" spans="1:15" ht="15" customHeight="1" x14ac:dyDescent="0.25">
      <c r="A844" s="54">
        <v>45429</v>
      </c>
      <c r="B844" s="25">
        <f t="shared" si="31"/>
        <v>5</v>
      </c>
      <c r="C844" s="25">
        <f t="shared" si="30"/>
        <v>2024</v>
      </c>
      <c r="D844" s="71" t="s">
        <v>352</v>
      </c>
      <c r="E844" s="170" t="s">
        <v>93</v>
      </c>
      <c r="F844" s="170" t="s">
        <v>430</v>
      </c>
      <c r="G844" s="170"/>
      <c r="H844" s="7" t="s">
        <v>131</v>
      </c>
      <c r="I844" s="7"/>
      <c r="J844" s="118">
        <v>143945</v>
      </c>
      <c r="K844" s="118"/>
      <c r="L844" s="118"/>
      <c r="M844" s="118"/>
      <c r="N844" s="127"/>
      <c r="O844" s="26"/>
    </row>
    <row r="845" spans="1:15" ht="15" customHeight="1" x14ac:dyDescent="0.25">
      <c r="A845" s="93">
        <v>45429</v>
      </c>
      <c r="B845" s="94">
        <f t="shared" si="31"/>
        <v>5</v>
      </c>
      <c r="C845" s="94">
        <f t="shared" si="30"/>
        <v>2024</v>
      </c>
      <c r="D845" s="124" t="s">
        <v>92</v>
      </c>
      <c r="E845" s="171" t="s">
        <v>92</v>
      </c>
      <c r="F845" s="171" t="s">
        <v>789</v>
      </c>
      <c r="G845" s="171"/>
      <c r="H845" s="95" t="s">
        <v>92</v>
      </c>
      <c r="I845" s="95"/>
      <c r="J845" s="139"/>
      <c r="K845" s="139">
        <v>44240</v>
      </c>
      <c r="L845" s="139"/>
      <c r="M845" s="139"/>
      <c r="N845" s="131"/>
    </row>
    <row r="846" spans="1:15" ht="15" customHeight="1" x14ac:dyDescent="0.25">
      <c r="A846" s="54">
        <v>45430</v>
      </c>
      <c r="B846" s="25">
        <f t="shared" si="31"/>
        <v>5</v>
      </c>
      <c r="C846" s="25">
        <f t="shared" si="30"/>
        <v>2024</v>
      </c>
      <c r="D846" s="71" t="s">
        <v>626</v>
      </c>
      <c r="E846" s="170" t="s">
        <v>93</v>
      </c>
      <c r="F846" s="170"/>
      <c r="G846" s="170"/>
      <c r="H846" s="7" t="s">
        <v>130</v>
      </c>
      <c r="I846" s="7"/>
      <c r="J846" s="118"/>
      <c r="K846" s="118">
        <v>97000</v>
      </c>
      <c r="L846" s="118"/>
      <c r="M846" s="118"/>
      <c r="N846" s="127"/>
      <c r="O846" s="26"/>
    </row>
    <row r="847" spans="1:15" ht="15" customHeight="1" x14ac:dyDescent="0.25">
      <c r="A847" s="93">
        <v>45432</v>
      </c>
      <c r="B847" s="94">
        <f t="shared" si="31"/>
        <v>5</v>
      </c>
      <c r="C847" s="94">
        <f t="shared" si="30"/>
        <v>2024</v>
      </c>
      <c r="D847" s="124" t="s">
        <v>505</v>
      </c>
      <c r="E847" s="171" t="s">
        <v>92</v>
      </c>
      <c r="F847" s="171" t="s">
        <v>794</v>
      </c>
      <c r="G847" s="171"/>
      <c r="H847" s="95" t="s">
        <v>92</v>
      </c>
      <c r="I847" s="95"/>
      <c r="J847" s="139"/>
      <c r="K847" s="139">
        <v>35736.43</v>
      </c>
      <c r="L847" s="139"/>
      <c r="M847" s="139"/>
      <c r="N847" s="131"/>
    </row>
    <row r="848" spans="1:15" ht="15" customHeight="1" x14ac:dyDescent="0.25">
      <c r="A848" s="54">
        <v>45433</v>
      </c>
      <c r="B848" s="25">
        <f t="shared" si="31"/>
        <v>5</v>
      </c>
      <c r="C848" s="25">
        <f t="shared" si="30"/>
        <v>2024</v>
      </c>
      <c r="D848" s="71" t="s">
        <v>352</v>
      </c>
      <c r="E848" s="170" t="s">
        <v>93</v>
      </c>
      <c r="F848" s="170" t="s">
        <v>908</v>
      </c>
      <c r="G848" s="170"/>
      <c r="H848" s="7" t="s">
        <v>130</v>
      </c>
      <c r="I848" s="7"/>
      <c r="J848" s="118">
        <v>100000</v>
      </c>
      <c r="K848" s="118"/>
      <c r="L848" s="118"/>
      <c r="M848" s="118"/>
      <c r="N848" s="127"/>
      <c r="O848" s="26"/>
    </row>
    <row r="849" spans="1:15" ht="15" customHeight="1" x14ac:dyDescent="0.25">
      <c r="A849" s="93">
        <v>45433</v>
      </c>
      <c r="B849" s="94">
        <f t="shared" si="31"/>
        <v>5</v>
      </c>
      <c r="C849" s="94">
        <f t="shared" si="30"/>
        <v>2024</v>
      </c>
      <c r="D849" s="124" t="s">
        <v>149</v>
      </c>
      <c r="E849" s="171" t="s">
        <v>93</v>
      </c>
      <c r="F849" s="171" t="s">
        <v>593</v>
      </c>
      <c r="G849" s="171"/>
      <c r="H849" s="95" t="s">
        <v>130</v>
      </c>
      <c r="I849" s="95"/>
      <c r="J849" s="139"/>
      <c r="K849" s="139">
        <v>160000</v>
      </c>
      <c r="L849" s="139"/>
      <c r="M849" s="139"/>
      <c r="N849" s="131"/>
    </row>
    <row r="850" spans="1:15" ht="15" customHeight="1" x14ac:dyDescent="0.25">
      <c r="A850" s="54">
        <v>45434</v>
      </c>
      <c r="B850" s="25">
        <f t="shared" si="31"/>
        <v>5</v>
      </c>
      <c r="C850" s="25">
        <f t="shared" si="30"/>
        <v>2024</v>
      </c>
      <c r="D850" s="71" t="s">
        <v>124</v>
      </c>
      <c r="E850" s="170" t="s">
        <v>93</v>
      </c>
      <c r="F850" s="170" t="s">
        <v>333</v>
      </c>
      <c r="G850" s="170"/>
      <c r="H850" s="7" t="s">
        <v>131</v>
      </c>
      <c r="I850" s="7"/>
      <c r="J850" s="118"/>
      <c r="K850" s="118">
        <v>143945</v>
      </c>
      <c r="L850" s="118"/>
      <c r="M850" s="118"/>
      <c r="N850" s="127"/>
      <c r="O850" s="26"/>
    </row>
    <row r="851" spans="1:15" ht="15" customHeight="1" x14ac:dyDescent="0.25">
      <c r="A851" s="54">
        <v>45434</v>
      </c>
      <c r="B851" s="25">
        <f t="shared" si="31"/>
        <v>5</v>
      </c>
      <c r="C851" s="25">
        <f t="shared" si="30"/>
        <v>2024</v>
      </c>
      <c r="D851" s="71" t="s">
        <v>124</v>
      </c>
      <c r="E851" s="170" t="s">
        <v>93</v>
      </c>
      <c r="F851" s="170" t="s">
        <v>333</v>
      </c>
      <c r="G851" s="170"/>
      <c r="H851" s="7" t="s">
        <v>131</v>
      </c>
      <c r="I851" s="7"/>
      <c r="J851" s="118"/>
      <c r="K851" s="118">
        <v>143945</v>
      </c>
      <c r="L851" s="118"/>
      <c r="M851" s="118"/>
      <c r="N851" s="127"/>
      <c r="O851" s="26"/>
    </row>
    <row r="852" spans="1:15" ht="15" customHeight="1" x14ac:dyDescent="0.25">
      <c r="A852" s="54">
        <v>45435</v>
      </c>
      <c r="B852" s="25">
        <f t="shared" si="31"/>
        <v>5</v>
      </c>
      <c r="C852" s="25">
        <f t="shared" si="30"/>
        <v>2024</v>
      </c>
      <c r="D852" s="71" t="s">
        <v>352</v>
      </c>
      <c r="E852" s="170" t="s">
        <v>93</v>
      </c>
      <c r="F852" s="170" t="s">
        <v>815</v>
      </c>
      <c r="G852" s="170"/>
      <c r="H852" s="7" t="s">
        <v>130</v>
      </c>
      <c r="I852" s="7"/>
      <c r="J852" s="118">
        <v>35000</v>
      </c>
      <c r="K852" s="118"/>
      <c r="L852" s="118"/>
      <c r="M852" s="118"/>
      <c r="N852" s="127"/>
      <c r="O852" s="26"/>
    </row>
    <row r="853" spans="1:15" ht="15" customHeight="1" x14ac:dyDescent="0.25">
      <c r="A853" s="54">
        <v>45435</v>
      </c>
      <c r="B853" s="25">
        <f t="shared" si="31"/>
        <v>5</v>
      </c>
      <c r="C853" s="25">
        <f t="shared" si="30"/>
        <v>2024</v>
      </c>
      <c r="D853" s="71" t="s">
        <v>352</v>
      </c>
      <c r="E853" s="170" t="s">
        <v>93</v>
      </c>
      <c r="F853" s="170" t="s">
        <v>914</v>
      </c>
      <c r="G853" s="170"/>
      <c r="H853" s="7" t="s">
        <v>131</v>
      </c>
      <c r="I853" s="7"/>
      <c r="J853" s="118">
        <v>300000</v>
      </c>
      <c r="K853" s="118"/>
      <c r="L853" s="118"/>
      <c r="M853" s="118"/>
      <c r="N853" s="127"/>
      <c r="O853" s="26"/>
    </row>
    <row r="854" spans="1:15" ht="15" customHeight="1" x14ac:dyDescent="0.25">
      <c r="A854" s="54">
        <v>45436</v>
      </c>
      <c r="B854" s="25">
        <f t="shared" si="31"/>
        <v>5</v>
      </c>
      <c r="C854" s="25">
        <f t="shared" si="30"/>
        <v>2024</v>
      </c>
      <c r="D854" s="71" t="s">
        <v>89</v>
      </c>
      <c r="E854" s="170" t="s">
        <v>93</v>
      </c>
      <c r="F854" s="170" t="s">
        <v>908</v>
      </c>
      <c r="G854" s="170"/>
      <c r="H854" s="7" t="s">
        <v>130</v>
      </c>
      <c r="I854" s="7"/>
      <c r="J854" s="118">
        <v>52240</v>
      </c>
      <c r="K854" s="118"/>
      <c r="L854" s="118"/>
      <c r="M854" s="118"/>
      <c r="N854" s="127"/>
      <c r="O854" s="26"/>
    </row>
    <row r="855" spans="1:15" ht="15" customHeight="1" x14ac:dyDescent="0.25">
      <c r="A855" s="54">
        <v>45436</v>
      </c>
      <c r="B855" s="25">
        <f t="shared" si="31"/>
        <v>5</v>
      </c>
      <c r="C855" s="25">
        <f t="shared" si="30"/>
        <v>2024</v>
      </c>
      <c r="D855" s="71" t="s">
        <v>124</v>
      </c>
      <c r="E855" s="170" t="s">
        <v>93</v>
      </c>
      <c r="F855" s="170" t="s">
        <v>333</v>
      </c>
      <c r="G855" s="170"/>
      <c r="H855" s="7" t="s">
        <v>130</v>
      </c>
      <c r="I855" s="7"/>
      <c r="J855" s="118"/>
      <c r="K855" s="118">
        <v>169874.34</v>
      </c>
      <c r="L855" s="118"/>
      <c r="M855" s="118"/>
      <c r="N855" s="127"/>
      <c r="O855" s="26"/>
    </row>
    <row r="856" spans="1:15" ht="15" customHeight="1" x14ac:dyDescent="0.25">
      <c r="A856" s="54">
        <v>45436</v>
      </c>
      <c r="B856" s="25">
        <f t="shared" si="31"/>
        <v>5</v>
      </c>
      <c r="C856" s="25">
        <f t="shared" si="30"/>
        <v>2024</v>
      </c>
      <c r="D856" s="71" t="s">
        <v>352</v>
      </c>
      <c r="E856" s="170" t="s">
        <v>93</v>
      </c>
      <c r="F856" s="170" t="s">
        <v>916</v>
      </c>
      <c r="G856" s="170"/>
      <c r="H856" s="7" t="s">
        <v>130</v>
      </c>
      <c r="I856" s="7"/>
      <c r="J856" s="118">
        <v>95000</v>
      </c>
      <c r="K856" s="118"/>
      <c r="L856" s="118"/>
      <c r="M856" s="118"/>
      <c r="N856" s="127"/>
      <c r="O856" s="26"/>
    </row>
    <row r="857" spans="1:15" ht="15" customHeight="1" x14ac:dyDescent="0.25">
      <c r="A857" s="54">
        <v>45436</v>
      </c>
      <c r="B857" s="25">
        <f t="shared" si="31"/>
        <v>5</v>
      </c>
      <c r="C857" s="25">
        <f t="shared" si="30"/>
        <v>2024</v>
      </c>
      <c r="D857" s="71" t="s">
        <v>89</v>
      </c>
      <c r="E857" s="170" t="s">
        <v>93</v>
      </c>
      <c r="F857" s="170" t="s">
        <v>917</v>
      </c>
      <c r="G857" s="170"/>
      <c r="H857" s="7" t="s">
        <v>545</v>
      </c>
      <c r="I857" s="7"/>
      <c r="J857" s="118">
        <v>250000</v>
      </c>
      <c r="K857" s="118"/>
      <c r="L857" s="118"/>
      <c r="M857" s="118"/>
      <c r="N857" s="127"/>
      <c r="O857" s="26"/>
    </row>
    <row r="858" spans="1:15" ht="15" customHeight="1" x14ac:dyDescent="0.25">
      <c r="A858" s="54">
        <v>45436</v>
      </c>
      <c r="B858" s="25">
        <f t="shared" si="31"/>
        <v>5</v>
      </c>
      <c r="C858" s="25">
        <f t="shared" si="30"/>
        <v>2024</v>
      </c>
      <c r="D858" s="71" t="s">
        <v>689</v>
      </c>
      <c r="E858" s="170" t="s">
        <v>93</v>
      </c>
      <c r="F858" s="170" t="s">
        <v>567</v>
      </c>
      <c r="G858" s="170"/>
      <c r="H858" s="7" t="s">
        <v>130</v>
      </c>
      <c r="I858" s="7"/>
      <c r="J858" s="118"/>
      <c r="K858" s="118">
        <v>130000</v>
      </c>
      <c r="L858" s="118"/>
      <c r="M858" s="118"/>
      <c r="N858" s="127"/>
      <c r="O858" s="26"/>
    </row>
    <row r="859" spans="1:15" ht="15" customHeight="1" x14ac:dyDescent="0.25">
      <c r="A859" s="54">
        <v>45436</v>
      </c>
      <c r="B859" s="25">
        <f t="shared" si="31"/>
        <v>5</v>
      </c>
      <c r="C859" s="25">
        <f t="shared" si="30"/>
        <v>2024</v>
      </c>
      <c r="D859" s="71" t="s">
        <v>626</v>
      </c>
      <c r="E859" s="170" t="s">
        <v>93</v>
      </c>
      <c r="F859" s="170"/>
      <c r="G859" s="170"/>
      <c r="H859" s="7" t="s">
        <v>130</v>
      </c>
      <c r="I859" s="7"/>
      <c r="J859" s="118"/>
      <c r="K859" s="118">
        <v>97000</v>
      </c>
      <c r="L859" s="118"/>
      <c r="M859" s="118"/>
      <c r="N859" s="127"/>
      <c r="O859" s="26"/>
    </row>
    <row r="860" spans="1:15" ht="15" customHeight="1" x14ac:dyDescent="0.25">
      <c r="A860" s="54">
        <v>45437</v>
      </c>
      <c r="B860" s="25">
        <f t="shared" si="31"/>
        <v>5</v>
      </c>
      <c r="C860" s="25">
        <f t="shared" si="30"/>
        <v>2024</v>
      </c>
      <c r="D860" s="71" t="s">
        <v>352</v>
      </c>
      <c r="E860" s="170" t="s">
        <v>93</v>
      </c>
      <c r="F860" s="170" t="s">
        <v>918</v>
      </c>
      <c r="G860" s="170"/>
      <c r="H860" s="7" t="s">
        <v>130</v>
      </c>
      <c r="I860" s="7"/>
      <c r="J860" s="118">
        <v>242480</v>
      </c>
      <c r="K860" s="118"/>
      <c r="L860" s="118"/>
      <c r="M860" s="118"/>
      <c r="N860" s="127"/>
      <c r="O860" s="26"/>
    </row>
    <row r="861" spans="1:15" ht="15" customHeight="1" x14ac:dyDescent="0.25">
      <c r="A861" s="54">
        <v>45438</v>
      </c>
      <c r="B861" s="25">
        <f t="shared" si="31"/>
        <v>5</v>
      </c>
      <c r="C861" s="25">
        <f t="shared" si="30"/>
        <v>2024</v>
      </c>
      <c r="D861" s="71" t="s">
        <v>92</v>
      </c>
      <c r="E861" s="170" t="s">
        <v>92</v>
      </c>
      <c r="F861" s="170" t="s">
        <v>922</v>
      </c>
      <c r="G861" s="170"/>
      <c r="H861" s="7" t="s">
        <v>92</v>
      </c>
      <c r="I861" s="7"/>
      <c r="J861" s="118"/>
      <c r="K861" s="118">
        <v>53000</v>
      </c>
      <c r="L861" s="118"/>
      <c r="M861" s="118"/>
      <c r="N861" s="127"/>
      <c r="O861" s="26"/>
    </row>
    <row r="862" spans="1:15" ht="15" customHeight="1" x14ac:dyDescent="0.25">
      <c r="A862" s="54">
        <v>45439</v>
      </c>
      <c r="B862" s="25">
        <f t="shared" si="31"/>
        <v>5</v>
      </c>
      <c r="C862" s="25">
        <f t="shared" si="30"/>
        <v>2024</v>
      </c>
      <c r="D862" s="71" t="s">
        <v>352</v>
      </c>
      <c r="E862" s="170" t="s">
        <v>93</v>
      </c>
      <c r="F862" s="170" t="s">
        <v>919</v>
      </c>
      <c r="G862" s="170"/>
      <c r="H862" s="7" t="s">
        <v>130</v>
      </c>
      <c r="I862" s="7"/>
      <c r="J862" s="118">
        <v>440642</v>
      </c>
      <c r="K862" s="118"/>
      <c r="L862" s="118"/>
      <c r="M862" s="118"/>
      <c r="N862" s="127"/>
      <c r="O862" s="26"/>
    </row>
    <row r="863" spans="1:15" ht="15" customHeight="1" x14ac:dyDescent="0.25">
      <c r="A863" s="54">
        <v>45439</v>
      </c>
      <c r="B863" s="25">
        <f t="shared" si="31"/>
        <v>5</v>
      </c>
      <c r="C863" s="25">
        <f t="shared" si="30"/>
        <v>2024</v>
      </c>
      <c r="D863" s="71" t="s">
        <v>352</v>
      </c>
      <c r="E863" s="170" t="s">
        <v>93</v>
      </c>
      <c r="F863" s="170" t="s">
        <v>920</v>
      </c>
      <c r="G863" s="170"/>
      <c r="H863" s="7" t="s">
        <v>130</v>
      </c>
      <c r="I863" s="7"/>
      <c r="J863" s="118">
        <v>326000</v>
      </c>
      <c r="K863" s="118"/>
      <c r="L863" s="118"/>
      <c r="M863" s="118"/>
      <c r="N863" s="127"/>
      <c r="O863" s="26"/>
    </row>
    <row r="864" spans="1:15" ht="15" customHeight="1" x14ac:dyDescent="0.25">
      <c r="A864" s="54">
        <v>45439</v>
      </c>
      <c r="B864" s="25">
        <f t="shared" si="31"/>
        <v>5</v>
      </c>
      <c r="C864" s="25">
        <f t="shared" si="30"/>
        <v>2024</v>
      </c>
      <c r="D864" s="71" t="s">
        <v>89</v>
      </c>
      <c r="E864" s="170" t="s">
        <v>93</v>
      </c>
      <c r="F864" s="170" t="s">
        <v>515</v>
      </c>
      <c r="G864" s="170"/>
      <c r="H864" s="7" t="s">
        <v>130</v>
      </c>
      <c r="I864" s="7"/>
      <c r="J864" s="118">
        <v>80335</v>
      </c>
      <c r="K864" s="118"/>
      <c r="L864" s="118"/>
      <c r="M864" s="118"/>
      <c r="N864" s="127"/>
      <c r="O864" s="26"/>
    </row>
    <row r="865" spans="1:15" ht="15" customHeight="1" x14ac:dyDescent="0.25">
      <c r="A865" s="54">
        <v>45439</v>
      </c>
      <c r="B865" s="25">
        <f t="shared" si="31"/>
        <v>5</v>
      </c>
      <c r="C865" s="25">
        <f t="shared" si="30"/>
        <v>2024</v>
      </c>
      <c r="D865" s="71" t="s">
        <v>352</v>
      </c>
      <c r="E865" s="170" t="s">
        <v>93</v>
      </c>
      <c r="F865" s="170" t="s">
        <v>516</v>
      </c>
      <c r="G865" s="170"/>
      <c r="H865" s="7" t="s">
        <v>131</v>
      </c>
      <c r="I865" s="7"/>
      <c r="J865" s="118">
        <v>108218</v>
      </c>
      <c r="K865" s="118"/>
      <c r="L865" s="118"/>
      <c r="M865" s="118"/>
      <c r="N865" s="127"/>
      <c r="O865" s="26"/>
    </row>
    <row r="866" spans="1:15" ht="15" customHeight="1" x14ac:dyDescent="0.25">
      <c r="A866" s="54">
        <v>45440</v>
      </c>
      <c r="B866" s="25">
        <f t="shared" si="31"/>
        <v>5</v>
      </c>
      <c r="C866" s="25">
        <f t="shared" si="30"/>
        <v>2024</v>
      </c>
      <c r="D866" s="71" t="s">
        <v>352</v>
      </c>
      <c r="E866" s="170" t="s">
        <v>93</v>
      </c>
      <c r="F866" s="170" t="s">
        <v>356</v>
      </c>
      <c r="G866" s="170"/>
      <c r="H866" s="7" t="s">
        <v>861</v>
      </c>
      <c r="I866" s="7"/>
      <c r="J866" s="118">
        <v>111558</v>
      </c>
      <c r="K866" s="118"/>
      <c r="L866" s="118"/>
      <c r="M866" s="118"/>
      <c r="N866" s="127"/>
      <c r="O866" s="26"/>
    </row>
    <row r="867" spans="1:15" ht="15" customHeight="1" x14ac:dyDescent="0.25">
      <c r="A867" s="54">
        <v>45440</v>
      </c>
      <c r="B867" s="25">
        <f t="shared" si="31"/>
        <v>5</v>
      </c>
      <c r="C867" s="25">
        <f t="shared" si="30"/>
        <v>2024</v>
      </c>
      <c r="D867" s="71" t="s">
        <v>124</v>
      </c>
      <c r="E867" s="170" t="s">
        <v>93</v>
      </c>
      <c r="F867" s="170" t="s">
        <v>425</v>
      </c>
      <c r="G867" s="170"/>
      <c r="H867" s="7" t="s">
        <v>861</v>
      </c>
      <c r="I867" s="7"/>
      <c r="J867" s="118"/>
      <c r="K867" s="118">
        <v>305000</v>
      </c>
      <c r="L867" s="118"/>
      <c r="M867" s="118"/>
      <c r="N867" s="127"/>
      <c r="O867" s="26"/>
    </row>
    <row r="868" spans="1:15" ht="15" customHeight="1" x14ac:dyDescent="0.25">
      <c r="A868" s="54">
        <v>45440</v>
      </c>
      <c r="B868" s="25">
        <f t="shared" si="31"/>
        <v>5</v>
      </c>
      <c r="C868" s="25">
        <f t="shared" si="30"/>
        <v>2024</v>
      </c>
      <c r="D868" s="71" t="s">
        <v>124</v>
      </c>
      <c r="E868" s="170" t="s">
        <v>93</v>
      </c>
      <c r="F868" s="170"/>
      <c r="G868" s="170" t="s">
        <v>557</v>
      </c>
      <c r="H868" s="7" t="s">
        <v>130</v>
      </c>
      <c r="I868" s="7"/>
      <c r="J868" s="118"/>
      <c r="K868" s="118">
        <v>24500</v>
      </c>
      <c r="L868" s="118"/>
      <c r="M868" s="118" t="s">
        <v>954</v>
      </c>
      <c r="N868" s="127"/>
      <c r="O868" s="26"/>
    </row>
    <row r="869" spans="1:15" ht="15" customHeight="1" x14ac:dyDescent="0.25">
      <c r="A869" s="54">
        <v>45440</v>
      </c>
      <c r="B869" s="25">
        <f t="shared" si="31"/>
        <v>5</v>
      </c>
      <c r="C869" s="25">
        <f t="shared" si="30"/>
        <v>2024</v>
      </c>
      <c r="D869" s="71" t="s">
        <v>352</v>
      </c>
      <c r="E869" s="170" t="s">
        <v>93</v>
      </c>
      <c r="F869" s="170" t="s">
        <v>924</v>
      </c>
      <c r="G869" s="170"/>
      <c r="H869" s="7" t="s">
        <v>130</v>
      </c>
      <c r="I869" s="7"/>
      <c r="J869" s="118">
        <v>92000</v>
      </c>
      <c r="K869" s="118"/>
      <c r="L869" s="118"/>
      <c r="M869" s="118"/>
      <c r="N869" s="127"/>
      <c r="O869" s="26"/>
    </row>
    <row r="870" spans="1:15" ht="15" customHeight="1" x14ac:dyDescent="0.25">
      <c r="A870" s="54">
        <v>45440</v>
      </c>
      <c r="B870" s="25">
        <f t="shared" si="31"/>
        <v>5</v>
      </c>
      <c r="C870" s="25">
        <f t="shared" si="30"/>
        <v>2024</v>
      </c>
      <c r="D870" s="71" t="s">
        <v>352</v>
      </c>
      <c r="E870" s="170" t="s">
        <v>93</v>
      </c>
      <c r="F870" s="170" t="s">
        <v>799</v>
      </c>
      <c r="G870" s="170"/>
      <c r="H870" s="7" t="s">
        <v>130</v>
      </c>
      <c r="I870" s="7"/>
      <c r="J870" s="118">
        <v>139000</v>
      </c>
      <c r="K870" s="118"/>
      <c r="L870" s="118"/>
      <c r="M870" s="118"/>
      <c r="N870" s="127"/>
      <c r="O870" s="26"/>
    </row>
    <row r="871" spans="1:15" ht="15" customHeight="1" x14ac:dyDescent="0.25">
      <c r="A871" s="54">
        <v>45440</v>
      </c>
      <c r="B871" s="25">
        <f t="shared" si="31"/>
        <v>5</v>
      </c>
      <c r="C871" s="25">
        <f t="shared" si="30"/>
        <v>2024</v>
      </c>
      <c r="D871" s="71" t="s">
        <v>352</v>
      </c>
      <c r="E871" s="170" t="s">
        <v>93</v>
      </c>
      <c r="F871" s="170" t="s">
        <v>925</v>
      </c>
      <c r="G871" s="170"/>
      <c r="H871" s="7" t="s">
        <v>130</v>
      </c>
      <c r="I871" s="7"/>
      <c r="J871" s="118">
        <v>179800</v>
      </c>
      <c r="K871" s="118"/>
      <c r="L871" s="118"/>
      <c r="M871" s="118"/>
      <c r="N871" s="127"/>
      <c r="O871" s="26"/>
    </row>
    <row r="872" spans="1:15" ht="15" customHeight="1" x14ac:dyDescent="0.25">
      <c r="A872" s="54">
        <v>45441</v>
      </c>
      <c r="B872" s="25">
        <f t="shared" si="31"/>
        <v>5</v>
      </c>
      <c r="C872" s="25">
        <f t="shared" si="30"/>
        <v>2024</v>
      </c>
      <c r="D872" s="71" t="s">
        <v>352</v>
      </c>
      <c r="E872" s="170" t="s">
        <v>93</v>
      </c>
      <c r="F872" s="170" t="s">
        <v>926</v>
      </c>
      <c r="G872" s="170"/>
      <c r="H872" s="7" t="s">
        <v>130</v>
      </c>
      <c r="I872" s="7"/>
      <c r="J872" s="118">
        <v>353250</v>
      </c>
      <c r="K872" s="118"/>
      <c r="L872" s="118"/>
      <c r="M872" s="118"/>
      <c r="N872" s="127"/>
      <c r="O872" s="26"/>
    </row>
    <row r="873" spans="1:15" ht="15" customHeight="1" x14ac:dyDescent="0.25">
      <c r="A873" s="54">
        <v>45441</v>
      </c>
      <c r="B873" s="25">
        <f t="shared" si="31"/>
        <v>5</v>
      </c>
      <c r="C873" s="25">
        <f t="shared" si="30"/>
        <v>2024</v>
      </c>
      <c r="D873" s="71" t="s">
        <v>124</v>
      </c>
      <c r="E873" s="170" t="s">
        <v>93</v>
      </c>
      <c r="F873" s="170" t="s">
        <v>927</v>
      </c>
      <c r="G873" s="170"/>
      <c r="H873" s="7" t="s">
        <v>130</v>
      </c>
      <c r="I873" s="7"/>
      <c r="J873" s="118"/>
      <c r="K873" s="118">
        <v>110400</v>
      </c>
      <c r="L873" s="118"/>
      <c r="M873" s="118" t="s">
        <v>954</v>
      </c>
      <c r="N873" s="127"/>
      <c r="O873" s="26"/>
    </row>
    <row r="874" spans="1:15" ht="15" customHeight="1" x14ac:dyDescent="0.25">
      <c r="A874" s="54">
        <v>45441</v>
      </c>
      <c r="B874" s="25">
        <f t="shared" si="31"/>
        <v>5</v>
      </c>
      <c r="C874" s="25">
        <f t="shared" si="30"/>
        <v>2024</v>
      </c>
      <c r="D874" s="71" t="s">
        <v>352</v>
      </c>
      <c r="E874" s="170" t="s">
        <v>93</v>
      </c>
      <c r="F874" s="170" t="s">
        <v>928</v>
      </c>
      <c r="G874" s="170"/>
      <c r="H874" s="7" t="s">
        <v>130</v>
      </c>
      <c r="I874" s="7"/>
      <c r="J874" s="118">
        <v>130510</v>
      </c>
      <c r="K874" s="118"/>
      <c r="L874" s="118"/>
      <c r="M874" s="118"/>
      <c r="N874" s="127"/>
      <c r="O874" s="26"/>
    </row>
    <row r="875" spans="1:15" ht="15" customHeight="1" x14ac:dyDescent="0.25">
      <c r="A875" s="54">
        <v>45442</v>
      </c>
      <c r="B875" s="25">
        <f t="shared" si="31"/>
        <v>5</v>
      </c>
      <c r="C875" s="25">
        <f t="shared" si="30"/>
        <v>2024</v>
      </c>
      <c r="D875" s="71" t="s">
        <v>352</v>
      </c>
      <c r="E875" s="170" t="s">
        <v>93</v>
      </c>
      <c r="F875" s="170" t="s">
        <v>912</v>
      </c>
      <c r="G875" s="170"/>
      <c r="H875" s="7" t="s">
        <v>130</v>
      </c>
      <c r="I875" s="7"/>
      <c r="J875" s="118">
        <v>90000</v>
      </c>
      <c r="K875" s="118"/>
      <c r="L875" s="118"/>
      <c r="M875" s="118"/>
      <c r="N875" s="127"/>
      <c r="O875" s="26"/>
    </row>
    <row r="876" spans="1:15" ht="15" customHeight="1" x14ac:dyDescent="0.25">
      <c r="A876" s="54">
        <v>45442</v>
      </c>
      <c r="B876" s="25">
        <f t="shared" si="31"/>
        <v>5</v>
      </c>
      <c r="C876" s="25">
        <f t="shared" si="30"/>
        <v>2024</v>
      </c>
      <c r="D876" s="71" t="s">
        <v>124</v>
      </c>
      <c r="E876" s="170" t="s">
        <v>93</v>
      </c>
      <c r="F876" s="170"/>
      <c r="G876" s="170" t="s">
        <v>234</v>
      </c>
      <c r="H876" s="7" t="s">
        <v>130</v>
      </c>
      <c r="I876" s="7"/>
      <c r="J876" s="118"/>
      <c r="K876" s="118">
        <v>598223.30000000005</v>
      </c>
      <c r="L876" s="118"/>
      <c r="M876" s="118" t="s">
        <v>954</v>
      </c>
      <c r="N876" s="127"/>
      <c r="O876" s="26"/>
    </row>
    <row r="877" spans="1:15" ht="15" customHeight="1" x14ac:dyDescent="0.25">
      <c r="A877" s="54">
        <v>45442</v>
      </c>
      <c r="B877" s="25">
        <f t="shared" si="31"/>
        <v>5</v>
      </c>
      <c r="C877" s="25">
        <f t="shared" si="30"/>
        <v>2024</v>
      </c>
      <c r="D877" s="71" t="s">
        <v>124</v>
      </c>
      <c r="E877" s="170" t="s">
        <v>93</v>
      </c>
      <c r="F877" s="170"/>
      <c r="G877" s="170" t="s">
        <v>558</v>
      </c>
      <c r="H877" s="7" t="s">
        <v>130</v>
      </c>
      <c r="I877" s="7"/>
      <c r="J877" s="118"/>
      <c r="K877" s="118">
        <v>354684.97</v>
      </c>
      <c r="L877" s="118"/>
      <c r="M877" s="118" t="s">
        <v>954</v>
      </c>
      <c r="N877" s="127"/>
      <c r="O877" s="26"/>
    </row>
    <row r="878" spans="1:15" ht="15" customHeight="1" x14ac:dyDescent="0.25">
      <c r="A878" s="54">
        <v>45442</v>
      </c>
      <c r="B878" s="25">
        <f t="shared" si="31"/>
        <v>5</v>
      </c>
      <c r="C878" s="25">
        <f t="shared" si="30"/>
        <v>2024</v>
      </c>
      <c r="D878" s="71" t="s">
        <v>352</v>
      </c>
      <c r="E878" s="170" t="s">
        <v>93</v>
      </c>
      <c r="F878" s="170" t="s">
        <v>613</v>
      </c>
      <c r="G878" s="170"/>
      <c r="H878" s="7" t="s">
        <v>545</v>
      </c>
      <c r="I878" s="7"/>
      <c r="J878" s="118">
        <v>230000</v>
      </c>
      <c r="K878" s="118"/>
      <c r="L878" s="118"/>
      <c r="M878" s="118"/>
      <c r="N878" s="127"/>
      <c r="O878" s="26"/>
    </row>
    <row r="879" spans="1:15" ht="15" customHeight="1" x14ac:dyDescent="0.25">
      <c r="A879" s="54">
        <v>45442</v>
      </c>
      <c r="B879" s="25">
        <f t="shared" si="31"/>
        <v>5</v>
      </c>
      <c r="C879" s="25">
        <f t="shared" si="30"/>
        <v>2024</v>
      </c>
      <c r="D879" s="71" t="s">
        <v>352</v>
      </c>
      <c r="E879" s="170" t="s">
        <v>93</v>
      </c>
      <c r="F879" s="170" t="s">
        <v>613</v>
      </c>
      <c r="G879" s="170"/>
      <c r="H879" s="7" t="s">
        <v>130</v>
      </c>
      <c r="I879" s="7"/>
      <c r="J879" s="118">
        <v>12125</v>
      </c>
      <c r="K879" s="118"/>
      <c r="L879" s="118"/>
      <c r="M879" s="118"/>
      <c r="N879" s="127"/>
      <c r="O879" s="26"/>
    </row>
    <row r="880" spans="1:15" ht="15" customHeight="1" x14ac:dyDescent="0.25">
      <c r="A880" s="54">
        <v>45442</v>
      </c>
      <c r="B880" s="25">
        <f t="shared" si="31"/>
        <v>5</v>
      </c>
      <c r="C880" s="25">
        <f t="shared" si="30"/>
        <v>2024</v>
      </c>
      <c r="D880" s="71" t="s">
        <v>352</v>
      </c>
      <c r="E880" s="170" t="s">
        <v>93</v>
      </c>
      <c r="F880" s="170" t="s">
        <v>771</v>
      </c>
      <c r="G880" s="170"/>
      <c r="H880" s="7" t="s">
        <v>130</v>
      </c>
      <c r="I880" s="7"/>
      <c r="J880" s="118">
        <v>170000</v>
      </c>
      <c r="K880" s="118"/>
      <c r="L880" s="118"/>
      <c r="M880" s="118"/>
      <c r="N880" s="127"/>
      <c r="O880" s="26"/>
    </row>
    <row r="881" spans="1:15" ht="15" customHeight="1" x14ac:dyDescent="0.25">
      <c r="A881" s="54">
        <v>45442</v>
      </c>
      <c r="B881" s="25">
        <f t="shared" si="31"/>
        <v>5</v>
      </c>
      <c r="C881" s="25">
        <f t="shared" si="30"/>
        <v>2024</v>
      </c>
      <c r="D881" s="71" t="s">
        <v>352</v>
      </c>
      <c r="E881" s="170" t="s">
        <v>93</v>
      </c>
      <c r="F881" s="170" t="s">
        <v>915</v>
      </c>
      <c r="G881" s="170"/>
      <c r="H881" s="7" t="s">
        <v>545</v>
      </c>
      <c r="I881" s="7"/>
      <c r="J881" s="118">
        <v>279500</v>
      </c>
      <c r="K881" s="118"/>
      <c r="L881" s="118"/>
      <c r="M881" s="118"/>
      <c r="N881" s="127"/>
      <c r="O881" s="26"/>
    </row>
    <row r="882" spans="1:15" ht="15" customHeight="1" x14ac:dyDescent="0.25">
      <c r="A882" s="54">
        <v>45442</v>
      </c>
      <c r="B882" s="25">
        <f t="shared" si="31"/>
        <v>5</v>
      </c>
      <c r="C882" s="25">
        <f t="shared" si="30"/>
        <v>2024</v>
      </c>
      <c r="D882" s="71" t="s">
        <v>352</v>
      </c>
      <c r="E882" s="170" t="s">
        <v>93</v>
      </c>
      <c r="F882" s="170" t="s">
        <v>828</v>
      </c>
      <c r="G882" s="170"/>
      <c r="H882" s="7" t="s">
        <v>130</v>
      </c>
      <c r="I882" s="7"/>
      <c r="J882" s="118">
        <v>83006</v>
      </c>
      <c r="K882" s="118"/>
      <c r="L882" s="118"/>
      <c r="M882" s="118"/>
      <c r="N882" s="127"/>
      <c r="O882" s="26"/>
    </row>
    <row r="883" spans="1:15" ht="15" customHeight="1" x14ac:dyDescent="0.25">
      <c r="A883" s="54">
        <v>45442</v>
      </c>
      <c r="B883" s="25">
        <f t="shared" si="31"/>
        <v>5</v>
      </c>
      <c r="C883" s="25">
        <f t="shared" si="30"/>
        <v>2024</v>
      </c>
      <c r="D883" s="71" t="s">
        <v>352</v>
      </c>
      <c r="E883" s="170" t="s">
        <v>93</v>
      </c>
      <c r="F883" s="170" t="s">
        <v>929</v>
      </c>
      <c r="G883" s="170"/>
      <c r="H883" s="7" t="s">
        <v>130</v>
      </c>
      <c r="I883" s="7"/>
      <c r="J883" s="118">
        <v>96670</v>
      </c>
      <c r="K883" s="118"/>
      <c r="L883" s="118"/>
      <c r="M883" s="118"/>
      <c r="N883" s="127"/>
      <c r="O883" s="26"/>
    </row>
    <row r="884" spans="1:15" ht="15" customHeight="1" x14ac:dyDescent="0.25">
      <c r="A884" s="54">
        <v>45443</v>
      </c>
      <c r="B884" s="25">
        <f t="shared" si="31"/>
        <v>5</v>
      </c>
      <c r="C884" s="25">
        <f t="shared" si="30"/>
        <v>2024</v>
      </c>
      <c r="D884" s="71" t="s">
        <v>352</v>
      </c>
      <c r="E884" s="170" t="s">
        <v>93</v>
      </c>
      <c r="F884" s="170" t="s">
        <v>580</v>
      </c>
      <c r="G884" s="170"/>
      <c r="H884" s="7" t="s">
        <v>131</v>
      </c>
      <c r="I884" s="7"/>
      <c r="J884" s="118">
        <v>600000</v>
      </c>
      <c r="K884" s="118"/>
      <c r="L884" s="118"/>
      <c r="M884" s="118"/>
      <c r="N884" s="127"/>
      <c r="O884" s="26"/>
    </row>
    <row r="885" spans="1:15" ht="15" customHeight="1" x14ac:dyDescent="0.25">
      <c r="A885" s="54">
        <v>45443</v>
      </c>
      <c r="B885" s="25">
        <f t="shared" si="31"/>
        <v>5</v>
      </c>
      <c r="C885" s="25">
        <f t="shared" si="30"/>
        <v>2024</v>
      </c>
      <c r="D885" s="71" t="s">
        <v>352</v>
      </c>
      <c r="E885" s="170" t="s">
        <v>93</v>
      </c>
      <c r="F885" s="4" t="s">
        <v>560</v>
      </c>
      <c r="G885" s="170"/>
      <c r="H885" s="7" t="s">
        <v>861</v>
      </c>
      <c r="I885" s="7"/>
      <c r="J885" s="118">
        <v>82000</v>
      </c>
      <c r="K885" s="118"/>
      <c r="L885" s="118"/>
      <c r="M885" s="118"/>
      <c r="N885" s="127"/>
      <c r="O885" s="26"/>
    </row>
    <row r="886" spans="1:15" ht="15" customHeight="1" x14ac:dyDescent="0.25">
      <c r="A886" s="54">
        <v>45443</v>
      </c>
      <c r="B886" s="25">
        <f t="shared" si="31"/>
        <v>5</v>
      </c>
      <c r="C886" s="25">
        <f t="shared" si="30"/>
        <v>2024</v>
      </c>
      <c r="D886" s="71" t="s">
        <v>352</v>
      </c>
      <c r="E886" s="170" t="s">
        <v>93</v>
      </c>
      <c r="F886" s="170" t="s">
        <v>921</v>
      </c>
      <c r="G886" s="170"/>
      <c r="H886" s="7" t="s">
        <v>130</v>
      </c>
      <c r="I886" s="7"/>
      <c r="J886" s="118">
        <v>50000</v>
      </c>
      <c r="K886" s="118"/>
      <c r="L886" s="118"/>
      <c r="M886" s="118"/>
      <c r="N886" s="127"/>
      <c r="O886" s="26"/>
    </row>
    <row r="887" spans="1:15" ht="15" customHeight="1" x14ac:dyDescent="0.25">
      <c r="A887" s="54">
        <v>45444</v>
      </c>
      <c r="B887" s="25">
        <f t="shared" si="31"/>
        <v>6</v>
      </c>
      <c r="C887" s="25">
        <f t="shared" si="30"/>
        <v>2024</v>
      </c>
      <c r="D887" s="71" t="s">
        <v>689</v>
      </c>
      <c r="E887" s="170" t="s">
        <v>93</v>
      </c>
      <c r="F887" s="170" t="s">
        <v>169</v>
      </c>
      <c r="G887" s="170"/>
      <c r="H887" s="7" t="s">
        <v>130</v>
      </c>
      <c r="I887" s="7"/>
      <c r="J887" s="118"/>
      <c r="K887" s="118">
        <v>130000</v>
      </c>
      <c r="L887" s="118"/>
      <c r="M887" s="118"/>
      <c r="N887" s="127"/>
      <c r="O887" s="26"/>
    </row>
    <row r="888" spans="1:15" ht="15" customHeight="1" x14ac:dyDescent="0.25">
      <c r="A888" s="54">
        <v>45444</v>
      </c>
      <c r="B888" s="25">
        <f t="shared" si="31"/>
        <v>6</v>
      </c>
      <c r="C888" s="25">
        <f t="shared" si="30"/>
        <v>2024</v>
      </c>
      <c r="D888" s="71" t="s">
        <v>626</v>
      </c>
      <c r="E888" s="170" t="s">
        <v>93</v>
      </c>
      <c r="F888" s="170"/>
      <c r="G888" s="170"/>
      <c r="H888" s="7" t="s">
        <v>130</v>
      </c>
      <c r="I888" s="7"/>
      <c r="J888" s="118"/>
      <c r="K888" s="118">
        <v>97000</v>
      </c>
      <c r="L888" s="118"/>
      <c r="M888" s="118"/>
      <c r="N888" s="127"/>
      <c r="O888" s="26"/>
    </row>
    <row r="889" spans="1:15" ht="15" customHeight="1" x14ac:dyDescent="0.25">
      <c r="A889" s="54">
        <v>45445</v>
      </c>
      <c r="B889" s="25">
        <f t="shared" si="31"/>
        <v>6</v>
      </c>
      <c r="C889" s="25">
        <f t="shared" si="30"/>
        <v>2024</v>
      </c>
      <c r="D889" s="71" t="s">
        <v>352</v>
      </c>
      <c r="E889" s="170" t="s">
        <v>93</v>
      </c>
      <c r="F889" s="170" t="s">
        <v>930</v>
      </c>
      <c r="G889" s="170"/>
      <c r="H889" s="7" t="s">
        <v>130</v>
      </c>
      <c r="I889" s="7"/>
      <c r="J889" s="118">
        <v>100000</v>
      </c>
      <c r="K889" s="118"/>
      <c r="L889" s="118"/>
      <c r="M889" s="118"/>
      <c r="N889" s="127"/>
      <c r="O889" s="26"/>
    </row>
    <row r="890" spans="1:15" ht="15" customHeight="1" x14ac:dyDescent="0.25">
      <c r="A890" s="54">
        <v>45447</v>
      </c>
      <c r="B890" s="25">
        <f t="shared" si="31"/>
        <v>6</v>
      </c>
      <c r="C890" s="25">
        <f t="shared" si="30"/>
        <v>2024</v>
      </c>
      <c r="D890" s="71" t="s">
        <v>352</v>
      </c>
      <c r="E890" s="170" t="s">
        <v>93</v>
      </c>
      <c r="F890" s="170" t="s">
        <v>881</v>
      </c>
      <c r="G890" s="170"/>
      <c r="H890" s="7" t="s">
        <v>131</v>
      </c>
      <c r="I890" s="7"/>
      <c r="J890" s="118">
        <v>189000</v>
      </c>
      <c r="K890" s="118"/>
      <c r="L890" s="118"/>
      <c r="M890" s="118"/>
      <c r="N890" s="127"/>
      <c r="O890" s="26"/>
    </row>
    <row r="891" spans="1:15" ht="15" customHeight="1" x14ac:dyDescent="0.25">
      <c r="A891" s="54">
        <v>45447</v>
      </c>
      <c r="B891" s="25">
        <f t="shared" si="31"/>
        <v>6</v>
      </c>
      <c r="C891" s="25">
        <f t="shared" si="30"/>
        <v>2024</v>
      </c>
      <c r="D891" s="71" t="s">
        <v>352</v>
      </c>
      <c r="E891" s="170" t="s">
        <v>93</v>
      </c>
      <c r="F891" s="170" t="s">
        <v>881</v>
      </c>
      <c r="G891" s="170"/>
      <c r="H891" s="7" t="s">
        <v>131</v>
      </c>
      <c r="I891" s="7"/>
      <c r="J891" s="118">
        <v>190600</v>
      </c>
      <c r="K891" s="118"/>
      <c r="L891" s="118"/>
      <c r="M891" s="118"/>
      <c r="N891" s="127"/>
      <c r="O891" s="26"/>
    </row>
    <row r="892" spans="1:15" ht="15" customHeight="1" x14ac:dyDescent="0.25">
      <c r="A892" s="54">
        <v>45447</v>
      </c>
      <c r="B892" s="25">
        <f t="shared" si="31"/>
        <v>6</v>
      </c>
      <c r="C892" s="25">
        <f t="shared" si="30"/>
        <v>2024</v>
      </c>
      <c r="D892" s="71" t="s">
        <v>124</v>
      </c>
      <c r="E892" s="170" t="s">
        <v>93</v>
      </c>
      <c r="F892" s="170" t="s">
        <v>826</v>
      </c>
      <c r="G892" s="170"/>
      <c r="H892" s="7" t="s">
        <v>131</v>
      </c>
      <c r="I892" s="7"/>
      <c r="J892" s="118"/>
      <c r="K892" s="118">
        <v>108218</v>
      </c>
      <c r="L892" s="118"/>
      <c r="M892" s="118"/>
      <c r="N892" s="127"/>
      <c r="O892" s="26"/>
    </row>
    <row r="893" spans="1:15" ht="15" customHeight="1" x14ac:dyDescent="0.25">
      <c r="A893" s="54">
        <v>45447</v>
      </c>
      <c r="B893" s="25">
        <f t="shared" si="31"/>
        <v>6</v>
      </c>
      <c r="C893" s="25">
        <f t="shared" si="30"/>
        <v>2024</v>
      </c>
      <c r="D893" s="71" t="s">
        <v>352</v>
      </c>
      <c r="E893" s="170" t="s">
        <v>93</v>
      </c>
      <c r="F893" s="170" t="s">
        <v>512</v>
      </c>
      <c r="G893" s="170"/>
      <c r="H893" s="7" t="s">
        <v>131</v>
      </c>
      <c r="I893" s="7"/>
      <c r="J893" s="118">
        <v>135000</v>
      </c>
      <c r="K893" s="118"/>
      <c r="L893" s="118"/>
      <c r="M893" s="118"/>
      <c r="N893" s="127"/>
      <c r="O893" s="26"/>
    </row>
    <row r="894" spans="1:15" ht="15" customHeight="1" x14ac:dyDescent="0.25">
      <c r="A894" s="54">
        <v>45447</v>
      </c>
      <c r="B894" s="25">
        <f t="shared" si="31"/>
        <v>6</v>
      </c>
      <c r="C894" s="25">
        <f t="shared" si="30"/>
        <v>2024</v>
      </c>
      <c r="D894" s="71" t="s">
        <v>352</v>
      </c>
      <c r="E894" s="170" t="s">
        <v>93</v>
      </c>
      <c r="F894" s="170" t="s">
        <v>512</v>
      </c>
      <c r="G894" s="170"/>
      <c r="H894" s="7" t="s">
        <v>131</v>
      </c>
      <c r="I894" s="7"/>
      <c r="J894" s="118">
        <v>87812.63</v>
      </c>
      <c r="K894" s="118"/>
      <c r="L894" s="118"/>
      <c r="M894" s="118"/>
      <c r="N894" s="127"/>
      <c r="O894" s="26"/>
    </row>
    <row r="895" spans="1:15" ht="15" customHeight="1" x14ac:dyDescent="0.25">
      <c r="A895" s="54">
        <v>45447</v>
      </c>
      <c r="B895" s="25">
        <f t="shared" si="31"/>
        <v>6</v>
      </c>
      <c r="C895" s="25">
        <f t="shared" ref="C895:C958" si="32">YEAR((A895))</f>
        <v>2024</v>
      </c>
      <c r="D895" s="71" t="s">
        <v>124</v>
      </c>
      <c r="E895" s="170" t="s">
        <v>93</v>
      </c>
      <c r="F895" s="170" t="s">
        <v>955</v>
      </c>
      <c r="G895" s="170"/>
      <c r="H895" s="7" t="s">
        <v>130</v>
      </c>
      <c r="I895" s="7"/>
      <c r="J895" s="118"/>
      <c r="K895" s="118">
        <v>28350</v>
      </c>
      <c r="L895" s="118"/>
      <c r="M895" s="118"/>
      <c r="N895" s="127"/>
      <c r="O895" s="26"/>
    </row>
    <row r="896" spans="1:15" ht="15" customHeight="1" x14ac:dyDescent="0.25">
      <c r="A896" s="54">
        <v>45447</v>
      </c>
      <c r="B896" s="25">
        <f t="shared" si="31"/>
        <v>6</v>
      </c>
      <c r="C896" s="25">
        <f t="shared" si="32"/>
        <v>2024</v>
      </c>
      <c r="D896" s="71" t="s">
        <v>92</v>
      </c>
      <c r="E896" s="170" t="s">
        <v>92</v>
      </c>
      <c r="F896" s="170" t="s">
        <v>970</v>
      </c>
      <c r="G896" s="170"/>
      <c r="H896" s="7" t="s">
        <v>92</v>
      </c>
      <c r="I896" s="7"/>
      <c r="J896" s="118"/>
      <c r="K896" s="118">
        <v>58558.07</v>
      </c>
      <c r="L896" s="118"/>
      <c r="M896" s="118"/>
      <c r="N896" s="127"/>
      <c r="O896" s="26"/>
    </row>
    <row r="897" spans="1:15" ht="15" customHeight="1" x14ac:dyDescent="0.25">
      <c r="A897" s="54">
        <v>45447</v>
      </c>
      <c r="B897" s="25">
        <f t="shared" si="31"/>
        <v>6</v>
      </c>
      <c r="C897" s="25">
        <f t="shared" si="32"/>
        <v>2024</v>
      </c>
      <c r="D897" s="71" t="s">
        <v>92</v>
      </c>
      <c r="E897" s="170" t="s">
        <v>92</v>
      </c>
      <c r="F897" s="170" t="s">
        <v>970</v>
      </c>
      <c r="G897" s="170"/>
      <c r="H897" s="7" t="s">
        <v>92</v>
      </c>
      <c r="I897" s="7"/>
      <c r="J897" s="118"/>
      <c r="K897" s="118">
        <v>29181</v>
      </c>
      <c r="L897" s="118"/>
      <c r="M897" s="118"/>
      <c r="N897" s="127"/>
      <c r="O897" s="26"/>
    </row>
    <row r="898" spans="1:15" ht="15" customHeight="1" x14ac:dyDescent="0.25">
      <c r="A898" s="54">
        <v>45448</v>
      </c>
      <c r="B898" s="25">
        <f t="shared" si="31"/>
        <v>6</v>
      </c>
      <c r="C898" s="25">
        <f t="shared" si="32"/>
        <v>2024</v>
      </c>
      <c r="D898" s="71" t="s">
        <v>124</v>
      </c>
      <c r="E898" s="170" t="s">
        <v>93</v>
      </c>
      <c r="F898" s="170" t="s">
        <v>935</v>
      </c>
      <c r="G898" s="170"/>
      <c r="H898" s="7" t="s">
        <v>130</v>
      </c>
      <c r="I898" s="7"/>
      <c r="J898" s="118">
        <v>700000</v>
      </c>
      <c r="K898" s="118"/>
      <c r="L898" s="118"/>
      <c r="M898" s="118"/>
      <c r="N898" s="127"/>
      <c r="O898" s="26"/>
    </row>
    <row r="899" spans="1:15" ht="15" customHeight="1" x14ac:dyDescent="0.25">
      <c r="A899" s="54">
        <v>45448</v>
      </c>
      <c r="B899" s="25">
        <f t="shared" ref="B899:B962" si="33">MONTH(A899)</f>
        <v>6</v>
      </c>
      <c r="C899" s="25">
        <f t="shared" si="32"/>
        <v>2024</v>
      </c>
      <c r="D899" s="71" t="s">
        <v>124</v>
      </c>
      <c r="E899" s="170" t="s">
        <v>93</v>
      </c>
      <c r="F899" s="170"/>
      <c r="G899" s="170" t="s">
        <v>553</v>
      </c>
      <c r="H899" s="7" t="s">
        <v>131</v>
      </c>
      <c r="I899" s="7"/>
      <c r="J899" s="118"/>
      <c r="K899" s="118">
        <v>600000</v>
      </c>
      <c r="L899" s="118"/>
      <c r="M899" s="118" t="s">
        <v>954</v>
      </c>
      <c r="N899" s="127"/>
      <c r="O899" s="26"/>
    </row>
    <row r="900" spans="1:15" ht="15" customHeight="1" x14ac:dyDescent="0.25">
      <c r="A900" s="54">
        <v>45448</v>
      </c>
      <c r="B900" s="25">
        <f t="shared" si="33"/>
        <v>6</v>
      </c>
      <c r="C900" s="25">
        <f t="shared" si="32"/>
        <v>2024</v>
      </c>
      <c r="D900" s="71" t="s">
        <v>124</v>
      </c>
      <c r="E900" s="170" t="s">
        <v>93</v>
      </c>
      <c r="F900" s="170"/>
      <c r="G900" s="170" t="s">
        <v>553</v>
      </c>
      <c r="H900" s="7" t="s">
        <v>131</v>
      </c>
      <c r="I900" s="7"/>
      <c r="J900" s="118"/>
      <c r="K900" s="118">
        <v>189000</v>
      </c>
      <c r="L900" s="118"/>
      <c r="M900" s="118" t="s">
        <v>954</v>
      </c>
      <c r="N900" s="127"/>
      <c r="O900" s="26"/>
    </row>
    <row r="901" spans="1:15" ht="15" customHeight="1" x14ac:dyDescent="0.25">
      <c r="A901" s="54">
        <v>45448</v>
      </c>
      <c r="B901" s="25">
        <f t="shared" si="33"/>
        <v>6</v>
      </c>
      <c r="C901" s="25">
        <f t="shared" si="32"/>
        <v>2024</v>
      </c>
      <c r="D901" s="71" t="s">
        <v>124</v>
      </c>
      <c r="E901" s="170" t="s">
        <v>93</v>
      </c>
      <c r="F901" s="170"/>
      <c r="G901" s="170" t="s">
        <v>553</v>
      </c>
      <c r="H901" s="7" t="s">
        <v>131</v>
      </c>
      <c r="I901" s="7"/>
      <c r="J901" s="118"/>
      <c r="K901" s="118">
        <v>190600</v>
      </c>
      <c r="L901" s="118"/>
      <c r="M901" s="118" t="s">
        <v>954</v>
      </c>
      <c r="N901" s="127"/>
      <c r="O901" s="26"/>
    </row>
    <row r="902" spans="1:15" ht="15" customHeight="1" x14ac:dyDescent="0.25">
      <c r="A902" s="54">
        <v>45448</v>
      </c>
      <c r="B902" s="25">
        <f t="shared" si="33"/>
        <v>6</v>
      </c>
      <c r="C902" s="25">
        <f t="shared" si="32"/>
        <v>2024</v>
      </c>
      <c r="D902" s="71" t="s">
        <v>124</v>
      </c>
      <c r="E902" s="170" t="s">
        <v>93</v>
      </c>
      <c r="F902" s="170"/>
      <c r="G902" s="170" t="s">
        <v>553</v>
      </c>
      <c r="H902" s="7" t="s">
        <v>131</v>
      </c>
      <c r="I902" s="7"/>
      <c r="J902" s="118"/>
      <c r="K902" s="118">
        <v>87812.63</v>
      </c>
      <c r="L902" s="118"/>
      <c r="M902" s="118" t="s">
        <v>954</v>
      </c>
      <c r="N902" s="127"/>
      <c r="O902" s="26"/>
    </row>
    <row r="903" spans="1:15" ht="15" customHeight="1" x14ac:dyDescent="0.25">
      <c r="A903" s="54">
        <v>45448</v>
      </c>
      <c r="B903" s="25">
        <f t="shared" si="33"/>
        <v>6</v>
      </c>
      <c r="C903" s="25">
        <f t="shared" si="32"/>
        <v>2024</v>
      </c>
      <c r="D903" s="71" t="s">
        <v>124</v>
      </c>
      <c r="E903" s="170" t="s">
        <v>93</v>
      </c>
      <c r="F903" s="170"/>
      <c r="G903" s="170" t="s">
        <v>553</v>
      </c>
      <c r="H903" s="7" t="s">
        <v>131</v>
      </c>
      <c r="I903" s="7"/>
      <c r="J903" s="118"/>
      <c r="K903" s="118">
        <v>135000</v>
      </c>
      <c r="L903" s="118"/>
      <c r="M903" s="118" t="s">
        <v>954</v>
      </c>
      <c r="N903" s="127"/>
      <c r="O903" s="26"/>
    </row>
    <row r="904" spans="1:15" ht="15" customHeight="1" x14ac:dyDescent="0.25">
      <c r="A904" s="54">
        <v>45448</v>
      </c>
      <c r="B904" s="25">
        <f t="shared" si="33"/>
        <v>6</v>
      </c>
      <c r="C904" s="25">
        <f t="shared" si="32"/>
        <v>2024</v>
      </c>
      <c r="D904" s="71" t="s">
        <v>124</v>
      </c>
      <c r="E904" s="170" t="s">
        <v>93</v>
      </c>
      <c r="F904" s="170" t="s">
        <v>936</v>
      </c>
      <c r="G904" s="170"/>
      <c r="H904" s="7" t="s">
        <v>130</v>
      </c>
      <c r="I904" s="7"/>
      <c r="J904" s="118"/>
      <c r="K904" s="118">
        <v>320000</v>
      </c>
      <c r="L904" s="118"/>
      <c r="M904" s="118" t="s">
        <v>954</v>
      </c>
      <c r="N904" s="127"/>
      <c r="O904" s="26"/>
    </row>
    <row r="905" spans="1:15" ht="15" customHeight="1" x14ac:dyDescent="0.25">
      <c r="A905" s="54">
        <v>45448</v>
      </c>
      <c r="B905" s="25">
        <f t="shared" si="33"/>
        <v>6</v>
      </c>
      <c r="C905" s="25">
        <f t="shared" si="32"/>
        <v>2024</v>
      </c>
      <c r="D905" s="71" t="s">
        <v>124</v>
      </c>
      <c r="E905" s="170" t="s">
        <v>93</v>
      </c>
      <c r="F905" s="170"/>
      <c r="G905" s="170" t="s">
        <v>554</v>
      </c>
      <c r="H905" s="7" t="s">
        <v>130</v>
      </c>
      <c r="I905" s="7"/>
      <c r="J905" s="118"/>
      <c r="K905" s="118">
        <v>146560</v>
      </c>
      <c r="L905" s="118"/>
      <c r="M905" s="118" t="s">
        <v>954</v>
      </c>
      <c r="N905" s="127"/>
      <c r="O905" s="26"/>
    </row>
    <row r="906" spans="1:15" ht="15" customHeight="1" x14ac:dyDescent="0.25">
      <c r="A906" s="54">
        <v>45448</v>
      </c>
      <c r="B906" s="25">
        <f t="shared" si="33"/>
        <v>6</v>
      </c>
      <c r="C906" s="25">
        <f t="shared" si="32"/>
        <v>2024</v>
      </c>
      <c r="D906" s="71" t="s">
        <v>124</v>
      </c>
      <c r="E906" s="170" t="s">
        <v>93</v>
      </c>
      <c r="F906" s="170" t="s">
        <v>927</v>
      </c>
      <c r="G906" s="170"/>
      <c r="H906" s="7" t="s">
        <v>130</v>
      </c>
      <c r="I906" s="7"/>
      <c r="J906" s="118"/>
      <c r="K906" s="118">
        <v>70600</v>
      </c>
      <c r="L906" s="118"/>
      <c r="M906" s="118" t="s">
        <v>954</v>
      </c>
      <c r="N906" s="127"/>
      <c r="O906" s="26"/>
    </row>
    <row r="907" spans="1:15" ht="15" customHeight="1" x14ac:dyDescent="0.25">
      <c r="A907" s="54">
        <v>45448</v>
      </c>
      <c r="B907" s="25">
        <f t="shared" si="33"/>
        <v>6</v>
      </c>
      <c r="C907" s="25">
        <f t="shared" si="32"/>
        <v>2024</v>
      </c>
      <c r="D907" s="71" t="s">
        <v>352</v>
      </c>
      <c r="E907" s="170" t="s">
        <v>93</v>
      </c>
      <c r="F907" s="170" t="s">
        <v>580</v>
      </c>
      <c r="G907" s="170"/>
      <c r="H907" s="7" t="s">
        <v>131</v>
      </c>
      <c r="I907" s="7"/>
      <c r="J907" s="118">
        <v>17700</v>
      </c>
      <c r="K907" s="118"/>
      <c r="L907" s="118"/>
      <c r="M907" s="118"/>
      <c r="N907" s="127"/>
      <c r="O907" s="26"/>
    </row>
    <row r="908" spans="1:15" ht="15" customHeight="1" x14ac:dyDescent="0.25">
      <c r="A908" s="54">
        <v>45448</v>
      </c>
      <c r="B908" s="25">
        <f t="shared" si="33"/>
        <v>6</v>
      </c>
      <c r="C908" s="25">
        <f t="shared" si="32"/>
        <v>2024</v>
      </c>
      <c r="D908" s="71" t="s">
        <v>352</v>
      </c>
      <c r="E908" s="170" t="s">
        <v>93</v>
      </c>
      <c r="F908" s="170" t="s">
        <v>580</v>
      </c>
      <c r="G908" s="170"/>
      <c r="H908" s="7" t="s">
        <v>131</v>
      </c>
      <c r="I908" s="7"/>
      <c r="J908" s="118">
        <v>250000</v>
      </c>
      <c r="K908" s="118"/>
      <c r="L908" s="118"/>
      <c r="M908" s="118"/>
      <c r="N908" s="127"/>
      <c r="O908" s="26"/>
    </row>
    <row r="909" spans="1:15" ht="15" customHeight="1" x14ac:dyDescent="0.25">
      <c r="A909" s="54">
        <v>45448</v>
      </c>
      <c r="B909" s="25">
        <f t="shared" si="33"/>
        <v>6</v>
      </c>
      <c r="C909" s="25">
        <f t="shared" si="32"/>
        <v>2024</v>
      </c>
      <c r="D909" s="71" t="s">
        <v>352</v>
      </c>
      <c r="E909" s="170" t="s">
        <v>93</v>
      </c>
      <c r="F909" s="170" t="s">
        <v>580</v>
      </c>
      <c r="G909" s="170"/>
      <c r="H909" s="7" t="s">
        <v>131</v>
      </c>
      <c r="I909" s="7"/>
      <c r="J909" s="118">
        <v>10960</v>
      </c>
      <c r="K909" s="118"/>
      <c r="L909" s="118"/>
      <c r="M909" s="118"/>
      <c r="N909" s="127"/>
      <c r="O909" s="26"/>
    </row>
    <row r="910" spans="1:15" ht="15" customHeight="1" x14ac:dyDescent="0.25">
      <c r="A910" s="54">
        <v>45448</v>
      </c>
      <c r="B910" s="25">
        <f t="shared" si="33"/>
        <v>6</v>
      </c>
      <c r="C910" s="25">
        <f t="shared" si="32"/>
        <v>2024</v>
      </c>
      <c r="D910" s="71" t="s">
        <v>352</v>
      </c>
      <c r="E910" s="170" t="s">
        <v>93</v>
      </c>
      <c r="F910" s="170" t="s">
        <v>670</v>
      </c>
      <c r="G910" s="170"/>
      <c r="H910" s="7" t="s">
        <v>130</v>
      </c>
      <c r="I910" s="7"/>
      <c r="J910" s="118">
        <v>176538</v>
      </c>
      <c r="K910" s="118"/>
      <c r="L910" s="118"/>
      <c r="M910" s="118"/>
      <c r="N910" s="127"/>
      <c r="O910" s="26"/>
    </row>
    <row r="911" spans="1:15" ht="15" customHeight="1" x14ac:dyDescent="0.25">
      <c r="A911" s="54">
        <v>45448</v>
      </c>
      <c r="B911" s="25">
        <f t="shared" si="33"/>
        <v>6</v>
      </c>
      <c r="C911" s="25">
        <f t="shared" si="32"/>
        <v>2024</v>
      </c>
      <c r="D911" s="71" t="s">
        <v>352</v>
      </c>
      <c r="E911" s="170" t="s">
        <v>93</v>
      </c>
      <c r="F911" s="170" t="s">
        <v>939</v>
      </c>
      <c r="G911" s="170"/>
      <c r="H911" s="7" t="s">
        <v>130</v>
      </c>
      <c r="I911" s="7"/>
      <c r="J911" s="118">
        <v>100000</v>
      </c>
      <c r="K911" s="118"/>
      <c r="L911" s="118"/>
      <c r="M911" s="118"/>
      <c r="N911" s="127"/>
      <c r="O911" s="26"/>
    </row>
    <row r="912" spans="1:15" ht="15" customHeight="1" x14ac:dyDescent="0.25">
      <c r="A912" s="54">
        <v>45448</v>
      </c>
      <c r="B912" s="25">
        <f t="shared" si="33"/>
        <v>6</v>
      </c>
      <c r="C912" s="25">
        <f t="shared" si="32"/>
        <v>2024</v>
      </c>
      <c r="D912" s="71" t="s">
        <v>675</v>
      </c>
      <c r="E912" s="170" t="s">
        <v>93</v>
      </c>
      <c r="F912" s="170"/>
      <c r="G912" s="170"/>
      <c r="H912" s="7" t="s">
        <v>545</v>
      </c>
      <c r="I912" s="7"/>
      <c r="J912" s="118"/>
      <c r="K912" s="118">
        <v>82500</v>
      </c>
      <c r="L912" s="118"/>
      <c r="M912" s="118"/>
      <c r="N912" s="127"/>
      <c r="O912" s="26"/>
    </row>
    <row r="913" spans="1:15" ht="15" customHeight="1" x14ac:dyDescent="0.25">
      <c r="A913" s="54">
        <v>45448</v>
      </c>
      <c r="B913" s="25">
        <f t="shared" si="33"/>
        <v>6</v>
      </c>
      <c r="C913" s="25">
        <f t="shared" si="32"/>
        <v>2024</v>
      </c>
      <c r="D913" s="71" t="s">
        <v>352</v>
      </c>
      <c r="E913" s="170" t="s">
        <v>93</v>
      </c>
      <c r="F913" s="170" t="s">
        <v>919</v>
      </c>
      <c r="G913" s="170"/>
      <c r="H913" s="7" t="s">
        <v>130</v>
      </c>
      <c r="I913" s="7"/>
      <c r="J913" s="118">
        <v>642800</v>
      </c>
      <c r="K913" s="118"/>
      <c r="L913" s="118"/>
      <c r="M913" s="118"/>
      <c r="N913" s="127"/>
      <c r="O913" s="26"/>
    </row>
    <row r="914" spans="1:15" ht="15" customHeight="1" x14ac:dyDescent="0.25">
      <c r="A914" s="54">
        <v>45448</v>
      </c>
      <c r="B914" s="25">
        <f t="shared" si="33"/>
        <v>6</v>
      </c>
      <c r="C914" s="25">
        <f t="shared" si="32"/>
        <v>2024</v>
      </c>
      <c r="D914" s="71" t="s">
        <v>92</v>
      </c>
      <c r="E914" s="170" t="s">
        <v>92</v>
      </c>
      <c r="F914" s="170" t="s">
        <v>174</v>
      </c>
      <c r="G914" s="170"/>
      <c r="H914" s="7" t="s">
        <v>92</v>
      </c>
      <c r="I914" s="7"/>
      <c r="J914" s="118"/>
      <c r="K914" s="118">
        <v>54982</v>
      </c>
      <c r="L914" s="118"/>
      <c r="M914" s="118"/>
      <c r="N914" s="127"/>
      <c r="O914" s="26"/>
    </row>
    <row r="915" spans="1:15" ht="15" customHeight="1" x14ac:dyDescent="0.25">
      <c r="A915" s="54">
        <v>45448</v>
      </c>
      <c r="B915" s="25">
        <f t="shared" si="33"/>
        <v>6</v>
      </c>
      <c r="C915" s="25">
        <f t="shared" si="32"/>
        <v>2024</v>
      </c>
      <c r="D915" s="71" t="s">
        <v>92</v>
      </c>
      <c r="E915" s="170" t="s">
        <v>92</v>
      </c>
      <c r="F915" s="170" t="s">
        <v>174</v>
      </c>
      <c r="G915" s="170"/>
      <c r="H915" s="7" t="s">
        <v>92</v>
      </c>
      <c r="I915" s="7"/>
      <c r="J915" s="118"/>
      <c r="K915" s="118">
        <v>61980.01</v>
      </c>
      <c r="L915" s="118"/>
      <c r="M915" s="118"/>
      <c r="N915" s="127"/>
      <c r="O915" s="26"/>
    </row>
    <row r="916" spans="1:15" ht="15" customHeight="1" x14ac:dyDescent="0.25">
      <c r="A916" s="54">
        <v>45449</v>
      </c>
      <c r="B916" s="25">
        <f t="shared" si="33"/>
        <v>6</v>
      </c>
      <c r="C916" s="25">
        <f t="shared" si="32"/>
        <v>2024</v>
      </c>
      <c r="D916" s="71" t="s">
        <v>92</v>
      </c>
      <c r="E916" s="170" t="s">
        <v>92</v>
      </c>
      <c r="F916" s="170" t="s">
        <v>796</v>
      </c>
      <c r="G916" s="170"/>
      <c r="H916" s="7" t="s">
        <v>130</v>
      </c>
      <c r="I916" s="7"/>
      <c r="J916" s="118"/>
      <c r="K916" s="118">
        <v>270000</v>
      </c>
      <c r="L916" s="118"/>
      <c r="M916" s="118"/>
      <c r="N916" s="127"/>
      <c r="O916" s="26"/>
    </row>
    <row r="917" spans="1:15" ht="15" customHeight="1" x14ac:dyDescent="0.25">
      <c r="A917" s="54">
        <v>45449</v>
      </c>
      <c r="B917" s="25">
        <f t="shared" si="33"/>
        <v>6</v>
      </c>
      <c r="C917" s="25">
        <f t="shared" si="32"/>
        <v>2024</v>
      </c>
      <c r="D917" s="71" t="s">
        <v>352</v>
      </c>
      <c r="E917" s="170" t="s">
        <v>93</v>
      </c>
      <c r="F917" s="170" t="s">
        <v>144</v>
      </c>
      <c r="G917" s="170"/>
      <c r="H917" s="7" t="s">
        <v>545</v>
      </c>
      <c r="I917" s="7"/>
      <c r="J917" s="118">
        <v>230000</v>
      </c>
      <c r="K917" s="118"/>
      <c r="L917" s="118"/>
      <c r="M917" s="118"/>
      <c r="N917" s="127"/>
      <c r="O917" s="26"/>
    </row>
    <row r="918" spans="1:15" ht="15" customHeight="1" x14ac:dyDescent="0.25">
      <c r="A918" s="54">
        <v>45449</v>
      </c>
      <c r="B918" s="25">
        <f t="shared" si="33"/>
        <v>6</v>
      </c>
      <c r="C918" s="25">
        <f t="shared" si="32"/>
        <v>2024</v>
      </c>
      <c r="D918" s="71" t="s">
        <v>124</v>
      </c>
      <c r="E918" s="170" t="s">
        <v>93</v>
      </c>
      <c r="F918" s="170"/>
      <c r="G918" s="170" t="s">
        <v>553</v>
      </c>
      <c r="H918" s="7" t="s">
        <v>131</v>
      </c>
      <c r="I918" s="7"/>
      <c r="J918" s="118"/>
      <c r="K918" s="118">
        <v>17700</v>
      </c>
      <c r="L918" s="118"/>
      <c r="M918" s="118" t="s">
        <v>954</v>
      </c>
      <c r="N918" s="127"/>
      <c r="O918" s="26"/>
    </row>
    <row r="919" spans="1:15" ht="15" customHeight="1" x14ac:dyDescent="0.25">
      <c r="A919" s="54">
        <v>45449</v>
      </c>
      <c r="B919" s="25">
        <f t="shared" si="33"/>
        <v>6</v>
      </c>
      <c r="C919" s="25">
        <f t="shared" si="32"/>
        <v>2024</v>
      </c>
      <c r="D919" s="71" t="s">
        <v>124</v>
      </c>
      <c r="E919" s="170" t="s">
        <v>93</v>
      </c>
      <c r="F919" s="170"/>
      <c r="G919" s="170" t="s">
        <v>553</v>
      </c>
      <c r="H919" s="7" t="s">
        <v>131</v>
      </c>
      <c r="I919" s="7"/>
      <c r="J919" s="118"/>
      <c r="K919" s="118">
        <v>250000</v>
      </c>
      <c r="L919" s="118"/>
      <c r="M919" s="118" t="s">
        <v>954</v>
      </c>
      <c r="N919" s="127"/>
      <c r="O919" s="26"/>
    </row>
    <row r="920" spans="1:15" ht="15" customHeight="1" x14ac:dyDescent="0.25">
      <c r="A920" s="54">
        <v>45449</v>
      </c>
      <c r="B920" s="25">
        <f t="shared" si="33"/>
        <v>6</v>
      </c>
      <c r="C920" s="25">
        <f t="shared" si="32"/>
        <v>2024</v>
      </c>
      <c r="D920" s="71" t="s">
        <v>124</v>
      </c>
      <c r="E920" s="170" t="s">
        <v>93</v>
      </c>
      <c r="F920" s="170"/>
      <c r="G920" s="170" t="s">
        <v>553</v>
      </c>
      <c r="H920" s="7" t="s">
        <v>131</v>
      </c>
      <c r="I920" s="7"/>
      <c r="J920" s="118"/>
      <c r="K920" s="118">
        <v>10960</v>
      </c>
      <c r="L920" s="118"/>
      <c r="M920" s="118" t="s">
        <v>954</v>
      </c>
      <c r="N920" s="127"/>
      <c r="O920" s="26"/>
    </row>
    <row r="921" spans="1:15" ht="15" customHeight="1" x14ac:dyDescent="0.25">
      <c r="A921" s="54">
        <v>45449</v>
      </c>
      <c r="B921" s="25">
        <f t="shared" si="33"/>
        <v>6</v>
      </c>
      <c r="C921" s="25">
        <f t="shared" si="32"/>
        <v>2024</v>
      </c>
      <c r="D921" s="71" t="s">
        <v>92</v>
      </c>
      <c r="E921" s="170" t="s">
        <v>92</v>
      </c>
      <c r="F921" s="170" t="s">
        <v>172</v>
      </c>
      <c r="G921" s="170"/>
      <c r="H921" s="7" t="s">
        <v>545</v>
      </c>
      <c r="I921" s="7"/>
      <c r="J921" s="118"/>
      <c r="K921" s="118">
        <v>119576.96000000001</v>
      </c>
      <c r="L921" s="118"/>
      <c r="M921" s="118"/>
      <c r="N921" s="127"/>
      <c r="O921" s="26"/>
    </row>
    <row r="922" spans="1:15" ht="15" customHeight="1" x14ac:dyDescent="0.25">
      <c r="A922" s="54">
        <v>45449</v>
      </c>
      <c r="B922" s="25">
        <f t="shared" si="33"/>
        <v>6</v>
      </c>
      <c r="C922" s="25">
        <f t="shared" si="32"/>
        <v>2024</v>
      </c>
      <c r="D922" s="71" t="s">
        <v>92</v>
      </c>
      <c r="E922" s="170" t="s">
        <v>92</v>
      </c>
      <c r="F922" s="170" t="s">
        <v>139</v>
      </c>
      <c r="G922" s="170"/>
      <c r="H922" s="7" t="s">
        <v>545</v>
      </c>
      <c r="I922" s="7"/>
      <c r="J922" s="118"/>
      <c r="K922" s="118">
        <v>2355.35</v>
      </c>
      <c r="L922" s="118"/>
      <c r="M922" s="118"/>
      <c r="N922" s="127"/>
      <c r="O922" s="26"/>
    </row>
    <row r="923" spans="1:15" ht="15" customHeight="1" x14ac:dyDescent="0.25">
      <c r="A923" s="54">
        <v>45449</v>
      </c>
      <c r="B923" s="25">
        <f t="shared" si="33"/>
        <v>6</v>
      </c>
      <c r="C923" s="25">
        <f t="shared" si="32"/>
        <v>2024</v>
      </c>
      <c r="D923" s="71" t="s">
        <v>92</v>
      </c>
      <c r="E923" s="170" t="s">
        <v>92</v>
      </c>
      <c r="F923" s="170" t="s">
        <v>630</v>
      </c>
      <c r="G923" s="170"/>
      <c r="H923" s="7" t="s">
        <v>545</v>
      </c>
      <c r="I923" s="7"/>
      <c r="J923" s="118"/>
      <c r="K923" s="118">
        <v>8000</v>
      </c>
      <c r="L923" s="118"/>
      <c r="M923" s="118"/>
      <c r="N923" s="127"/>
      <c r="O923" s="26"/>
    </row>
    <row r="924" spans="1:15" ht="15" customHeight="1" x14ac:dyDescent="0.25">
      <c r="A924" s="54">
        <v>45449</v>
      </c>
      <c r="B924" s="25">
        <f t="shared" si="33"/>
        <v>6</v>
      </c>
      <c r="C924" s="25">
        <f t="shared" si="32"/>
        <v>2024</v>
      </c>
      <c r="D924" s="71" t="s">
        <v>352</v>
      </c>
      <c r="E924" s="170" t="s">
        <v>93</v>
      </c>
      <c r="F924" s="170" t="s">
        <v>942</v>
      </c>
      <c r="G924" s="170"/>
      <c r="H924" s="7" t="s">
        <v>130</v>
      </c>
      <c r="I924" s="7"/>
      <c r="J924" s="118">
        <v>190000</v>
      </c>
      <c r="K924" s="118"/>
      <c r="L924" s="118"/>
      <c r="M924" s="118"/>
      <c r="N924" s="127"/>
      <c r="O924" s="26"/>
    </row>
    <row r="925" spans="1:15" ht="15" customHeight="1" x14ac:dyDescent="0.25">
      <c r="A925" s="54">
        <v>45449</v>
      </c>
      <c r="B925" s="25">
        <f t="shared" si="33"/>
        <v>6</v>
      </c>
      <c r="C925" s="25">
        <f t="shared" si="32"/>
        <v>2024</v>
      </c>
      <c r="D925" s="71" t="s">
        <v>352</v>
      </c>
      <c r="E925" s="170" t="s">
        <v>93</v>
      </c>
      <c r="F925" s="170" t="s">
        <v>943</v>
      </c>
      <c r="G925" s="170"/>
      <c r="H925" s="7" t="s">
        <v>545</v>
      </c>
      <c r="I925" s="7"/>
      <c r="J925" s="118">
        <v>160000</v>
      </c>
      <c r="K925" s="118"/>
      <c r="L925" s="118"/>
      <c r="M925" s="118"/>
      <c r="N925" s="127"/>
      <c r="O925" s="26"/>
    </row>
    <row r="926" spans="1:15" ht="15" customHeight="1" x14ac:dyDescent="0.25">
      <c r="A926" s="54">
        <v>45450</v>
      </c>
      <c r="B926" s="25">
        <f t="shared" si="33"/>
        <v>6</v>
      </c>
      <c r="C926" s="25">
        <f t="shared" si="32"/>
        <v>2024</v>
      </c>
      <c r="D926" s="71" t="s">
        <v>352</v>
      </c>
      <c r="E926" s="170" t="s">
        <v>93</v>
      </c>
      <c r="F926" s="170" t="s">
        <v>946</v>
      </c>
      <c r="G926" s="170"/>
      <c r="H926" s="7" t="s">
        <v>130</v>
      </c>
      <c r="I926" s="7"/>
      <c r="J926" s="118">
        <v>278470</v>
      </c>
      <c r="K926" s="118"/>
      <c r="L926" s="118"/>
      <c r="M926" s="118"/>
      <c r="N926" s="127"/>
      <c r="O926" s="26"/>
    </row>
    <row r="927" spans="1:15" ht="15" customHeight="1" x14ac:dyDescent="0.25">
      <c r="A927" s="54">
        <v>45450</v>
      </c>
      <c r="B927" s="25">
        <f t="shared" si="33"/>
        <v>6</v>
      </c>
      <c r="C927" s="25">
        <f t="shared" si="32"/>
        <v>2024</v>
      </c>
      <c r="D927" s="71" t="s">
        <v>92</v>
      </c>
      <c r="E927" s="170" t="s">
        <v>92</v>
      </c>
      <c r="F927" s="170" t="s">
        <v>296</v>
      </c>
      <c r="G927" s="170"/>
      <c r="H927" s="7" t="s">
        <v>130</v>
      </c>
      <c r="I927" s="7"/>
      <c r="J927" s="118"/>
      <c r="K927" s="118">
        <v>386620</v>
      </c>
      <c r="L927" s="118"/>
      <c r="M927" s="118"/>
      <c r="N927" s="127"/>
      <c r="O927" s="26"/>
    </row>
    <row r="928" spans="1:15" ht="15" customHeight="1" x14ac:dyDescent="0.25">
      <c r="A928" s="54">
        <v>45450</v>
      </c>
      <c r="B928" s="25">
        <f t="shared" si="33"/>
        <v>6</v>
      </c>
      <c r="C928" s="25">
        <f t="shared" si="32"/>
        <v>2024</v>
      </c>
      <c r="D928" s="71" t="s">
        <v>124</v>
      </c>
      <c r="E928" s="170" t="s">
        <v>93</v>
      </c>
      <c r="F928" s="170"/>
      <c r="G928" s="170" t="s">
        <v>554</v>
      </c>
      <c r="H928" s="7" t="s">
        <v>130</v>
      </c>
      <c r="I928" s="7"/>
      <c r="J928" s="118"/>
      <c r="K928" s="118">
        <v>1152000</v>
      </c>
      <c r="L928" s="118"/>
      <c r="M928" s="118" t="s">
        <v>954</v>
      </c>
      <c r="N928" s="127"/>
      <c r="O928" s="26"/>
    </row>
    <row r="929" spans="1:15" ht="15" customHeight="1" x14ac:dyDescent="0.25">
      <c r="A929" s="54">
        <v>45450</v>
      </c>
      <c r="B929" s="25">
        <f t="shared" si="33"/>
        <v>6</v>
      </c>
      <c r="C929" s="25">
        <f t="shared" si="32"/>
        <v>2024</v>
      </c>
      <c r="D929" s="71" t="s">
        <v>949</v>
      </c>
      <c r="E929" s="170" t="s">
        <v>93</v>
      </c>
      <c r="F929" s="170" t="s">
        <v>950</v>
      </c>
      <c r="G929" s="170"/>
      <c r="H929" s="7" t="s">
        <v>130</v>
      </c>
      <c r="I929" s="7"/>
      <c r="J929" s="118">
        <v>40000</v>
      </c>
      <c r="K929" s="118"/>
      <c r="L929" s="118"/>
      <c r="M929" s="118"/>
      <c r="N929" s="127"/>
      <c r="O929" s="26"/>
    </row>
    <row r="930" spans="1:15" ht="15" customHeight="1" x14ac:dyDescent="0.25">
      <c r="A930" s="54">
        <v>45450</v>
      </c>
      <c r="B930" s="25">
        <f t="shared" si="33"/>
        <v>6</v>
      </c>
      <c r="C930" s="25">
        <f t="shared" si="32"/>
        <v>2024</v>
      </c>
      <c r="D930" s="71" t="s">
        <v>352</v>
      </c>
      <c r="E930" s="170" t="s">
        <v>93</v>
      </c>
      <c r="F930" s="170" t="s">
        <v>951</v>
      </c>
      <c r="G930" s="170"/>
      <c r="H930" s="7" t="s">
        <v>545</v>
      </c>
      <c r="I930" s="7"/>
      <c r="J930" s="118">
        <v>397200</v>
      </c>
      <c r="K930" s="118"/>
      <c r="L930" s="118"/>
      <c r="M930" s="118"/>
      <c r="N930" s="127"/>
      <c r="O930" s="26"/>
    </row>
    <row r="931" spans="1:15" ht="15" customHeight="1" x14ac:dyDescent="0.25">
      <c r="A931" s="54">
        <v>45450</v>
      </c>
      <c r="B931" s="25">
        <f t="shared" si="33"/>
        <v>6</v>
      </c>
      <c r="C931" s="25">
        <f t="shared" si="32"/>
        <v>2024</v>
      </c>
      <c r="D931" s="71" t="s">
        <v>689</v>
      </c>
      <c r="E931" s="170" t="s">
        <v>93</v>
      </c>
      <c r="F931" s="170" t="s">
        <v>655</v>
      </c>
      <c r="G931" s="170"/>
      <c r="H931" s="7" t="s">
        <v>130</v>
      </c>
      <c r="I931" s="7"/>
      <c r="J931" s="118"/>
      <c r="K931" s="118">
        <v>150000</v>
      </c>
      <c r="L931" s="118"/>
      <c r="M931" s="118"/>
      <c r="N931" s="127"/>
      <c r="O931" s="26"/>
    </row>
    <row r="932" spans="1:15" ht="15" customHeight="1" x14ac:dyDescent="0.25">
      <c r="A932" s="54">
        <v>45450</v>
      </c>
      <c r="B932" s="25">
        <f t="shared" si="33"/>
        <v>6</v>
      </c>
      <c r="C932" s="25">
        <f t="shared" si="32"/>
        <v>2024</v>
      </c>
      <c r="D932" s="71" t="s">
        <v>92</v>
      </c>
      <c r="E932" s="170" t="s">
        <v>92</v>
      </c>
      <c r="F932" s="170" t="s">
        <v>971</v>
      </c>
      <c r="G932" s="170"/>
      <c r="H932" s="7" t="s">
        <v>92</v>
      </c>
      <c r="I932" s="7"/>
      <c r="J932" s="118"/>
      <c r="K932" s="118">
        <v>53659.68</v>
      </c>
      <c r="L932" s="118"/>
      <c r="M932" s="118"/>
      <c r="N932" s="127"/>
      <c r="O932" s="26"/>
    </row>
    <row r="933" spans="1:15" ht="15" customHeight="1" x14ac:dyDescent="0.25">
      <c r="A933" s="54">
        <v>45451</v>
      </c>
      <c r="B933" s="25">
        <f t="shared" si="33"/>
        <v>6</v>
      </c>
      <c r="C933" s="25">
        <f t="shared" si="32"/>
        <v>2024</v>
      </c>
      <c r="D933" s="71" t="s">
        <v>626</v>
      </c>
      <c r="E933" s="170" t="s">
        <v>93</v>
      </c>
      <c r="F933" s="170"/>
      <c r="G933" s="170"/>
      <c r="H933" s="7" t="s">
        <v>130</v>
      </c>
      <c r="I933" s="7"/>
      <c r="J933" s="118"/>
      <c r="K933" s="118">
        <v>116000</v>
      </c>
      <c r="L933" s="118"/>
      <c r="M933" s="118"/>
      <c r="N933" s="127"/>
      <c r="O933" s="26"/>
    </row>
    <row r="934" spans="1:15" ht="15" customHeight="1" x14ac:dyDescent="0.25">
      <c r="A934" s="54">
        <v>45451</v>
      </c>
      <c r="B934" s="25">
        <f t="shared" si="33"/>
        <v>6</v>
      </c>
      <c r="C934" s="25">
        <f t="shared" si="32"/>
        <v>2024</v>
      </c>
      <c r="D934" s="71" t="s">
        <v>689</v>
      </c>
      <c r="E934" s="170" t="s">
        <v>93</v>
      </c>
      <c r="F934" s="170" t="s">
        <v>567</v>
      </c>
      <c r="G934" s="170"/>
      <c r="H934" s="7" t="s">
        <v>130</v>
      </c>
      <c r="I934" s="7"/>
      <c r="J934" s="118"/>
      <c r="K934" s="118">
        <v>130000</v>
      </c>
      <c r="L934" s="118"/>
      <c r="M934" s="118"/>
      <c r="N934" s="127"/>
      <c r="O934" s="26"/>
    </row>
    <row r="935" spans="1:15" ht="15" customHeight="1" x14ac:dyDescent="0.25">
      <c r="A935" s="54">
        <v>45452</v>
      </c>
      <c r="B935" s="25">
        <f t="shared" si="33"/>
        <v>6</v>
      </c>
      <c r="C935" s="25">
        <f t="shared" si="32"/>
        <v>2024</v>
      </c>
      <c r="D935" s="71" t="s">
        <v>92</v>
      </c>
      <c r="E935" s="170" t="s">
        <v>92</v>
      </c>
      <c r="F935" s="170"/>
      <c r="G935" s="170"/>
      <c r="H935" s="7" t="s">
        <v>92</v>
      </c>
      <c r="I935" s="7"/>
      <c r="J935" s="118"/>
      <c r="K935" s="118">
        <v>70000</v>
      </c>
      <c r="L935" s="118"/>
      <c r="M935" s="118"/>
      <c r="N935" s="127"/>
      <c r="O935" s="26"/>
    </row>
    <row r="936" spans="1:15" ht="15" customHeight="1" x14ac:dyDescent="0.25">
      <c r="A936" s="54">
        <v>45453</v>
      </c>
      <c r="B936" s="25">
        <f t="shared" si="33"/>
        <v>6</v>
      </c>
      <c r="C936" s="25">
        <f t="shared" si="32"/>
        <v>2024</v>
      </c>
      <c r="D936" s="71" t="s">
        <v>352</v>
      </c>
      <c r="E936" s="170" t="s">
        <v>93</v>
      </c>
      <c r="F936" s="170" t="s">
        <v>928</v>
      </c>
      <c r="G936" s="170"/>
      <c r="H936" s="7" t="s">
        <v>130</v>
      </c>
      <c r="I936" s="7"/>
      <c r="J936" s="118">
        <v>130000</v>
      </c>
      <c r="K936" s="118"/>
      <c r="L936" s="118"/>
      <c r="M936" s="118"/>
      <c r="N936" s="127"/>
      <c r="O936" s="26"/>
    </row>
    <row r="937" spans="1:15" ht="15" customHeight="1" x14ac:dyDescent="0.25">
      <c r="A937" s="54">
        <v>45453</v>
      </c>
      <c r="B937" s="25">
        <f t="shared" si="33"/>
        <v>6</v>
      </c>
      <c r="C937" s="25">
        <f t="shared" si="32"/>
        <v>2024</v>
      </c>
      <c r="D937" s="71" t="s">
        <v>352</v>
      </c>
      <c r="E937" s="170" t="s">
        <v>93</v>
      </c>
      <c r="F937" s="170" t="s">
        <v>863</v>
      </c>
      <c r="G937" s="170"/>
      <c r="H937" s="7" t="s">
        <v>130</v>
      </c>
      <c r="I937" s="7"/>
      <c r="J937" s="118">
        <v>200000</v>
      </c>
      <c r="K937" s="118"/>
      <c r="L937" s="118"/>
      <c r="M937" s="118"/>
      <c r="N937" s="127"/>
      <c r="O937" s="26"/>
    </row>
    <row r="938" spans="1:15" ht="15" customHeight="1" x14ac:dyDescent="0.25">
      <c r="A938" s="54">
        <v>45453</v>
      </c>
      <c r="B938" s="25">
        <f t="shared" si="33"/>
        <v>6</v>
      </c>
      <c r="C938" s="25">
        <f t="shared" si="32"/>
        <v>2024</v>
      </c>
      <c r="D938" s="71" t="s">
        <v>92</v>
      </c>
      <c r="E938" s="170" t="s">
        <v>92</v>
      </c>
      <c r="F938" s="170" t="s">
        <v>961</v>
      </c>
      <c r="G938" s="170"/>
      <c r="H938" s="7" t="s">
        <v>92</v>
      </c>
      <c r="I938" s="7"/>
      <c r="J938" s="118"/>
      <c r="K938" s="118">
        <v>310000</v>
      </c>
      <c r="L938" s="118"/>
      <c r="M938" s="118"/>
      <c r="N938" s="127"/>
      <c r="O938" s="26"/>
    </row>
    <row r="939" spans="1:15" ht="15" customHeight="1" x14ac:dyDescent="0.25">
      <c r="A939" s="54">
        <v>45453</v>
      </c>
      <c r="B939" s="25">
        <f t="shared" si="33"/>
        <v>6</v>
      </c>
      <c r="C939" s="25">
        <f t="shared" si="32"/>
        <v>2024</v>
      </c>
      <c r="D939" s="71" t="s">
        <v>92</v>
      </c>
      <c r="E939" s="170" t="s">
        <v>92</v>
      </c>
      <c r="F939" s="170" t="s">
        <v>789</v>
      </c>
      <c r="G939" s="170"/>
      <c r="H939" s="7" t="s">
        <v>92</v>
      </c>
      <c r="I939" s="7"/>
      <c r="J939" s="118"/>
      <c r="K939" s="118">
        <v>45210</v>
      </c>
      <c r="L939" s="118"/>
      <c r="M939" s="118"/>
      <c r="N939" s="127"/>
      <c r="O939" s="26"/>
    </row>
    <row r="940" spans="1:15" ht="15" customHeight="1" x14ac:dyDescent="0.25">
      <c r="A940" s="54">
        <v>45454</v>
      </c>
      <c r="B940" s="25">
        <f t="shared" si="33"/>
        <v>6</v>
      </c>
      <c r="C940" s="25">
        <f t="shared" si="32"/>
        <v>2024</v>
      </c>
      <c r="D940" s="71" t="s">
        <v>124</v>
      </c>
      <c r="E940" s="170" t="s">
        <v>93</v>
      </c>
      <c r="F940" s="170"/>
      <c r="G940" s="170" t="s">
        <v>333</v>
      </c>
      <c r="H940" s="7" t="s">
        <v>861</v>
      </c>
      <c r="I940" s="7"/>
      <c r="J940" s="118"/>
      <c r="K940" s="118">
        <v>460000</v>
      </c>
      <c r="L940" s="118"/>
      <c r="M940" s="118" t="s">
        <v>954</v>
      </c>
      <c r="N940" s="127"/>
      <c r="O940" s="26"/>
    </row>
    <row r="941" spans="1:15" ht="15" customHeight="1" x14ac:dyDescent="0.25">
      <c r="A941" s="54">
        <v>45454</v>
      </c>
      <c r="B941" s="25">
        <f t="shared" si="33"/>
        <v>6</v>
      </c>
      <c r="C941" s="25">
        <f t="shared" si="32"/>
        <v>2024</v>
      </c>
      <c r="D941" s="71" t="s">
        <v>124</v>
      </c>
      <c r="E941" s="170" t="s">
        <v>93</v>
      </c>
      <c r="F941" s="170" t="s">
        <v>953</v>
      </c>
      <c r="G941" s="170"/>
      <c r="H941" s="7" t="s">
        <v>545</v>
      </c>
      <c r="I941" s="7"/>
      <c r="J941" s="118"/>
      <c r="K941" s="118">
        <v>72520</v>
      </c>
      <c r="L941" s="118"/>
      <c r="M941" s="118" t="s">
        <v>954</v>
      </c>
      <c r="N941" s="127"/>
      <c r="O941" s="26"/>
    </row>
    <row r="942" spans="1:15" ht="15" customHeight="1" x14ac:dyDescent="0.25">
      <c r="A942" s="54">
        <v>45455</v>
      </c>
      <c r="B942" s="25">
        <f t="shared" si="33"/>
        <v>6</v>
      </c>
      <c r="C942" s="25">
        <f t="shared" si="32"/>
        <v>2024</v>
      </c>
      <c r="D942" s="71" t="s">
        <v>352</v>
      </c>
      <c r="E942" s="170" t="s">
        <v>93</v>
      </c>
      <c r="F942" s="170" t="s">
        <v>393</v>
      </c>
      <c r="G942" s="170"/>
      <c r="H942" s="7" t="s">
        <v>130</v>
      </c>
      <c r="I942" s="7"/>
      <c r="J942" s="118">
        <v>70000</v>
      </c>
      <c r="K942" s="118"/>
      <c r="L942" s="118"/>
      <c r="M942" s="118"/>
      <c r="N942" s="127"/>
      <c r="O942" s="26"/>
    </row>
    <row r="943" spans="1:15" ht="15" customHeight="1" x14ac:dyDescent="0.25">
      <c r="A943" s="54">
        <v>45455</v>
      </c>
      <c r="B943" s="25">
        <f t="shared" si="33"/>
        <v>6</v>
      </c>
      <c r="C943" s="25">
        <f t="shared" si="32"/>
        <v>2024</v>
      </c>
      <c r="D943" s="71" t="s">
        <v>352</v>
      </c>
      <c r="E943" s="170" t="s">
        <v>93</v>
      </c>
      <c r="F943" s="170" t="s">
        <v>939</v>
      </c>
      <c r="G943" s="170"/>
      <c r="H943" s="7" t="s">
        <v>130</v>
      </c>
      <c r="I943" s="7"/>
      <c r="J943" s="118">
        <v>100000</v>
      </c>
      <c r="K943" s="118"/>
      <c r="L943" s="118"/>
      <c r="M943" s="118"/>
      <c r="N943" s="127"/>
      <c r="O943" s="26"/>
    </row>
    <row r="944" spans="1:15" ht="15" customHeight="1" x14ac:dyDescent="0.25">
      <c r="A944" s="54">
        <v>45455</v>
      </c>
      <c r="B944" s="25">
        <f t="shared" si="33"/>
        <v>6</v>
      </c>
      <c r="C944" s="25">
        <f t="shared" si="32"/>
        <v>2024</v>
      </c>
      <c r="D944" s="71" t="s">
        <v>352</v>
      </c>
      <c r="E944" s="170" t="s">
        <v>93</v>
      </c>
      <c r="F944" s="170" t="s">
        <v>930</v>
      </c>
      <c r="G944" s="170"/>
      <c r="H944" s="7" t="s">
        <v>130</v>
      </c>
      <c r="I944" s="7"/>
      <c r="J944" s="118">
        <v>50000</v>
      </c>
      <c r="K944" s="118"/>
      <c r="L944" s="118"/>
      <c r="M944" s="118"/>
      <c r="N944" s="127"/>
      <c r="O944" s="26"/>
    </row>
    <row r="945" spans="1:15" ht="15" customHeight="1" x14ac:dyDescent="0.25">
      <c r="A945" s="54">
        <v>45455</v>
      </c>
      <c r="B945" s="25">
        <f t="shared" si="33"/>
        <v>6</v>
      </c>
      <c r="C945" s="25">
        <f t="shared" si="32"/>
        <v>2024</v>
      </c>
      <c r="D945" s="71" t="s">
        <v>92</v>
      </c>
      <c r="E945" s="170" t="s">
        <v>92</v>
      </c>
      <c r="F945" s="170" t="s">
        <v>970</v>
      </c>
      <c r="G945" s="170"/>
      <c r="H945" s="7" t="s">
        <v>92</v>
      </c>
      <c r="I945" s="7"/>
      <c r="J945" s="118"/>
      <c r="K945" s="118">
        <v>8660</v>
      </c>
      <c r="L945" s="118"/>
      <c r="M945" s="118"/>
      <c r="N945" s="127"/>
      <c r="O945" s="26"/>
    </row>
    <row r="946" spans="1:15" ht="15" customHeight="1" x14ac:dyDescent="0.25">
      <c r="A946" s="54">
        <v>45455</v>
      </c>
      <c r="B946" s="25">
        <f t="shared" si="33"/>
        <v>6</v>
      </c>
      <c r="C946" s="25">
        <f t="shared" si="32"/>
        <v>2024</v>
      </c>
      <c r="D946" s="71" t="s">
        <v>92</v>
      </c>
      <c r="E946" s="4" t="s">
        <v>92</v>
      </c>
      <c r="F946" s="4" t="s">
        <v>174</v>
      </c>
      <c r="G946" s="4"/>
      <c r="H946" s="7" t="s">
        <v>92</v>
      </c>
      <c r="I946" s="7"/>
      <c r="J946" s="118"/>
      <c r="K946" s="118">
        <v>22745</v>
      </c>
      <c r="L946" s="118"/>
      <c r="M946" s="118"/>
      <c r="N946" s="127"/>
      <c r="O946" s="26"/>
    </row>
    <row r="947" spans="1:15" x14ac:dyDescent="0.25">
      <c r="A947" s="164">
        <v>45457</v>
      </c>
      <c r="B947" s="25">
        <f t="shared" si="33"/>
        <v>6</v>
      </c>
      <c r="C947" s="25">
        <f t="shared" si="32"/>
        <v>2024</v>
      </c>
      <c r="D947" s="168" t="s">
        <v>352</v>
      </c>
      <c r="E947" s="170" t="s">
        <v>93</v>
      </c>
      <c r="F947" s="170" t="s">
        <v>576</v>
      </c>
      <c r="G947" s="170"/>
      <c r="H947" s="167" t="s">
        <v>545</v>
      </c>
      <c r="I947" s="167"/>
      <c r="J947" s="173">
        <v>180000</v>
      </c>
      <c r="K947" s="173"/>
      <c r="L947" s="173"/>
      <c r="M947" s="173"/>
      <c r="N947" s="175"/>
      <c r="O947" s="26"/>
    </row>
    <row r="948" spans="1:15" x14ac:dyDescent="0.25">
      <c r="A948" s="164">
        <v>45457</v>
      </c>
      <c r="B948" s="25">
        <f t="shared" si="33"/>
        <v>6</v>
      </c>
      <c r="C948" s="25">
        <f t="shared" si="32"/>
        <v>2024</v>
      </c>
      <c r="D948" s="168" t="s">
        <v>352</v>
      </c>
      <c r="E948" s="170" t="s">
        <v>93</v>
      </c>
      <c r="F948" s="170" t="s">
        <v>144</v>
      </c>
      <c r="G948" s="170"/>
      <c r="H948" s="167" t="s">
        <v>545</v>
      </c>
      <c r="I948" s="167"/>
      <c r="J948" s="173">
        <v>36000</v>
      </c>
      <c r="K948" s="173"/>
      <c r="L948" s="173"/>
      <c r="M948" s="173"/>
      <c r="N948" s="175"/>
      <c r="O948" s="26"/>
    </row>
    <row r="949" spans="1:15" x14ac:dyDescent="0.25">
      <c r="A949" s="164">
        <v>45457</v>
      </c>
      <c r="B949" s="25">
        <f t="shared" si="33"/>
        <v>6</v>
      </c>
      <c r="C949" s="25">
        <f t="shared" si="32"/>
        <v>2024</v>
      </c>
      <c r="D949" s="168" t="s">
        <v>626</v>
      </c>
      <c r="E949" s="170" t="s">
        <v>93</v>
      </c>
      <c r="F949" s="170"/>
      <c r="G949" s="170"/>
      <c r="H949" s="167" t="s">
        <v>130</v>
      </c>
      <c r="I949" s="167"/>
      <c r="J949" s="173"/>
      <c r="K949" s="173">
        <v>116000</v>
      </c>
      <c r="L949" s="173"/>
      <c r="M949" s="173"/>
      <c r="N949" s="175"/>
      <c r="O949" s="26"/>
    </row>
    <row r="950" spans="1:15" x14ac:dyDescent="0.25">
      <c r="A950" s="164">
        <v>45457</v>
      </c>
      <c r="B950" s="25">
        <f t="shared" si="33"/>
        <v>6</v>
      </c>
      <c r="C950" s="25">
        <f t="shared" si="32"/>
        <v>2024</v>
      </c>
      <c r="D950" s="168" t="s">
        <v>689</v>
      </c>
      <c r="E950" s="170" t="s">
        <v>93</v>
      </c>
      <c r="F950" s="170" t="s">
        <v>567</v>
      </c>
      <c r="G950" s="170"/>
      <c r="H950" s="167" t="s">
        <v>130</v>
      </c>
      <c r="I950" s="167"/>
      <c r="J950" s="173"/>
      <c r="K950" s="173">
        <v>130000</v>
      </c>
      <c r="L950" s="173"/>
      <c r="M950" s="173"/>
      <c r="N950" s="175"/>
      <c r="O950" s="26"/>
    </row>
    <row r="951" spans="1:15" x14ac:dyDescent="0.25">
      <c r="A951" s="164">
        <v>45458</v>
      </c>
      <c r="B951" s="25">
        <f t="shared" si="33"/>
        <v>6</v>
      </c>
      <c r="C951" s="25">
        <f t="shared" si="32"/>
        <v>2024</v>
      </c>
      <c r="D951" s="168" t="s">
        <v>352</v>
      </c>
      <c r="E951" s="170" t="s">
        <v>93</v>
      </c>
      <c r="F951" s="170" t="s">
        <v>430</v>
      </c>
      <c r="G951" s="170"/>
      <c r="H951" s="167" t="s">
        <v>545</v>
      </c>
      <c r="I951" s="167"/>
      <c r="J951" s="173">
        <v>131500</v>
      </c>
      <c r="K951" s="173"/>
      <c r="L951" s="173"/>
      <c r="M951" s="173"/>
      <c r="N951" s="175"/>
      <c r="O951" s="26"/>
    </row>
    <row r="952" spans="1:15" x14ac:dyDescent="0.25">
      <c r="A952" s="164">
        <v>45461</v>
      </c>
      <c r="B952" s="25">
        <f t="shared" si="33"/>
        <v>6</v>
      </c>
      <c r="C952" s="25">
        <f t="shared" si="32"/>
        <v>2024</v>
      </c>
      <c r="D952" s="168" t="s">
        <v>352</v>
      </c>
      <c r="E952" s="170" t="s">
        <v>93</v>
      </c>
      <c r="F952" s="170" t="s">
        <v>857</v>
      </c>
      <c r="G952" s="170"/>
      <c r="H952" s="167" t="s">
        <v>130</v>
      </c>
      <c r="I952" s="167"/>
      <c r="J952" s="173">
        <v>105500</v>
      </c>
      <c r="K952" s="173"/>
      <c r="L952" s="173"/>
      <c r="M952" s="173"/>
      <c r="N952" s="175"/>
      <c r="O952" s="26"/>
    </row>
    <row r="953" spans="1:15" x14ac:dyDescent="0.25">
      <c r="A953" s="164">
        <v>45461</v>
      </c>
      <c r="B953" s="25">
        <f t="shared" si="33"/>
        <v>6</v>
      </c>
      <c r="C953" s="25">
        <f t="shared" si="32"/>
        <v>2024</v>
      </c>
      <c r="D953" s="168" t="s">
        <v>92</v>
      </c>
      <c r="E953" s="170" t="s">
        <v>92</v>
      </c>
      <c r="F953" s="170" t="s">
        <v>970</v>
      </c>
      <c r="G953" s="170"/>
      <c r="H953" s="167" t="s">
        <v>92</v>
      </c>
      <c r="I953" s="167"/>
      <c r="J953" s="173"/>
      <c r="K953" s="173">
        <v>108878.36</v>
      </c>
      <c r="L953" s="173"/>
      <c r="M953" s="173"/>
      <c r="N953" s="175"/>
      <c r="O953" s="26"/>
    </row>
    <row r="954" spans="1:15" x14ac:dyDescent="0.25">
      <c r="A954" s="164">
        <v>45461</v>
      </c>
      <c r="B954" s="25">
        <f t="shared" si="33"/>
        <v>6</v>
      </c>
      <c r="C954" s="25">
        <f t="shared" si="32"/>
        <v>2024</v>
      </c>
      <c r="D954" s="168" t="s">
        <v>92</v>
      </c>
      <c r="E954" s="170" t="s">
        <v>92</v>
      </c>
      <c r="F954" s="170" t="s">
        <v>739</v>
      </c>
      <c r="G954" s="170"/>
      <c r="H954" s="167" t="s">
        <v>92</v>
      </c>
      <c r="I954" s="167"/>
      <c r="J954" s="173"/>
      <c r="K954" s="173">
        <v>14460</v>
      </c>
      <c r="L954" s="173"/>
      <c r="M954" s="173"/>
      <c r="N954" s="175"/>
      <c r="O954" s="26"/>
    </row>
    <row r="955" spans="1:15" x14ac:dyDescent="0.25">
      <c r="A955" s="165">
        <v>45461</v>
      </c>
      <c r="B955" s="25">
        <f t="shared" si="33"/>
        <v>6</v>
      </c>
      <c r="C955" s="25">
        <f t="shared" si="32"/>
        <v>2024</v>
      </c>
      <c r="D955" s="169" t="s">
        <v>507</v>
      </c>
      <c r="E955" s="170" t="s">
        <v>92</v>
      </c>
      <c r="F955" s="171" t="s">
        <v>899</v>
      </c>
      <c r="G955" s="171"/>
      <c r="H955" s="7" t="s">
        <v>92</v>
      </c>
      <c r="I955" s="172"/>
      <c r="J955" s="174"/>
      <c r="K955" s="174">
        <v>98561.68</v>
      </c>
      <c r="L955" s="174"/>
      <c r="M955" s="174"/>
      <c r="N955" s="176"/>
    </row>
    <row r="956" spans="1:15" x14ac:dyDescent="0.25">
      <c r="A956" s="164">
        <v>45462</v>
      </c>
      <c r="B956" s="25">
        <f t="shared" si="33"/>
        <v>6</v>
      </c>
      <c r="C956" s="25">
        <f t="shared" si="32"/>
        <v>2024</v>
      </c>
      <c r="D956" s="168" t="s">
        <v>352</v>
      </c>
      <c r="E956" s="170" t="s">
        <v>93</v>
      </c>
      <c r="F956" s="170" t="s">
        <v>356</v>
      </c>
      <c r="G956" s="170"/>
      <c r="H956" s="167" t="s">
        <v>131</v>
      </c>
      <c r="I956" s="167"/>
      <c r="J956" s="173">
        <v>145600</v>
      </c>
      <c r="K956" s="173"/>
      <c r="L956" s="173"/>
      <c r="M956" s="173"/>
      <c r="N956" s="175"/>
      <c r="O956" s="26"/>
    </row>
    <row r="957" spans="1:15" x14ac:dyDescent="0.25">
      <c r="A957" s="164">
        <v>45462</v>
      </c>
      <c r="B957" s="25">
        <f t="shared" si="33"/>
        <v>6</v>
      </c>
      <c r="C957" s="25">
        <f t="shared" si="32"/>
        <v>2024</v>
      </c>
      <c r="D957" s="168" t="s">
        <v>124</v>
      </c>
      <c r="E957" s="170" t="s">
        <v>93</v>
      </c>
      <c r="F957" s="170"/>
      <c r="G957" s="170" t="s">
        <v>557</v>
      </c>
      <c r="H957" s="167" t="s">
        <v>130</v>
      </c>
      <c r="I957" s="167"/>
      <c r="J957" s="173"/>
      <c r="K957" s="173">
        <v>1151450</v>
      </c>
      <c r="L957" s="173"/>
      <c r="M957" s="173"/>
      <c r="N957" s="175"/>
      <c r="O957" s="26"/>
    </row>
    <row r="958" spans="1:15" x14ac:dyDescent="0.25">
      <c r="A958" s="164">
        <v>45462</v>
      </c>
      <c r="B958" s="25">
        <f t="shared" si="33"/>
        <v>6</v>
      </c>
      <c r="C958" s="25">
        <f t="shared" si="32"/>
        <v>2024</v>
      </c>
      <c r="D958" s="168" t="s">
        <v>124</v>
      </c>
      <c r="E958" s="170" t="s">
        <v>93</v>
      </c>
      <c r="F958" s="170"/>
      <c r="G958" s="170" t="s">
        <v>475</v>
      </c>
      <c r="H958" s="167" t="s">
        <v>130</v>
      </c>
      <c r="I958" s="167"/>
      <c r="J958" s="173"/>
      <c r="K958" s="173">
        <v>210552.8</v>
      </c>
      <c r="L958" s="173"/>
      <c r="M958" s="173"/>
      <c r="N958" s="175"/>
      <c r="O958" s="26"/>
    </row>
    <row r="959" spans="1:15" x14ac:dyDescent="0.25">
      <c r="A959" s="164">
        <v>45462</v>
      </c>
      <c r="B959" s="25">
        <f t="shared" si="33"/>
        <v>6</v>
      </c>
      <c r="C959" s="25">
        <f t="shared" ref="C959:C1022" si="34">YEAR((A959))</f>
        <v>2024</v>
      </c>
      <c r="D959" s="168" t="s">
        <v>149</v>
      </c>
      <c r="E959" s="170" t="s">
        <v>93</v>
      </c>
      <c r="F959" s="170" t="s">
        <v>593</v>
      </c>
      <c r="G959" s="170"/>
      <c r="H959" s="167" t="s">
        <v>130</v>
      </c>
      <c r="I959" s="167"/>
      <c r="J959" s="173"/>
      <c r="K959" s="173">
        <v>168000</v>
      </c>
      <c r="L959" s="173"/>
      <c r="M959" s="173"/>
      <c r="N959" s="175"/>
      <c r="O959" s="26"/>
    </row>
    <row r="960" spans="1:15" x14ac:dyDescent="0.25">
      <c r="A960" s="164">
        <v>45463</v>
      </c>
      <c r="B960" s="25">
        <f t="shared" si="33"/>
        <v>6</v>
      </c>
      <c r="C960" s="25">
        <f t="shared" si="34"/>
        <v>2024</v>
      </c>
      <c r="D960" s="168" t="s">
        <v>626</v>
      </c>
      <c r="E960" s="170" t="s">
        <v>93</v>
      </c>
      <c r="F960" s="170"/>
      <c r="G960" s="170"/>
      <c r="H960" s="167" t="s">
        <v>130</v>
      </c>
      <c r="I960" s="167"/>
      <c r="J960" s="173"/>
      <c r="K960" s="173">
        <v>116000</v>
      </c>
      <c r="L960" s="173"/>
      <c r="M960" s="173"/>
      <c r="N960" s="175"/>
      <c r="O960" s="26"/>
    </row>
    <row r="961" spans="1:15" x14ac:dyDescent="0.25">
      <c r="A961" s="164">
        <v>45464</v>
      </c>
      <c r="B961" s="25">
        <f t="shared" si="33"/>
        <v>6</v>
      </c>
      <c r="C961" s="25">
        <f t="shared" si="34"/>
        <v>2024</v>
      </c>
      <c r="D961" s="168" t="s">
        <v>689</v>
      </c>
      <c r="E961" s="170" t="s">
        <v>93</v>
      </c>
      <c r="F961" s="170" t="s">
        <v>567</v>
      </c>
      <c r="G961" s="170"/>
      <c r="H961" s="167" t="s">
        <v>130</v>
      </c>
      <c r="I961" s="167"/>
      <c r="J961" s="173"/>
      <c r="K961" s="173">
        <v>130000</v>
      </c>
      <c r="L961" s="173"/>
      <c r="M961" s="173"/>
      <c r="N961" s="175"/>
      <c r="O961" s="26"/>
    </row>
    <row r="962" spans="1:15" x14ac:dyDescent="0.25">
      <c r="A962" s="164">
        <v>45464</v>
      </c>
      <c r="B962" s="25">
        <f t="shared" si="33"/>
        <v>6</v>
      </c>
      <c r="C962" s="25">
        <f t="shared" si="34"/>
        <v>2024</v>
      </c>
      <c r="D962" s="168" t="s">
        <v>92</v>
      </c>
      <c r="E962" s="170" t="s">
        <v>92</v>
      </c>
      <c r="F962" s="170"/>
      <c r="G962" s="170"/>
      <c r="H962" s="167" t="s">
        <v>92</v>
      </c>
      <c r="I962" s="167"/>
      <c r="J962" s="173"/>
      <c r="K962" s="173">
        <v>150000</v>
      </c>
      <c r="L962" s="173"/>
      <c r="M962" s="173"/>
      <c r="N962" s="175"/>
      <c r="O962" s="26"/>
    </row>
    <row r="963" spans="1:15" x14ac:dyDescent="0.25">
      <c r="A963" s="164">
        <v>45465</v>
      </c>
      <c r="B963" s="25">
        <f t="shared" ref="B963:B1026" si="35">MONTH(A963)</f>
        <v>6</v>
      </c>
      <c r="C963" s="25">
        <f t="shared" si="34"/>
        <v>2024</v>
      </c>
      <c r="D963" s="168" t="s">
        <v>352</v>
      </c>
      <c r="E963" s="170" t="s">
        <v>93</v>
      </c>
      <c r="F963" s="170" t="s">
        <v>580</v>
      </c>
      <c r="G963" s="170"/>
      <c r="H963" s="167" t="s">
        <v>131</v>
      </c>
      <c r="I963" s="167"/>
      <c r="J963" s="173">
        <v>123400</v>
      </c>
      <c r="K963" s="173"/>
      <c r="L963" s="173"/>
      <c r="M963" s="173"/>
      <c r="N963" s="175"/>
      <c r="O963" s="26"/>
    </row>
    <row r="964" spans="1:15" x14ac:dyDescent="0.25">
      <c r="A964" s="164">
        <v>45465</v>
      </c>
      <c r="B964" s="25">
        <f t="shared" si="35"/>
        <v>6</v>
      </c>
      <c r="C964" s="25">
        <f t="shared" si="34"/>
        <v>2024</v>
      </c>
      <c r="D964" s="168" t="s">
        <v>352</v>
      </c>
      <c r="E964" s="170" t="s">
        <v>93</v>
      </c>
      <c r="F964" s="170" t="s">
        <v>580</v>
      </c>
      <c r="G964" s="170"/>
      <c r="H964" s="167" t="s">
        <v>131</v>
      </c>
      <c r="I964" s="167"/>
      <c r="J964" s="173">
        <v>32271.5</v>
      </c>
      <c r="K964" s="173"/>
      <c r="L964" s="173"/>
      <c r="M964" s="173"/>
      <c r="N964" s="175"/>
      <c r="O964" s="26"/>
    </row>
    <row r="965" spans="1:15" x14ac:dyDescent="0.25">
      <c r="A965" s="164">
        <v>45465</v>
      </c>
      <c r="B965" s="25">
        <f t="shared" si="35"/>
        <v>6</v>
      </c>
      <c r="C965" s="25">
        <f t="shared" si="34"/>
        <v>2024</v>
      </c>
      <c r="D965" s="168" t="s">
        <v>675</v>
      </c>
      <c r="E965" s="170" t="s">
        <v>92</v>
      </c>
      <c r="F965" s="170"/>
      <c r="G965" s="170"/>
      <c r="H965" s="167" t="s">
        <v>92</v>
      </c>
      <c r="I965" s="167"/>
      <c r="J965" s="173"/>
      <c r="K965" s="173">
        <v>78000</v>
      </c>
      <c r="L965" s="173"/>
      <c r="M965" s="173"/>
      <c r="N965" s="175"/>
      <c r="O965" s="26"/>
    </row>
    <row r="966" spans="1:15" x14ac:dyDescent="0.25">
      <c r="A966" s="164">
        <v>45467</v>
      </c>
      <c r="B966" s="25">
        <f t="shared" si="35"/>
        <v>6</v>
      </c>
      <c r="C966" s="25">
        <f t="shared" si="34"/>
        <v>2024</v>
      </c>
      <c r="D966" s="168" t="s">
        <v>124</v>
      </c>
      <c r="E966" s="170" t="s">
        <v>93</v>
      </c>
      <c r="F966" s="170"/>
      <c r="G966" s="170" t="s">
        <v>553</v>
      </c>
      <c r="H966" s="167" t="s">
        <v>131</v>
      </c>
      <c r="I966" s="167"/>
      <c r="J966" s="173"/>
      <c r="K966" s="173">
        <v>145600</v>
      </c>
      <c r="L966" s="173"/>
      <c r="M966" s="173"/>
      <c r="N966" s="175"/>
      <c r="O966" s="26"/>
    </row>
    <row r="967" spans="1:15" x14ac:dyDescent="0.25">
      <c r="A967" s="164">
        <v>45467</v>
      </c>
      <c r="B967" s="25">
        <f t="shared" si="35"/>
        <v>6</v>
      </c>
      <c r="C967" s="25">
        <f t="shared" si="34"/>
        <v>2024</v>
      </c>
      <c r="D967" s="168" t="s">
        <v>124</v>
      </c>
      <c r="E967" s="170" t="s">
        <v>93</v>
      </c>
      <c r="F967" s="170"/>
      <c r="G967" s="170" t="s">
        <v>553</v>
      </c>
      <c r="H967" s="167" t="s">
        <v>131</v>
      </c>
      <c r="I967" s="167"/>
      <c r="J967" s="173"/>
      <c r="K967" s="173">
        <v>123400</v>
      </c>
      <c r="L967" s="173"/>
      <c r="M967" s="173"/>
      <c r="N967" s="175"/>
      <c r="O967" s="26"/>
    </row>
    <row r="968" spans="1:15" x14ac:dyDescent="0.25">
      <c r="A968" s="164">
        <v>45467</v>
      </c>
      <c r="B968" s="25">
        <f t="shared" si="35"/>
        <v>6</v>
      </c>
      <c r="C968" s="25">
        <f t="shared" si="34"/>
        <v>2024</v>
      </c>
      <c r="D968" s="168" t="s">
        <v>124</v>
      </c>
      <c r="E968" s="170" t="s">
        <v>93</v>
      </c>
      <c r="F968" s="170"/>
      <c r="G968" s="170" t="s">
        <v>553</v>
      </c>
      <c r="H968" s="167" t="s">
        <v>131</v>
      </c>
      <c r="I968" s="167"/>
      <c r="J968" s="173"/>
      <c r="K968" s="173">
        <v>32271.5</v>
      </c>
      <c r="L968" s="173"/>
      <c r="M968" s="173"/>
      <c r="N968" s="175"/>
      <c r="O968" s="26"/>
    </row>
    <row r="969" spans="1:15" x14ac:dyDescent="0.25">
      <c r="A969" s="164">
        <v>45467</v>
      </c>
      <c r="B969" s="25">
        <f t="shared" si="35"/>
        <v>6</v>
      </c>
      <c r="C969" s="25">
        <f t="shared" si="34"/>
        <v>2024</v>
      </c>
      <c r="D969" s="168" t="s">
        <v>124</v>
      </c>
      <c r="E969" s="170" t="s">
        <v>93</v>
      </c>
      <c r="F969" s="170"/>
      <c r="G969" s="170" t="s">
        <v>553</v>
      </c>
      <c r="H969" s="167" t="s">
        <v>131</v>
      </c>
      <c r="I969" s="167"/>
      <c r="J969" s="173"/>
      <c r="K969" s="173">
        <v>475536.4</v>
      </c>
      <c r="L969" s="173"/>
      <c r="M969" s="173"/>
      <c r="N969" s="175"/>
      <c r="O969" s="26"/>
    </row>
    <row r="970" spans="1:15" x14ac:dyDescent="0.25">
      <c r="A970" s="164">
        <v>45467</v>
      </c>
      <c r="B970" s="25">
        <f t="shared" si="35"/>
        <v>6</v>
      </c>
      <c r="C970" s="25">
        <f t="shared" si="34"/>
        <v>2024</v>
      </c>
      <c r="D970" s="168" t="s">
        <v>352</v>
      </c>
      <c r="E970" s="170" t="s">
        <v>93</v>
      </c>
      <c r="F970" s="170" t="s">
        <v>204</v>
      </c>
      <c r="G970" s="170"/>
      <c r="H970" s="167" t="s">
        <v>130</v>
      </c>
      <c r="I970" s="167"/>
      <c r="J970" s="173">
        <v>300000</v>
      </c>
      <c r="K970" s="173"/>
      <c r="L970" s="173"/>
      <c r="M970" s="173"/>
      <c r="N970" s="175"/>
      <c r="O970" s="26"/>
    </row>
    <row r="971" spans="1:15" x14ac:dyDescent="0.25">
      <c r="A971" s="164">
        <v>45467</v>
      </c>
      <c r="B971" s="25">
        <f t="shared" si="35"/>
        <v>6</v>
      </c>
      <c r="C971" s="25">
        <f t="shared" si="34"/>
        <v>2024</v>
      </c>
      <c r="D971" s="168" t="s">
        <v>675</v>
      </c>
      <c r="E971" s="170" t="s">
        <v>93</v>
      </c>
      <c r="F971" s="170"/>
      <c r="G971" s="170"/>
      <c r="H971" s="167" t="s">
        <v>545</v>
      </c>
      <c r="I971" s="167"/>
      <c r="J971" s="173"/>
      <c r="K971" s="173">
        <v>7000</v>
      </c>
      <c r="L971" s="173"/>
      <c r="M971" s="173"/>
      <c r="N971" s="175"/>
      <c r="O971" s="26"/>
    </row>
    <row r="972" spans="1:15" x14ac:dyDescent="0.25">
      <c r="A972" s="164">
        <v>45467</v>
      </c>
      <c r="B972" s="25">
        <f t="shared" si="35"/>
        <v>6</v>
      </c>
      <c r="C972" s="25">
        <f t="shared" si="34"/>
        <v>2024</v>
      </c>
      <c r="D972" s="168" t="s">
        <v>92</v>
      </c>
      <c r="E972" s="170" t="s">
        <v>92</v>
      </c>
      <c r="F972" s="170" t="s">
        <v>903</v>
      </c>
      <c r="G972" s="170"/>
      <c r="H972" s="167" t="s">
        <v>92</v>
      </c>
      <c r="I972" s="167"/>
      <c r="J972" s="173"/>
      <c r="K972" s="173">
        <v>40000</v>
      </c>
      <c r="L972" s="173"/>
      <c r="M972" s="173"/>
      <c r="N972" s="175"/>
      <c r="O972" s="26"/>
    </row>
    <row r="973" spans="1:15" x14ac:dyDescent="0.25">
      <c r="A973" s="164">
        <v>45467</v>
      </c>
      <c r="B973" s="25">
        <f t="shared" si="35"/>
        <v>6</v>
      </c>
      <c r="C973" s="25">
        <f t="shared" si="34"/>
        <v>2024</v>
      </c>
      <c r="D973" s="168" t="s">
        <v>92</v>
      </c>
      <c r="E973" s="170" t="s">
        <v>92</v>
      </c>
      <c r="F973" s="170"/>
      <c r="G973" s="170"/>
      <c r="H973" s="167" t="s">
        <v>92</v>
      </c>
      <c r="I973" s="167"/>
      <c r="J973" s="173"/>
      <c r="K973" s="173">
        <v>22231.5</v>
      </c>
      <c r="L973" s="173"/>
      <c r="M973" s="173"/>
      <c r="N973" s="175"/>
      <c r="O973" s="26"/>
    </row>
    <row r="974" spans="1:15" x14ac:dyDescent="0.25">
      <c r="A974" s="164">
        <v>45467</v>
      </c>
      <c r="B974" s="25">
        <f t="shared" si="35"/>
        <v>6</v>
      </c>
      <c r="C974" s="25">
        <f t="shared" si="34"/>
        <v>2024</v>
      </c>
      <c r="D974" s="168" t="s">
        <v>92</v>
      </c>
      <c r="E974" s="170" t="s">
        <v>92</v>
      </c>
      <c r="F974" s="170" t="s">
        <v>794</v>
      </c>
      <c r="G974" s="170"/>
      <c r="H974" s="167" t="s">
        <v>92</v>
      </c>
      <c r="I974" s="167"/>
      <c r="J974" s="173"/>
      <c r="K974" s="173">
        <v>35736.400000000001</v>
      </c>
      <c r="L974" s="173"/>
      <c r="M974" s="173"/>
      <c r="N974" s="175"/>
      <c r="O974" s="26"/>
    </row>
    <row r="975" spans="1:15" x14ac:dyDescent="0.25">
      <c r="A975" s="164">
        <v>45468</v>
      </c>
      <c r="B975" s="25">
        <f t="shared" si="35"/>
        <v>6</v>
      </c>
      <c r="C975" s="25">
        <f t="shared" si="34"/>
        <v>2024</v>
      </c>
      <c r="D975" s="168" t="s">
        <v>352</v>
      </c>
      <c r="E975" s="170" t="s">
        <v>93</v>
      </c>
      <c r="F975" s="170" t="s">
        <v>935</v>
      </c>
      <c r="G975" s="170"/>
      <c r="H975" s="167" t="s">
        <v>130</v>
      </c>
      <c r="I975" s="167"/>
      <c r="J975" s="173">
        <v>655000</v>
      </c>
      <c r="K975" s="173"/>
      <c r="L975" s="173"/>
      <c r="M975" s="173"/>
      <c r="N975" s="175"/>
      <c r="O975" s="26"/>
    </row>
    <row r="976" spans="1:15" x14ac:dyDescent="0.25">
      <c r="A976" s="164">
        <v>45468</v>
      </c>
      <c r="B976" s="25">
        <f t="shared" si="35"/>
        <v>6</v>
      </c>
      <c r="C976" s="25">
        <f t="shared" si="34"/>
        <v>2024</v>
      </c>
      <c r="D976" s="168" t="s">
        <v>89</v>
      </c>
      <c r="E976" s="170" t="s">
        <v>93</v>
      </c>
      <c r="F976" s="170" t="s">
        <v>516</v>
      </c>
      <c r="G976" s="170"/>
      <c r="H976" s="167" t="s">
        <v>131</v>
      </c>
      <c r="I976" s="167"/>
      <c r="J976" s="173">
        <v>365420</v>
      </c>
      <c r="K976" s="173"/>
      <c r="L976" s="173"/>
      <c r="M976" s="173"/>
      <c r="N976" s="175"/>
      <c r="O976" s="26"/>
    </row>
    <row r="977" spans="1:15" x14ac:dyDescent="0.25">
      <c r="A977" s="164">
        <v>45468</v>
      </c>
      <c r="B977" s="25">
        <f t="shared" si="35"/>
        <v>6</v>
      </c>
      <c r="C977" s="25">
        <f t="shared" si="34"/>
        <v>2024</v>
      </c>
      <c r="D977" s="168" t="s">
        <v>89</v>
      </c>
      <c r="E977" s="170" t="s">
        <v>93</v>
      </c>
      <c r="F977" s="170" t="s">
        <v>516</v>
      </c>
      <c r="G977" s="170"/>
      <c r="H977" s="167" t="s">
        <v>131</v>
      </c>
      <c r="I977" s="167"/>
      <c r="J977" s="173">
        <v>365420</v>
      </c>
      <c r="K977" s="173"/>
      <c r="L977" s="173"/>
      <c r="M977" s="173"/>
      <c r="N977" s="175"/>
      <c r="O977" s="26"/>
    </row>
    <row r="978" spans="1:15" x14ac:dyDescent="0.25">
      <c r="A978" s="164">
        <v>45468</v>
      </c>
      <c r="B978" s="25">
        <f t="shared" si="35"/>
        <v>6</v>
      </c>
      <c r="C978" s="25">
        <f t="shared" si="34"/>
        <v>2024</v>
      </c>
      <c r="D978" s="168" t="s">
        <v>89</v>
      </c>
      <c r="E978" s="170" t="s">
        <v>93</v>
      </c>
      <c r="F978" s="170" t="s">
        <v>516</v>
      </c>
      <c r="G978" s="170"/>
      <c r="H978" s="167" t="s">
        <v>131</v>
      </c>
      <c r="I978" s="167"/>
      <c r="J978" s="173">
        <v>365420</v>
      </c>
      <c r="K978" s="173"/>
      <c r="L978" s="173"/>
      <c r="M978" s="173"/>
      <c r="N978" s="175"/>
      <c r="O978" s="26"/>
    </row>
    <row r="979" spans="1:15" x14ac:dyDescent="0.25">
      <c r="A979" s="164">
        <v>45468</v>
      </c>
      <c r="B979" s="25">
        <f t="shared" si="35"/>
        <v>6</v>
      </c>
      <c r="C979" s="25">
        <f t="shared" si="34"/>
        <v>2024</v>
      </c>
      <c r="D979" s="168" t="s">
        <v>92</v>
      </c>
      <c r="E979" s="170" t="s">
        <v>92</v>
      </c>
      <c r="F979" s="170"/>
      <c r="G979" s="170"/>
      <c r="H979" s="167" t="s">
        <v>92</v>
      </c>
      <c r="I979" s="167"/>
      <c r="J979" s="173"/>
      <c r="K979" s="173">
        <v>65000</v>
      </c>
      <c r="L979" s="173"/>
      <c r="M979" s="173"/>
      <c r="N979" s="175"/>
      <c r="O979" s="26"/>
    </row>
    <row r="980" spans="1:15" x14ac:dyDescent="0.25">
      <c r="A980" s="164">
        <v>45468</v>
      </c>
      <c r="B980" s="25">
        <f t="shared" si="35"/>
        <v>6</v>
      </c>
      <c r="C980" s="25">
        <f t="shared" si="34"/>
        <v>2024</v>
      </c>
      <c r="D980" s="168" t="s">
        <v>92</v>
      </c>
      <c r="E980" s="170" t="s">
        <v>92</v>
      </c>
      <c r="F980" s="170" t="s">
        <v>970</v>
      </c>
      <c r="G980" s="170"/>
      <c r="H980" s="167" t="s">
        <v>92</v>
      </c>
      <c r="I980" s="167"/>
      <c r="J980" s="173"/>
      <c r="K980" s="173">
        <v>54389.77</v>
      </c>
      <c r="L980" s="173"/>
      <c r="M980" s="173"/>
      <c r="N980" s="175"/>
      <c r="O980" s="26"/>
    </row>
    <row r="981" spans="1:15" x14ac:dyDescent="0.25">
      <c r="A981" s="164">
        <v>45468</v>
      </c>
      <c r="B981" s="25">
        <f t="shared" si="35"/>
        <v>6</v>
      </c>
      <c r="C981" s="25">
        <f t="shared" si="34"/>
        <v>2024</v>
      </c>
      <c r="D981" s="168" t="s">
        <v>92</v>
      </c>
      <c r="E981" s="170" t="s">
        <v>92</v>
      </c>
      <c r="F981" s="170" t="s">
        <v>970</v>
      </c>
      <c r="G981" s="170"/>
      <c r="H981" s="167" t="s">
        <v>92</v>
      </c>
      <c r="I981" s="167"/>
      <c r="J981" s="173"/>
      <c r="K981" s="173">
        <v>36914.660000000003</v>
      </c>
      <c r="L981" s="173"/>
      <c r="M981" s="173"/>
      <c r="N981" s="175"/>
      <c r="O981" s="26"/>
    </row>
    <row r="982" spans="1:15" x14ac:dyDescent="0.25">
      <c r="A982" s="164">
        <v>45468</v>
      </c>
      <c r="B982" s="25">
        <f t="shared" si="35"/>
        <v>6</v>
      </c>
      <c r="C982" s="25">
        <f t="shared" si="34"/>
        <v>2024</v>
      </c>
      <c r="D982" s="168" t="s">
        <v>92</v>
      </c>
      <c r="E982" s="170" t="s">
        <v>92</v>
      </c>
      <c r="F982" s="170" t="s">
        <v>790</v>
      </c>
      <c r="G982" s="170"/>
      <c r="H982" s="167" t="s">
        <v>92</v>
      </c>
      <c r="I982" s="167"/>
      <c r="J982" s="173"/>
      <c r="K982" s="173">
        <v>123529.16</v>
      </c>
      <c r="L982" s="173"/>
      <c r="M982" s="173"/>
      <c r="N982" s="175"/>
      <c r="O982" s="26"/>
    </row>
    <row r="983" spans="1:15" x14ac:dyDescent="0.25">
      <c r="A983" s="164">
        <v>45469</v>
      </c>
      <c r="B983" s="25">
        <f t="shared" si="35"/>
        <v>6</v>
      </c>
      <c r="C983" s="25">
        <f t="shared" si="34"/>
        <v>2024</v>
      </c>
      <c r="D983" s="168" t="s">
        <v>352</v>
      </c>
      <c r="E983" s="170" t="s">
        <v>93</v>
      </c>
      <c r="F983" s="170" t="s">
        <v>967</v>
      </c>
      <c r="G983" s="170"/>
      <c r="H983" s="167" t="s">
        <v>130</v>
      </c>
      <c r="I983" s="167"/>
      <c r="J983" s="173">
        <v>215500</v>
      </c>
      <c r="K983" s="173"/>
      <c r="L983" s="173"/>
      <c r="M983" s="173"/>
      <c r="N983" s="175"/>
      <c r="O983" s="26"/>
    </row>
    <row r="984" spans="1:15" x14ac:dyDescent="0.25">
      <c r="A984" s="164">
        <v>45469</v>
      </c>
      <c r="B984" s="25">
        <f t="shared" si="35"/>
        <v>6</v>
      </c>
      <c r="C984" s="25">
        <f t="shared" si="34"/>
        <v>2024</v>
      </c>
      <c r="D984" s="168" t="s">
        <v>352</v>
      </c>
      <c r="E984" s="170" t="s">
        <v>93</v>
      </c>
      <c r="F984" s="170" t="s">
        <v>900</v>
      </c>
      <c r="G984" s="170"/>
      <c r="H984" s="167" t="s">
        <v>130</v>
      </c>
      <c r="I984" s="167"/>
      <c r="J984" s="173">
        <v>37000</v>
      </c>
      <c r="K984" s="173"/>
      <c r="L984" s="173"/>
      <c r="M984" s="173"/>
      <c r="N984" s="175"/>
      <c r="O984" s="26"/>
    </row>
    <row r="985" spans="1:15" x14ac:dyDescent="0.25">
      <c r="A985" s="164">
        <v>45469</v>
      </c>
      <c r="B985" s="25">
        <f t="shared" si="35"/>
        <v>6</v>
      </c>
      <c r="C985" s="25">
        <f t="shared" si="34"/>
        <v>2024</v>
      </c>
      <c r="D985" s="168" t="s">
        <v>352</v>
      </c>
      <c r="E985" s="170" t="s">
        <v>93</v>
      </c>
      <c r="F985" s="170" t="s">
        <v>450</v>
      </c>
      <c r="G985" s="170"/>
      <c r="H985" s="167" t="s">
        <v>131</v>
      </c>
      <c r="I985" s="167"/>
      <c r="J985" s="173">
        <v>167000</v>
      </c>
      <c r="K985" s="173"/>
      <c r="L985" s="173"/>
      <c r="M985" s="173"/>
      <c r="N985" s="175"/>
      <c r="O985" s="26"/>
    </row>
    <row r="986" spans="1:15" x14ac:dyDescent="0.25">
      <c r="A986" s="164">
        <v>45470</v>
      </c>
      <c r="B986" s="25">
        <f t="shared" si="35"/>
        <v>6</v>
      </c>
      <c r="C986" s="25">
        <f t="shared" si="34"/>
        <v>2024</v>
      </c>
      <c r="D986" s="168" t="s">
        <v>124</v>
      </c>
      <c r="E986" s="170" t="s">
        <v>93</v>
      </c>
      <c r="F986" s="170"/>
      <c r="G986" s="170" t="s">
        <v>558</v>
      </c>
      <c r="H986" s="167" t="s">
        <v>130</v>
      </c>
      <c r="I986" s="167"/>
      <c r="J986" s="173"/>
      <c r="K986" s="173">
        <v>457269.06</v>
      </c>
      <c r="L986" s="173"/>
      <c r="M986" s="173"/>
      <c r="N986" s="175"/>
      <c r="O986" s="26"/>
    </row>
    <row r="987" spans="1:15" x14ac:dyDescent="0.25">
      <c r="A987" s="164">
        <v>45470</v>
      </c>
      <c r="B987" s="25">
        <f t="shared" si="35"/>
        <v>6</v>
      </c>
      <c r="C987" s="25">
        <f t="shared" si="34"/>
        <v>2024</v>
      </c>
      <c r="D987" s="168" t="s">
        <v>124</v>
      </c>
      <c r="E987" s="170" t="s">
        <v>93</v>
      </c>
      <c r="F987" s="170"/>
      <c r="G987" s="170" t="s">
        <v>234</v>
      </c>
      <c r="H987" s="167" t="s">
        <v>131</v>
      </c>
      <c r="I987" s="167"/>
      <c r="J987" s="173"/>
      <c r="K987" s="173">
        <v>167000</v>
      </c>
      <c r="L987" s="173"/>
      <c r="M987" s="173"/>
      <c r="N987" s="175"/>
      <c r="O987" s="26"/>
    </row>
    <row r="988" spans="1:15" x14ac:dyDescent="0.25">
      <c r="A988" s="164">
        <v>45470</v>
      </c>
      <c r="B988" s="25">
        <f t="shared" si="35"/>
        <v>6</v>
      </c>
      <c r="C988" s="25">
        <f t="shared" si="34"/>
        <v>2024</v>
      </c>
      <c r="D988" s="168" t="s">
        <v>124</v>
      </c>
      <c r="E988" s="170" t="s">
        <v>93</v>
      </c>
      <c r="F988" s="170"/>
      <c r="G988" s="170" t="s">
        <v>234</v>
      </c>
      <c r="H988" s="167" t="s">
        <v>131</v>
      </c>
      <c r="I988" s="167"/>
      <c r="J988" s="173"/>
      <c r="K988" s="173">
        <v>365420</v>
      </c>
      <c r="L988" s="173"/>
      <c r="M988" s="173"/>
      <c r="N988" s="175"/>
      <c r="O988" s="26"/>
    </row>
    <row r="989" spans="1:15" x14ac:dyDescent="0.25">
      <c r="A989" s="164">
        <v>45470</v>
      </c>
      <c r="B989" s="25">
        <f t="shared" si="35"/>
        <v>6</v>
      </c>
      <c r="C989" s="25">
        <f t="shared" si="34"/>
        <v>2024</v>
      </c>
      <c r="D989" s="168" t="s">
        <v>124</v>
      </c>
      <c r="E989" s="170" t="s">
        <v>93</v>
      </c>
      <c r="F989" s="170" t="s">
        <v>844</v>
      </c>
      <c r="G989" s="170"/>
      <c r="H989" s="167" t="s">
        <v>130</v>
      </c>
      <c r="I989" s="167"/>
      <c r="J989" s="173"/>
      <c r="K989" s="173">
        <v>47400</v>
      </c>
      <c r="L989" s="173"/>
      <c r="M989" s="173"/>
      <c r="N989" s="175"/>
      <c r="O989" s="26"/>
    </row>
    <row r="990" spans="1:15" x14ac:dyDescent="0.25">
      <c r="A990" s="164">
        <v>45470</v>
      </c>
      <c r="B990" s="25">
        <f t="shared" si="35"/>
        <v>6</v>
      </c>
      <c r="C990" s="25">
        <f t="shared" si="34"/>
        <v>2024</v>
      </c>
      <c r="D990" s="168" t="s">
        <v>124</v>
      </c>
      <c r="E990" s="170" t="s">
        <v>93</v>
      </c>
      <c r="F990" s="170" t="s">
        <v>844</v>
      </c>
      <c r="G990" s="170"/>
      <c r="H990" s="167" t="s">
        <v>545</v>
      </c>
      <c r="I990" s="167"/>
      <c r="J990" s="173"/>
      <c r="K990" s="173">
        <v>1414860.75</v>
      </c>
      <c r="L990" s="173"/>
      <c r="M990" s="173"/>
      <c r="N990" s="175"/>
      <c r="O990" s="26"/>
    </row>
    <row r="991" spans="1:15" x14ac:dyDescent="0.25">
      <c r="A991" s="164">
        <v>45470</v>
      </c>
      <c r="B991" s="25">
        <f t="shared" si="35"/>
        <v>6</v>
      </c>
      <c r="C991" s="25">
        <f t="shared" si="34"/>
        <v>2024</v>
      </c>
      <c r="D991" s="168" t="s">
        <v>352</v>
      </c>
      <c r="E991" s="170" t="s">
        <v>93</v>
      </c>
      <c r="F991" s="170" t="s">
        <v>969</v>
      </c>
      <c r="G991" s="170"/>
      <c r="H991" s="167" t="s">
        <v>874</v>
      </c>
      <c r="I991" s="167"/>
      <c r="J991" s="173"/>
      <c r="K991" s="173">
        <v>192900</v>
      </c>
      <c r="L991" s="173"/>
      <c r="M991" s="173"/>
      <c r="N991" s="175"/>
      <c r="O991" s="26"/>
    </row>
    <row r="992" spans="1:15" x14ac:dyDescent="0.25">
      <c r="A992" s="164">
        <v>45470</v>
      </c>
      <c r="B992" s="25">
        <f t="shared" si="35"/>
        <v>6</v>
      </c>
      <c r="C992" s="25">
        <f t="shared" si="34"/>
        <v>2024</v>
      </c>
      <c r="D992" s="168" t="s">
        <v>352</v>
      </c>
      <c r="E992" s="170" t="s">
        <v>93</v>
      </c>
      <c r="F992" s="170" t="s">
        <v>606</v>
      </c>
      <c r="G992" s="170"/>
      <c r="H992" s="167" t="s">
        <v>130</v>
      </c>
      <c r="I992" s="167"/>
      <c r="J992" s="173">
        <v>185200</v>
      </c>
      <c r="K992" s="173"/>
      <c r="L992" s="173"/>
      <c r="M992" s="173"/>
      <c r="N992" s="175"/>
      <c r="O992" s="26"/>
    </row>
    <row r="993" spans="1:15" x14ac:dyDescent="0.25">
      <c r="A993" s="164">
        <v>45471</v>
      </c>
      <c r="B993" s="25">
        <f t="shared" si="35"/>
        <v>6</v>
      </c>
      <c r="C993" s="25">
        <f t="shared" si="34"/>
        <v>2024</v>
      </c>
      <c r="D993" s="168" t="s">
        <v>352</v>
      </c>
      <c r="E993" s="170" t="s">
        <v>93</v>
      </c>
      <c r="F993" s="170" t="s">
        <v>473</v>
      </c>
      <c r="G993" s="170"/>
      <c r="H993" s="167" t="s">
        <v>130</v>
      </c>
      <c r="I993" s="167"/>
      <c r="J993" s="173">
        <v>100000</v>
      </c>
      <c r="K993" s="173"/>
      <c r="L993" s="173"/>
      <c r="M993" s="173"/>
      <c r="N993" s="175"/>
      <c r="O993" s="26"/>
    </row>
    <row r="994" spans="1:15" x14ac:dyDescent="0.25">
      <c r="A994" s="164">
        <v>45471</v>
      </c>
      <c r="B994" s="25">
        <f t="shared" si="35"/>
        <v>6</v>
      </c>
      <c r="C994" s="25">
        <f t="shared" si="34"/>
        <v>2024</v>
      </c>
      <c r="D994" s="168" t="s">
        <v>352</v>
      </c>
      <c r="E994" s="170" t="s">
        <v>93</v>
      </c>
      <c r="F994" s="170" t="s">
        <v>972</v>
      </c>
      <c r="G994" s="170"/>
      <c r="H994" s="167" t="s">
        <v>130</v>
      </c>
      <c r="I994" s="167"/>
      <c r="J994" s="173">
        <v>100000</v>
      </c>
      <c r="K994" s="173"/>
      <c r="L994" s="173"/>
      <c r="M994" s="173"/>
      <c r="N994" s="175"/>
      <c r="O994" s="26"/>
    </row>
    <row r="995" spans="1:15" x14ac:dyDescent="0.25">
      <c r="A995" s="164">
        <v>45471</v>
      </c>
      <c r="B995" s="25">
        <f t="shared" si="35"/>
        <v>6</v>
      </c>
      <c r="C995" s="25">
        <f t="shared" si="34"/>
        <v>2024</v>
      </c>
      <c r="D995" s="168" t="s">
        <v>352</v>
      </c>
      <c r="E995" s="170" t="s">
        <v>93</v>
      </c>
      <c r="F995" s="170" t="s">
        <v>973</v>
      </c>
      <c r="G995" s="170"/>
      <c r="H995" s="167" t="s">
        <v>130</v>
      </c>
      <c r="I995" s="167"/>
      <c r="J995" s="173">
        <v>750000</v>
      </c>
      <c r="K995" s="173"/>
      <c r="L995" s="173"/>
      <c r="M995" s="173"/>
      <c r="N995" s="175"/>
      <c r="O995" s="26"/>
    </row>
    <row r="996" spans="1:15" x14ac:dyDescent="0.25">
      <c r="A996" s="164">
        <v>45471</v>
      </c>
      <c r="B996" s="166">
        <f t="shared" si="35"/>
        <v>6</v>
      </c>
      <c r="C996" s="25">
        <f t="shared" si="34"/>
        <v>2024</v>
      </c>
      <c r="D996" s="168" t="s">
        <v>352</v>
      </c>
      <c r="E996" s="170" t="s">
        <v>93</v>
      </c>
      <c r="F996" s="170" t="s">
        <v>799</v>
      </c>
      <c r="G996" s="170"/>
      <c r="H996" s="167" t="s">
        <v>130</v>
      </c>
      <c r="I996" s="167"/>
      <c r="J996" s="173">
        <v>234000</v>
      </c>
      <c r="K996" s="173"/>
      <c r="L996" s="173"/>
      <c r="M996" s="173"/>
      <c r="N996" s="175"/>
      <c r="O996" s="26"/>
    </row>
    <row r="997" spans="1:15" x14ac:dyDescent="0.25">
      <c r="A997" s="164">
        <v>45471</v>
      </c>
      <c r="B997" s="166">
        <f t="shared" si="35"/>
        <v>6</v>
      </c>
      <c r="C997" s="25">
        <f t="shared" si="34"/>
        <v>2024</v>
      </c>
      <c r="D997" s="168" t="s">
        <v>689</v>
      </c>
      <c r="E997" s="170" t="s">
        <v>93</v>
      </c>
      <c r="F997" s="170" t="s">
        <v>169</v>
      </c>
      <c r="G997" s="170"/>
      <c r="H997" s="167" t="s">
        <v>130</v>
      </c>
      <c r="I997" s="167"/>
      <c r="J997" s="173"/>
      <c r="K997" s="173">
        <v>130000</v>
      </c>
      <c r="L997" s="173"/>
      <c r="M997" s="173"/>
      <c r="N997" s="175"/>
      <c r="O997" s="26"/>
    </row>
    <row r="998" spans="1:15" x14ac:dyDescent="0.25">
      <c r="A998" s="164">
        <v>45471</v>
      </c>
      <c r="B998" s="166">
        <f t="shared" si="35"/>
        <v>6</v>
      </c>
      <c r="C998" s="25">
        <f t="shared" si="34"/>
        <v>2024</v>
      </c>
      <c r="D998" s="168" t="s">
        <v>626</v>
      </c>
      <c r="E998" s="170" t="s">
        <v>93</v>
      </c>
      <c r="F998" s="170"/>
      <c r="G998" s="170"/>
      <c r="H998" s="167" t="s">
        <v>130</v>
      </c>
      <c r="I998" s="167"/>
      <c r="J998" s="173"/>
      <c r="K998" s="173">
        <v>116000</v>
      </c>
      <c r="L998" s="173"/>
      <c r="M998" s="173"/>
      <c r="N998" s="175"/>
      <c r="O998" s="26"/>
    </row>
    <row r="999" spans="1:15" x14ac:dyDescent="0.25">
      <c r="A999" s="164">
        <v>45471</v>
      </c>
      <c r="B999" s="166">
        <f t="shared" si="35"/>
        <v>6</v>
      </c>
      <c r="C999" s="25">
        <f t="shared" si="34"/>
        <v>2024</v>
      </c>
      <c r="D999" s="168" t="s">
        <v>352</v>
      </c>
      <c r="E999" s="170" t="s">
        <v>93</v>
      </c>
      <c r="F999" s="170" t="s">
        <v>974</v>
      </c>
      <c r="G999" s="170"/>
      <c r="H999" s="167" t="s">
        <v>130</v>
      </c>
      <c r="I999" s="167"/>
      <c r="J999" s="173">
        <v>276000</v>
      </c>
      <c r="K999" s="173"/>
      <c r="L999" s="173"/>
      <c r="M999" s="173"/>
      <c r="N999" s="175"/>
      <c r="O999" s="26"/>
    </row>
    <row r="1000" spans="1:15" x14ac:dyDescent="0.25">
      <c r="A1000" s="165">
        <v>45472</v>
      </c>
      <c r="B1000" s="166">
        <f t="shared" si="35"/>
        <v>6</v>
      </c>
      <c r="C1000" s="25">
        <f t="shared" si="34"/>
        <v>2024</v>
      </c>
      <c r="D1000" s="169" t="s">
        <v>352</v>
      </c>
      <c r="E1000" s="170" t="s">
        <v>93</v>
      </c>
      <c r="F1000" s="170" t="s">
        <v>551</v>
      </c>
      <c r="G1000" s="171"/>
      <c r="H1000" s="172" t="s">
        <v>130</v>
      </c>
      <c r="I1000" s="172"/>
      <c r="J1000" s="174">
        <v>650000</v>
      </c>
      <c r="K1000" s="174"/>
      <c r="L1000" s="174"/>
      <c r="M1000" s="174"/>
      <c r="N1000" s="176"/>
    </row>
    <row r="1001" spans="1:15" x14ac:dyDescent="0.25">
      <c r="A1001" s="165">
        <v>45474</v>
      </c>
      <c r="B1001" s="166">
        <f t="shared" si="35"/>
        <v>7</v>
      </c>
      <c r="C1001" s="25">
        <f t="shared" si="34"/>
        <v>2024</v>
      </c>
      <c r="D1001" s="169" t="s">
        <v>92</v>
      </c>
      <c r="E1001" s="170" t="s">
        <v>92</v>
      </c>
      <c r="F1001" s="170" t="s">
        <v>975</v>
      </c>
      <c r="G1001" s="171"/>
      <c r="H1001" s="172" t="s">
        <v>92</v>
      </c>
      <c r="I1001" s="172"/>
      <c r="J1001" s="174"/>
      <c r="K1001" s="174">
        <v>260000</v>
      </c>
      <c r="L1001" s="174"/>
      <c r="M1001" s="174"/>
      <c r="N1001" s="176"/>
    </row>
    <row r="1002" spans="1:15" x14ac:dyDescent="0.25">
      <c r="A1002" s="165">
        <v>45474</v>
      </c>
      <c r="B1002" s="166">
        <f t="shared" si="35"/>
        <v>7</v>
      </c>
      <c r="C1002" s="25">
        <f t="shared" si="34"/>
        <v>2024</v>
      </c>
      <c r="D1002" s="169" t="s">
        <v>92</v>
      </c>
      <c r="E1002" s="170" t="s">
        <v>92</v>
      </c>
      <c r="F1002" s="171"/>
      <c r="G1002" s="171"/>
      <c r="H1002" s="172" t="s">
        <v>92</v>
      </c>
      <c r="I1002" s="172"/>
      <c r="J1002" s="174"/>
      <c r="K1002" s="174">
        <v>38000</v>
      </c>
      <c r="L1002" s="174"/>
      <c r="M1002" s="174"/>
      <c r="N1002" s="176"/>
    </row>
    <row r="1003" spans="1:15" x14ac:dyDescent="0.25">
      <c r="A1003" s="165">
        <v>45474</v>
      </c>
      <c r="B1003" s="166">
        <f t="shared" si="35"/>
        <v>7</v>
      </c>
      <c r="C1003" s="25">
        <f t="shared" si="34"/>
        <v>2024</v>
      </c>
      <c r="D1003" s="169" t="s">
        <v>124</v>
      </c>
      <c r="E1003" s="170" t="s">
        <v>93</v>
      </c>
      <c r="F1003" s="171"/>
      <c r="G1003" s="171" t="s">
        <v>553</v>
      </c>
      <c r="H1003" s="172" t="s">
        <v>131</v>
      </c>
      <c r="I1003" s="172"/>
      <c r="J1003" s="174"/>
      <c r="K1003" s="174">
        <v>365420</v>
      </c>
      <c r="L1003" s="174"/>
      <c r="M1003" s="174"/>
      <c r="N1003" s="176"/>
    </row>
    <row r="1004" spans="1:15" x14ac:dyDescent="0.25">
      <c r="A1004" s="165">
        <v>45474</v>
      </c>
      <c r="B1004" s="166">
        <f t="shared" si="35"/>
        <v>7</v>
      </c>
      <c r="C1004" s="25">
        <f t="shared" si="34"/>
        <v>2024</v>
      </c>
      <c r="D1004" s="169" t="s">
        <v>124</v>
      </c>
      <c r="E1004" s="170" t="s">
        <v>93</v>
      </c>
      <c r="F1004" s="171"/>
      <c r="G1004" s="171" t="s">
        <v>553</v>
      </c>
      <c r="H1004" s="172" t="s">
        <v>131</v>
      </c>
      <c r="I1004" s="172"/>
      <c r="J1004" s="174"/>
      <c r="K1004" s="174">
        <v>365420</v>
      </c>
      <c r="L1004" s="174"/>
      <c r="M1004" s="174"/>
      <c r="N1004" s="176"/>
    </row>
    <row r="1005" spans="1:15" x14ac:dyDescent="0.25">
      <c r="A1005" s="165">
        <v>45474</v>
      </c>
      <c r="B1005" s="166">
        <f t="shared" si="35"/>
        <v>7</v>
      </c>
      <c r="C1005" s="25">
        <f t="shared" si="34"/>
        <v>2024</v>
      </c>
      <c r="D1005" s="169" t="s">
        <v>352</v>
      </c>
      <c r="E1005" s="170" t="s">
        <v>93</v>
      </c>
      <c r="F1005" s="171" t="s">
        <v>973</v>
      </c>
      <c r="G1005" s="171"/>
      <c r="H1005" s="172" t="s">
        <v>130</v>
      </c>
      <c r="I1005" s="172"/>
      <c r="J1005" s="174">
        <v>850000</v>
      </c>
      <c r="K1005" s="174"/>
      <c r="L1005" s="174"/>
      <c r="M1005" s="174"/>
      <c r="N1005" s="176"/>
    </row>
    <row r="1006" spans="1:15" x14ac:dyDescent="0.25">
      <c r="A1006" s="165">
        <v>45474</v>
      </c>
      <c r="B1006" s="166">
        <f t="shared" si="35"/>
        <v>7</v>
      </c>
      <c r="C1006" s="25">
        <f t="shared" si="34"/>
        <v>2024</v>
      </c>
      <c r="D1006" s="169" t="s">
        <v>92</v>
      </c>
      <c r="E1006" s="170" t="s">
        <v>92</v>
      </c>
      <c r="F1006" s="171"/>
      <c r="G1006" s="171"/>
      <c r="H1006" s="172" t="s">
        <v>92</v>
      </c>
      <c r="I1006" s="172"/>
      <c r="J1006" s="174"/>
      <c r="K1006" s="174">
        <v>162000</v>
      </c>
      <c r="L1006" s="174"/>
      <c r="M1006" s="174"/>
      <c r="N1006" s="176"/>
    </row>
    <row r="1007" spans="1:15" x14ac:dyDescent="0.25">
      <c r="A1007" s="165">
        <v>45475</v>
      </c>
      <c r="B1007" s="166">
        <f t="shared" si="35"/>
        <v>7</v>
      </c>
      <c r="C1007" s="25">
        <f t="shared" si="34"/>
        <v>2024</v>
      </c>
      <c r="D1007" s="169" t="s">
        <v>352</v>
      </c>
      <c r="E1007" s="170" t="s">
        <v>93</v>
      </c>
      <c r="F1007" s="171" t="s">
        <v>978</v>
      </c>
      <c r="G1007" s="171"/>
      <c r="H1007" s="172" t="s">
        <v>131</v>
      </c>
      <c r="I1007" s="172"/>
      <c r="J1007" s="174">
        <v>153000</v>
      </c>
      <c r="K1007" s="174"/>
      <c r="L1007" s="174"/>
      <c r="M1007" s="174"/>
      <c r="N1007" s="176"/>
    </row>
    <row r="1008" spans="1:15" x14ac:dyDescent="0.25">
      <c r="A1008" s="165">
        <v>45475</v>
      </c>
      <c r="B1008" s="166">
        <f t="shared" si="35"/>
        <v>7</v>
      </c>
      <c r="C1008" s="25">
        <f t="shared" si="34"/>
        <v>2024</v>
      </c>
      <c r="D1008" s="169" t="s">
        <v>352</v>
      </c>
      <c r="E1008" s="170" t="s">
        <v>93</v>
      </c>
      <c r="F1008" s="171" t="s">
        <v>285</v>
      </c>
      <c r="G1008" s="171"/>
      <c r="H1008" s="172" t="s">
        <v>130</v>
      </c>
      <c r="I1008" s="172"/>
      <c r="J1008" s="174">
        <v>399200</v>
      </c>
      <c r="K1008" s="174"/>
      <c r="L1008" s="174"/>
      <c r="M1008" s="174"/>
      <c r="N1008" s="176"/>
    </row>
    <row r="1009" spans="1:14" x14ac:dyDescent="0.25">
      <c r="A1009" s="165">
        <v>45475</v>
      </c>
      <c r="B1009" s="166">
        <f t="shared" si="35"/>
        <v>7</v>
      </c>
      <c r="C1009" s="25">
        <f t="shared" si="34"/>
        <v>2024</v>
      </c>
      <c r="D1009" s="169" t="s">
        <v>352</v>
      </c>
      <c r="E1009" s="170" t="s">
        <v>93</v>
      </c>
      <c r="F1009" s="171" t="s">
        <v>979</v>
      </c>
      <c r="G1009" s="171"/>
      <c r="H1009" s="172" t="s">
        <v>131</v>
      </c>
      <c r="I1009" s="172"/>
      <c r="J1009" s="174">
        <v>380000</v>
      </c>
      <c r="K1009" s="174"/>
      <c r="L1009" s="174"/>
      <c r="M1009" s="174"/>
      <c r="N1009" s="176"/>
    </row>
    <row r="1010" spans="1:14" x14ac:dyDescent="0.25">
      <c r="A1010" s="165">
        <v>45475</v>
      </c>
      <c r="B1010" s="166">
        <f t="shared" si="35"/>
        <v>7</v>
      </c>
      <c r="C1010" s="25">
        <f t="shared" si="34"/>
        <v>2024</v>
      </c>
      <c r="D1010" s="169" t="s">
        <v>352</v>
      </c>
      <c r="E1010" s="170" t="s">
        <v>93</v>
      </c>
      <c r="F1010" s="171" t="s">
        <v>979</v>
      </c>
      <c r="G1010" s="171"/>
      <c r="H1010" s="172" t="s">
        <v>131</v>
      </c>
      <c r="I1010" s="172"/>
      <c r="J1010" s="174">
        <v>380000</v>
      </c>
      <c r="K1010" s="174"/>
      <c r="L1010" s="174"/>
      <c r="M1010" s="174"/>
      <c r="N1010" s="176"/>
    </row>
    <row r="1011" spans="1:14" x14ac:dyDescent="0.25">
      <c r="A1011" s="165">
        <v>45475</v>
      </c>
      <c r="B1011" s="166">
        <f t="shared" si="35"/>
        <v>7</v>
      </c>
      <c r="C1011" s="25">
        <f t="shared" si="34"/>
        <v>2024</v>
      </c>
      <c r="D1011" s="169" t="s">
        <v>352</v>
      </c>
      <c r="E1011" s="170" t="s">
        <v>93</v>
      </c>
      <c r="F1011" s="171" t="s">
        <v>979</v>
      </c>
      <c r="G1011" s="171"/>
      <c r="H1011" s="172" t="s">
        <v>131</v>
      </c>
      <c r="I1011" s="172"/>
      <c r="J1011" s="174">
        <v>380000</v>
      </c>
      <c r="K1011" s="174"/>
      <c r="L1011" s="174"/>
      <c r="M1011" s="174"/>
      <c r="N1011" s="176"/>
    </row>
    <row r="1012" spans="1:14" x14ac:dyDescent="0.25">
      <c r="A1012" s="165">
        <v>45475</v>
      </c>
      <c r="B1012" s="166">
        <f t="shared" si="35"/>
        <v>7</v>
      </c>
      <c r="C1012" s="25">
        <f t="shared" si="34"/>
        <v>2024</v>
      </c>
      <c r="D1012" s="169" t="s">
        <v>352</v>
      </c>
      <c r="E1012" s="170" t="s">
        <v>93</v>
      </c>
      <c r="F1012" s="171" t="s">
        <v>979</v>
      </c>
      <c r="G1012" s="171"/>
      <c r="H1012" s="172" t="s">
        <v>131</v>
      </c>
      <c r="I1012" s="172"/>
      <c r="J1012" s="174">
        <v>379270</v>
      </c>
      <c r="K1012" s="174"/>
      <c r="L1012" s="174"/>
      <c r="M1012" s="174"/>
      <c r="N1012" s="176"/>
    </row>
    <row r="1013" spans="1:14" x14ac:dyDescent="0.25">
      <c r="A1013" s="165">
        <v>45475</v>
      </c>
      <c r="B1013" s="166">
        <f t="shared" si="35"/>
        <v>7</v>
      </c>
      <c r="C1013" s="25">
        <f t="shared" si="34"/>
        <v>2024</v>
      </c>
      <c r="D1013" s="169" t="s">
        <v>352</v>
      </c>
      <c r="E1013" s="170" t="s">
        <v>93</v>
      </c>
      <c r="F1013" s="171" t="s">
        <v>560</v>
      </c>
      <c r="G1013" s="171"/>
      <c r="H1013" s="172" t="s">
        <v>130</v>
      </c>
      <c r="I1013" s="172"/>
      <c r="J1013" s="174">
        <v>82300</v>
      </c>
      <c r="K1013" s="174"/>
      <c r="L1013" s="174"/>
      <c r="M1013" s="174"/>
      <c r="N1013" s="176"/>
    </row>
    <row r="1014" spans="1:14" x14ac:dyDescent="0.25">
      <c r="A1014" s="165">
        <v>45475</v>
      </c>
      <c r="B1014" s="166">
        <f t="shared" si="35"/>
        <v>7</v>
      </c>
      <c r="C1014" s="25">
        <f t="shared" si="34"/>
        <v>2024</v>
      </c>
      <c r="D1014" s="169" t="s">
        <v>352</v>
      </c>
      <c r="E1014" s="170" t="s">
        <v>93</v>
      </c>
      <c r="F1014" s="171" t="s">
        <v>982</v>
      </c>
      <c r="G1014" s="171"/>
      <c r="H1014" s="172" t="s">
        <v>130</v>
      </c>
      <c r="I1014" s="172"/>
      <c r="J1014" s="174">
        <v>384500</v>
      </c>
      <c r="K1014" s="174"/>
      <c r="L1014" s="174"/>
      <c r="M1014" s="174"/>
      <c r="N1014" s="176"/>
    </row>
    <row r="1015" spans="1:14" x14ac:dyDescent="0.25">
      <c r="A1015" s="165">
        <v>45475</v>
      </c>
      <c r="B1015" s="166">
        <f t="shared" si="35"/>
        <v>7</v>
      </c>
      <c r="C1015" s="25">
        <f t="shared" si="34"/>
        <v>2024</v>
      </c>
      <c r="D1015" s="169" t="s">
        <v>124</v>
      </c>
      <c r="E1015" s="170" t="s">
        <v>93</v>
      </c>
      <c r="F1015" s="171" t="s">
        <v>983</v>
      </c>
      <c r="G1015" s="171"/>
      <c r="H1015" s="172" t="s">
        <v>130</v>
      </c>
      <c r="I1015" s="172"/>
      <c r="J1015" s="174"/>
      <c r="K1015" s="174">
        <v>2749362</v>
      </c>
      <c r="L1015" s="174"/>
      <c r="M1015" s="174"/>
      <c r="N1015" s="176"/>
    </row>
    <row r="1016" spans="1:14" x14ac:dyDescent="0.25">
      <c r="A1016" s="165">
        <v>45475</v>
      </c>
      <c r="B1016" s="166">
        <f t="shared" si="35"/>
        <v>7</v>
      </c>
      <c r="C1016" s="25">
        <f t="shared" si="34"/>
        <v>2024</v>
      </c>
      <c r="D1016" s="169" t="s">
        <v>352</v>
      </c>
      <c r="E1016" s="170" t="s">
        <v>93</v>
      </c>
      <c r="F1016" s="171" t="s">
        <v>650</v>
      </c>
      <c r="G1016" s="171"/>
      <c r="H1016" s="172" t="s">
        <v>131</v>
      </c>
      <c r="I1016" s="172"/>
      <c r="J1016" s="174">
        <v>284350</v>
      </c>
      <c r="K1016" s="174"/>
      <c r="L1016" s="174"/>
      <c r="M1016" s="174"/>
      <c r="N1016" s="176"/>
    </row>
    <row r="1017" spans="1:14" x14ac:dyDescent="0.25">
      <c r="A1017" s="165">
        <v>45475</v>
      </c>
      <c r="B1017" s="166">
        <f t="shared" si="35"/>
        <v>7</v>
      </c>
      <c r="C1017" s="25">
        <f t="shared" si="34"/>
        <v>2024</v>
      </c>
      <c r="D1017" s="169" t="s">
        <v>352</v>
      </c>
      <c r="E1017" s="170" t="s">
        <v>93</v>
      </c>
      <c r="F1017" s="171" t="s">
        <v>987</v>
      </c>
      <c r="G1017" s="171"/>
      <c r="H1017" s="172" t="s">
        <v>130</v>
      </c>
      <c r="I1017" s="172"/>
      <c r="J1017" s="174">
        <v>120000</v>
      </c>
      <c r="K1017" s="174"/>
      <c r="L1017" s="174"/>
      <c r="M1017" s="174"/>
      <c r="N1017" s="176"/>
    </row>
    <row r="1018" spans="1:14" x14ac:dyDescent="0.25">
      <c r="A1018" s="165">
        <v>45475</v>
      </c>
      <c r="B1018" s="166">
        <f t="shared" si="35"/>
        <v>7</v>
      </c>
      <c r="C1018" s="25">
        <f t="shared" si="34"/>
        <v>2024</v>
      </c>
      <c r="D1018" s="169" t="s">
        <v>92</v>
      </c>
      <c r="E1018" s="170" t="s">
        <v>92</v>
      </c>
      <c r="F1018" s="171" t="s">
        <v>971</v>
      </c>
      <c r="G1018" s="171"/>
      <c r="H1018" s="172" t="s">
        <v>92</v>
      </c>
      <c r="I1018" s="172"/>
      <c r="J1018" s="174"/>
      <c r="K1018" s="174">
        <v>305916.94</v>
      </c>
      <c r="L1018" s="174"/>
      <c r="M1018" s="174"/>
      <c r="N1018" s="176"/>
    </row>
    <row r="1019" spans="1:14" x14ac:dyDescent="0.25">
      <c r="A1019" s="165">
        <v>45476</v>
      </c>
      <c r="B1019" s="166">
        <f t="shared" si="35"/>
        <v>7</v>
      </c>
      <c r="C1019" s="25">
        <f t="shared" si="34"/>
        <v>2024</v>
      </c>
      <c r="D1019" s="169" t="s">
        <v>352</v>
      </c>
      <c r="E1019" s="170" t="s">
        <v>93</v>
      </c>
      <c r="F1019" s="171" t="s">
        <v>984</v>
      </c>
      <c r="G1019" s="171"/>
      <c r="H1019" s="172" t="s">
        <v>130</v>
      </c>
      <c r="I1019" s="172"/>
      <c r="J1019" s="174">
        <v>115000</v>
      </c>
      <c r="K1019" s="174"/>
      <c r="L1019" s="174"/>
      <c r="M1019" s="174"/>
      <c r="N1019" s="176"/>
    </row>
    <row r="1020" spans="1:14" x14ac:dyDescent="0.25">
      <c r="A1020" s="165">
        <v>45476</v>
      </c>
      <c r="B1020" s="166">
        <f t="shared" si="35"/>
        <v>7</v>
      </c>
      <c r="C1020" s="25">
        <f t="shared" si="34"/>
        <v>2024</v>
      </c>
      <c r="D1020" s="169" t="s">
        <v>352</v>
      </c>
      <c r="E1020" s="170" t="s">
        <v>93</v>
      </c>
      <c r="F1020" s="171" t="s">
        <v>596</v>
      </c>
      <c r="G1020" s="171"/>
      <c r="H1020" s="172" t="s">
        <v>545</v>
      </c>
      <c r="I1020" s="172"/>
      <c r="J1020" s="174">
        <v>484500</v>
      </c>
      <c r="K1020" s="174"/>
      <c r="L1020" s="174"/>
      <c r="M1020" s="174"/>
      <c r="N1020" s="176"/>
    </row>
    <row r="1021" spans="1:14" x14ac:dyDescent="0.25">
      <c r="A1021" s="165">
        <v>45476</v>
      </c>
      <c r="B1021" s="166">
        <f t="shared" si="35"/>
        <v>7</v>
      </c>
      <c r="C1021" s="25">
        <f t="shared" si="34"/>
        <v>2024</v>
      </c>
      <c r="D1021" s="169" t="s">
        <v>92</v>
      </c>
      <c r="E1021" s="170" t="s">
        <v>92</v>
      </c>
      <c r="F1021" s="171" t="s">
        <v>1027</v>
      </c>
      <c r="G1021" s="171"/>
      <c r="H1021" s="172" t="s">
        <v>92</v>
      </c>
      <c r="I1021" s="172"/>
      <c r="J1021" s="174"/>
      <c r="K1021" s="174">
        <v>277186</v>
      </c>
      <c r="L1021" s="174"/>
      <c r="M1021" s="174"/>
      <c r="N1021" s="176"/>
    </row>
    <row r="1022" spans="1:14" x14ac:dyDescent="0.25">
      <c r="A1022" s="165">
        <v>45477</v>
      </c>
      <c r="B1022" s="166">
        <f t="shared" si="35"/>
        <v>7</v>
      </c>
      <c r="C1022" s="25">
        <f t="shared" si="34"/>
        <v>2024</v>
      </c>
      <c r="D1022" s="169" t="s">
        <v>124</v>
      </c>
      <c r="E1022" s="170" t="s">
        <v>93</v>
      </c>
      <c r="F1022" s="171"/>
      <c r="G1022" s="171" t="s">
        <v>557</v>
      </c>
      <c r="H1022" s="172" t="s">
        <v>131</v>
      </c>
      <c r="I1022" s="172"/>
      <c r="J1022" s="174"/>
      <c r="K1022" s="174">
        <v>153000</v>
      </c>
      <c r="L1022" s="174"/>
      <c r="M1022" s="174"/>
      <c r="N1022" s="176"/>
    </row>
    <row r="1023" spans="1:14" x14ac:dyDescent="0.25">
      <c r="A1023" s="165">
        <v>45477</v>
      </c>
      <c r="B1023" s="166">
        <f t="shared" si="35"/>
        <v>7</v>
      </c>
      <c r="C1023" s="25">
        <f t="shared" ref="C1023:C1086" si="36">YEAR((A1023))</f>
        <v>2024</v>
      </c>
      <c r="D1023" s="169" t="s">
        <v>124</v>
      </c>
      <c r="E1023" s="170" t="s">
        <v>93</v>
      </c>
      <c r="F1023" s="171"/>
      <c r="G1023" s="171" t="s">
        <v>557</v>
      </c>
      <c r="H1023" s="172" t="s">
        <v>131</v>
      </c>
      <c r="I1023" s="172"/>
      <c r="J1023" s="174"/>
      <c r="K1023" s="174">
        <v>380000</v>
      </c>
      <c r="L1023" s="174"/>
      <c r="M1023" s="174"/>
      <c r="N1023" s="176"/>
    </row>
    <row r="1024" spans="1:14" x14ac:dyDescent="0.25">
      <c r="A1024" s="165">
        <v>45477</v>
      </c>
      <c r="B1024" s="166">
        <f t="shared" si="35"/>
        <v>7</v>
      </c>
      <c r="C1024" s="25">
        <f t="shared" si="36"/>
        <v>2024</v>
      </c>
      <c r="D1024" s="169" t="s">
        <v>124</v>
      </c>
      <c r="E1024" s="170" t="s">
        <v>93</v>
      </c>
      <c r="F1024" s="171"/>
      <c r="G1024" s="171" t="s">
        <v>557</v>
      </c>
      <c r="H1024" s="172" t="s">
        <v>131</v>
      </c>
      <c r="I1024" s="172"/>
      <c r="J1024" s="174"/>
      <c r="K1024" s="174">
        <v>284350</v>
      </c>
      <c r="L1024" s="174"/>
      <c r="M1024" s="174"/>
      <c r="N1024" s="176"/>
    </row>
    <row r="1025" spans="1:14" x14ac:dyDescent="0.25">
      <c r="A1025" s="165">
        <v>45477</v>
      </c>
      <c r="B1025" s="166">
        <f t="shared" si="35"/>
        <v>7</v>
      </c>
      <c r="C1025" s="25">
        <f t="shared" si="36"/>
        <v>2024</v>
      </c>
      <c r="D1025" s="169" t="s">
        <v>352</v>
      </c>
      <c r="E1025" s="170" t="s">
        <v>93</v>
      </c>
      <c r="F1025" s="171" t="s">
        <v>799</v>
      </c>
      <c r="G1025" s="171"/>
      <c r="H1025" s="172" t="s">
        <v>130</v>
      </c>
      <c r="I1025" s="172"/>
      <c r="J1025" s="174">
        <v>138000</v>
      </c>
      <c r="K1025" s="174"/>
      <c r="L1025" s="174"/>
      <c r="M1025" s="174"/>
      <c r="N1025" s="176"/>
    </row>
    <row r="1026" spans="1:14" x14ac:dyDescent="0.25">
      <c r="A1026" s="165">
        <v>45477</v>
      </c>
      <c r="B1026" s="166">
        <f t="shared" si="35"/>
        <v>7</v>
      </c>
      <c r="C1026" s="25">
        <f t="shared" si="36"/>
        <v>2024</v>
      </c>
      <c r="D1026" s="169" t="s">
        <v>352</v>
      </c>
      <c r="E1026" s="170" t="s">
        <v>93</v>
      </c>
      <c r="F1026" s="171" t="s">
        <v>828</v>
      </c>
      <c r="G1026" s="171"/>
      <c r="H1026" s="172" t="s">
        <v>130</v>
      </c>
      <c r="I1026" s="172"/>
      <c r="J1026" s="174">
        <v>427500</v>
      </c>
      <c r="K1026" s="174"/>
      <c r="L1026" s="174"/>
      <c r="M1026" s="174"/>
      <c r="N1026" s="176"/>
    </row>
    <row r="1027" spans="1:14" x14ac:dyDescent="0.25">
      <c r="A1027" s="165">
        <v>45477</v>
      </c>
      <c r="B1027" s="166">
        <f t="shared" ref="B1027:B1090" si="37">MONTH(A1027)</f>
        <v>7</v>
      </c>
      <c r="C1027" s="25">
        <f t="shared" si="36"/>
        <v>2024</v>
      </c>
      <c r="D1027" s="169" t="s">
        <v>352</v>
      </c>
      <c r="E1027" s="170" t="s">
        <v>93</v>
      </c>
      <c r="F1027" s="171" t="s">
        <v>947</v>
      </c>
      <c r="G1027" s="171"/>
      <c r="H1027" s="172" t="s">
        <v>545</v>
      </c>
      <c r="I1027" s="172"/>
      <c r="J1027" s="174">
        <v>63200</v>
      </c>
      <c r="K1027" s="174"/>
      <c r="L1027" s="174"/>
      <c r="M1027" s="174"/>
      <c r="N1027" s="176"/>
    </row>
    <row r="1028" spans="1:14" x14ac:dyDescent="0.25">
      <c r="A1028" s="165">
        <v>45478</v>
      </c>
      <c r="B1028" s="166">
        <f t="shared" si="37"/>
        <v>7</v>
      </c>
      <c r="C1028" s="25">
        <f t="shared" si="36"/>
        <v>2024</v>
      </c>
      <c r="D1028" s="169" t="s">
        <v>352</v>
      </c>
      <c r="E1028" s="170" t="s">
        <v>93</v>
      </c>
      <c r="F1028" s="171" t="s">
        <v>555</v>
      </c>
      <c r="G1028" s="171"/>
      <c r="H1028" s="172" t="s">
        <v>130</v>
      </c>
      <c r="I1028" s="172"/>
      <c r="J1028" s="174">
        <v>29900</v>
      </c>
      <c r="K1028" s="174"/>
      <c r="L1028" s="174"/>
      <c r="M1028" s="174"/>
      <c r="N1028" s="176"/>
    </row>
    <row r="1029" spans="1:14" x14ac:dyDescent="0.25">
      <c r="A1029" s="165">
        <v>45478</v>
      </c>
      <c r="B1029" s="166">
        <f t="shared" si="37"/>
        <v>7</v>
      </c>
      <c r="C1029" s="25">
        <f t="shared" si="36"/>
        <v>2024</v>
      </c>
      <c r="D1029" s="169" t="s">
        <v>92</v>
      </c>
      <c r="E1029" s="170" t="s">
        <v>92</v>
      </c>
      <c r="F1029" s="171" t="s">
        <v>172</v>
      </c>
      <c r="G1029" s="171"/>
      <c r="H1029" s="172" t="s">
        <v>92</v>
      </c>
      <c r="I1029" s="172"/>
      <c r="J1029" s="174"/>
      <c r="K1029" s="174">
        <v>112489.9</v>
      </c>
      <c r="L1029" s="174"/>
      <c r="M1029" s="174"/>
      <c r="N1029" s="176"/>
    </row>
    <row r="1030" spans="1:14" x14ac:dyDescent="0.25">
      <c r="A1030" s="165">
        <v>45478</v>
      </c>
      <c r="B1030" s="166">
        <f t="shared" si="37"/>
        <v>7</v>
      </c>
      <c r="C1030" s="25">
        <f t="shared" si="36"/>
        <v>2024</v>
      </c>
      <c r="D1030" s="169" t="s">
        <v>92</v>
      </c>
      <c r="E1030" s="170" t="s">
        <v>92</v>
      </c>
      <c r="F1030" s="171" t="s">
        <v>139</v>
      </c>
      <c r="G1030" s="171"/>
      <c r="H1030" s="172" t="s">
        <v>92</v>
      </c>
      <c r="I1030" s="172"/>
      <c r="J1030" s="174"/>
      <c r="K1030" s="174">
        <v>45203.33</v>
      </c>
      <c r="L1030" s="174"/>
      <c r="M1030" s="174"/>
      <c r="N1030" s="176"/>
    </row>
    <row r="1031" spans="1:14" x14ac:dyDescent="0.25">
      <c r="A1031" s="165">
        <v>45478</v>
      </c>
      <c r="B1031" s="166">
        <f t="shared" si="37"/>
        <v>7</v>
      </c>
      <c r="C1031" s="25">
        <f t="shared" si="36"/>
        <v>2024</v>
      </c>
      <c r="D1031" s="169" t="s">
        <v>92</v>
      </c>
      <c r="E1031" s="170" t="s">
        <v>92</v>
      </c>
      <c r="F1031" s="171" t="s">
        <v>630</v>
      </c>
      <c r="G1031" s="171"/>
      <c r="H1031" s="172" t="s">
        <v>92</v>
      </c>
      <c r="I1031" s="172"/>
      <c r="J1031" s="174"/>
      <c r="K1031" s="174">
        <v>19100</v>
      </c>
      <c r="L1031" s="174"/>
      <c r="M1031" s="174"/>
      <c r="N1031" s="176"/>
    </row>
    <row r="1032" spans="1:14" x14ac:dyDescent="0.25">
      <c r="A1032" s="165">
        <v>45479</v>
      </c>
      <c r="B1032" s="166">
        <f t="shared" si="37"/>
        <v>7</v>
      </c>
      <c r="C1032" s="25">
        <f t="shared" si="36"/>
        <v>2024</v>
      </c>
      <c r="D1032" s="169" t="s">
        <v>352</v>
      </c>
      <c r="E1032" s="170" t="s">
        <v>93</v>
      </c>
      <c r="F1032" s="171" t="s">
        <v>972</v>
      </c>
      <c r="G1032" s="171"/>
      <c r="H1032" s="172" t="s">
        <v>130</v>
      </c>
      <c r="I1032" s="172"/>
      <c r="J1032" s="174">
        <v>100000</v>
      </c>
      <c r="K1032" s="174"/>
      <c r="L1032" s="174"/>
      <c r="M1032" s="174"/>
      <c r="N1032" s="176"/>
    </row>
    <row r="1033" spans="1:14" x14ac:dyDescent="0.25">
      <c r="A1033" s="165">
        <v>45479</v>
      </c>
      <c r="B1033" s="166">
        <f t="shared" si="37"/>
        <v>7</v>
      </c>
      <c r="C1033" s="25">
        <f t="shared" si="36"/>
        <v>2024</v>
      </c>
      <c r="D1033" s="169" t="s">
        <v>92</v>
      </c>
      <c r="E1033" s="170" t="s">
        <v>92</v>
      </c>
      <c r="F1033" s="171"/>
      <c r="G1033" s="171"/>
      <c r="H1033" s="172" t="s">
        <v>92</v>
      </c>
      <c r="I1033" s="172"/>
      <c r="J1033" s="174"/>
      <c r="K1033" s="174">
        <v>25000</v>
      </c>
      <c r="L1033" s="174"/>
      <c r="M1033" s="174"/>
      <c r="N1033" s="176"/>
    </row>
    <row r="1034" spans="1:14" x14ac:dyDescent="0.25">
      <c r="A1034" s="165">
        <v>45479</v>
      </c>
      <c r="B1034" s="166">
        <f t="shared" si="37"/>
        <v>7</v>
      </c>
      <c r="C1034" s="25">
        <f t="shared" si="36"/>
        <v>2024</v>
      </c>
      <c r="D1034" s="169" t="s">
        <v>689</v>
      </c>
      <c r="E1034" s="170" t="s">
        <v>93</v>
      </c>
      <c r="F1034" s="171" t="s">
        <v>991</v>
      </c>
      <c r="G1034" s="171"/>
      <c r="H1034" s="172" t="s">
        <v>130</v>
      </c>
      <c r="I1034" s="172"/>
      <c r="J1034" s="174"/>
      <c r="K1034" s="174">
        <v>260000</v>
      </c>
      <c r="L1034" s="174"/>
      <c r="M1034" s="174"/>
      <c r="N1034" s="176"/>
    </row>
    <row r="1035" spans="1:14" x14ac:dyDescent="0.25">
      <c r="A1035" s="165">
        <v>45479</v>
      </c>
      <c r="B1035" s="166">
        <f t="shared" si="37"/>
        <v>7</v>
      </c>
      <c r="C1035" s="25">
        <f t="shared" si="36"/>
        <v>2024</v>
      </c>
      <c r="D1035" s="169" t="s">
        <v>626</v>
      </c>
      <c r="E1035" s="170" t="s">
        <v>93</v>
      </c>
      <c r="F1035" s="171" t="s">
        <v>992</v>
      </c>
      <c r="G1035" s="171"/>
      <c r="H1035" s="172" t="s">
        <v>130</v>
      </c>
      <c r="I1035" s="172"/>
      <c r="J1035" s="174"/>
      <c r="K1035" s="174">
        <v>124000</v>
      </c>
      <c r="L1035" s="174"/>
      <c r="M1035" s="174"/>
      <c r="N1035" s="176"/>
    </row>
    <row r="1036" spans="1:14" x14ac:dyDescent="0.25">
      <c r="A1036" s="165">
        <v>45479</v>
      </c>
      <c r="B1036" s="166">
        <f t="shared" si="37"/>
        <v>7</v>
      </c>
      <c r="C1036" s="25">
        <f t="shared" si="36"/>
        <v>2024</v>
      </c>
      <c r="D1036" s="169" t="s">
        <v>92</v>
      </c>
      <c r="E1036" s="170" t="s">
        <v>92</v>
      </c>
      <c r="F1036" s="171" t="s">
        <v>174</v>
      </c>
      <c r="G1036" s="171"/>
      <c r="H1036" s="172" t="s">
        <v>92</v>
      </c>
      <c r="I1036" s="172"/>
      <c r="J1036" s="174"/>
      <c r="K1036" s="174">
        <v>148255</v>
      </c>
      <c r="L1036" s="174"/>
      <c r="M1036" s="174"/>
      <c r="N1036" s="176"/>
    </row>
    <row r="1037" spans="1:14" x14ac:dyDescent="0.25">
      <c r="A1037" s="165">
        <v>45481</v>
      </c>
      <c r="B1037" s="166">
        <f t="shared" si="37"/>
        <v>7</v>
      </c>
      <c r="C1037" s="25">
        <f t="shared" si="36"/>
        <v>2024</v>
      </c>
      <c r="D1037" s="169" t="s">
        <v>352</v>
      </c>
      <c r="E1037" s="170" t="s">
        <v>93</v>
      </c>
      <c r="F1037" s="171" t="s">
        <v>529</v>
      </c>
      <c r="G1037" s="171"/>
      <c r="H1037" s="172" t="s">
        <v>130</v>
      </c>
      <c r="I1037" s="172"/>
      <c r="J1037" s="174">
        <v>127000</v>
      </c>
      <c r="K1037" s="174"/>
      <c r="L1037" s="174"/>
      <c r="M1037" s="174"/>
      <c r="N1037" s="176"/>
    </row>
    <row r="1038" spans="1:14" x14ac:dyDescent="0.25">
      <c r="A1038" s="165">
        <v>45481</v>
      </c>
      <c r="B1038" s="166">
        <f t="shared" si="37"/>
        <v>7</v>
      </c>
      <c r="C1038" s="25">
        <f t="shared" si="36"/>
        <v>2024</v>
      </c>
      <c r="D1038" s="169" t="s">
        <v>352</v>
      </c>
      <c r="E1038" s="170" t="s">
        <v>93</v>
      </c>
      <c r="F1038" s="171" t="s">
        <v>516</v>
      </c>
      <c r="G1038" s="171"/>
      <c r="H1038" s="172" t="s">
        <v>131</v>
      </c>
      <c r="I1038" s="172"/>
      <c r="J1038" s="174">
        <v>358640</v>
      </c>
      <c r="K1038" s="174"/>
      <c r="L1038" s="174"/>
      <c r="M1038" s="174"/>
      <c r="N1038" s="176"/>
    </row>
    <row r="1039" spans="1:14" x14ac:dyDescent="0.25">
      <c r="A1039" s="165">
        <v>45481</v>
      </c>
      <c r="B1039" s="166">
        <f t="shared" si="37"/>
        <v>7</v>
      </c>
      <c r="C1039" s="25">
        <f t="shared" si="36"/>
        <v>2024</v>
      </c>
      <c r="D1039" s="169" t="s">
        <v>352</v>
      </c>
      <c r="E1039" s="170" t="s">
        <v>93</v>
      </c>
      <c r="F1039" s="171" t="s">
        <v>516</v>
      </c>
      <c r="G1039" s="171"/>
      <c r="H1039" s="172" t="s">
        <v>131</v>
      </c>
      <c r="I1039" s="172"/>
      <c r="J1039" s="174">
        <v>358640</v>
      </c>
      <c r="K1039" s="174"/>
      <c r="L1039" s="174"/>
      <c r="M1039" s="174"/>
      <c r="N1039" s="176"/>
    </row>
    <row r="1040" spans="1:14" x14ac:dyDescent="0.25">
      <c r="A1040" s="165">
        <v>45481</v>
      </c>
      <c r="B1040" s="166">
        <f t="shared" si="37"/>
        <v>7</v>
      </c>
      <c r="C1040" s="25">
        <f t="shared" si="36"/>
        <v>2024</v>
      </c>
      <c r="D1040" s="169" t="s">
        <v>352</v>
      </c>
      <c r="E1040" s="170" t="s">
        <v>93</v>
      </c>
      <c r="F1040" s="171" t="s">
        <v>516</v>
      </c>
      <c r="G1040" s="171"/>
      <c r="H1040" s="172" t="s">
        <v>131</v>
      </c>
      <c r="I1040" s="172"/>
      <c r="J1040" s="174">
        <v>358640</v>
      </c>
      <c r="K1040" s="174"/>
      <c r="L1040" s="174"/>
      <c r="M1040" s="174"/>
      <c r="N1040" s="176"/>
    </row>
    <row r="1041" spans="1:14" x14ac:dyDescent="0.25">
      <c r="A1041" s="165">
        <v>45481</v>
      </c>
      <c r="B1041" s="166">
        <f t="shared" si="37"/>
        <v>7</v>
      </c>
      <c r="C1041" s="25">
        <f t="shared" si="36"/>
        <v>2024</v>
      </c>
      <c r="D1041" s="169" t="s">
        <v>92</v>
      </c>
      <c r="E1041" s="170" t="s">
        <v>92</v>
      </c>
      <c r="F1041" s="171" t="s">
        <v>545</v>
      </c>
      <c r="G1041" s="171"/>
      <c r="H1041" s="172" t="s">
        <v>92</v>
      </c>
      <c r="I1041" s="172"/>
      <c r="J1041" s="174"/>
      <c r="K1041" s="174">
        <v>235474</v>
      </c>
      <c r="L1041" s="174"/>
      <c r="M1041" s="174"/>
      <c r="N1041" s="176"/>
    </row>
    <row r="1042" spans="1:14" x14ac:dyDescent="0.25">
      <c r="A1042" s="165">
        <v>45483</v>
      </c>
      <c r="B1042" s="166">
        <f t="shared" si="37"/>
        <v>7</v>
      </c>
      <c r="C1042" s="25">
        <f t="shared" si="36"/>
        <v>2024</v>
      </c>
      <c r="D1042" s="169" t="s">
        <v>352</v>
      </c>
      <c r="E1042" s="170" t="s">
        <v>93</v>
      </c>
      <c r="F1042" s="171" t="s">
        <v>612</v>
      </c>
      <c r="G1042" s="171"/>
      <c r="H1042" s="172" t="s">
        <v>545</v>
      </c>
      <c r="I1042" s="172"/>
      <c r="J1042" s="174">
        <v>187475</v>
      </c>
      <c r="K1042" s="174"/>
      <c r="L1042" s="174"/>
      <c r="M1042" s="174"/>
      <c r="N1042" s="176"/>
    </row>
    <row r="1043" spans="1:14" x14ac:dyDescent="0.25">
      <c r="A1043" s="165">
        <v>45483</v>
      </c>
      <c r="B1043" s="166">
        <f t="shared" si="37"/>
        <v>7</v>
      </c>
      <c r="C1043" s="25">
        <f t="shared" si="36"/>
        <v>2024</v>
      </c>
      <c r="D1043" s="169" t="s">
        <v>352</v>
      </c>
      <c r="E1043" s="170" t="s">
        <v>93</v>
      </c>
      <c r="F1043" s="171" t="s">
        <v>525</v>
      </c>
      <c r="G1043" s="171"/>
      <c r="H1043" s="172" t="s">
        <v>130</v>
      </c>
      <c r="I1043" s="172"/>
      <c r="J1043" s="174">
        <v>45000</v>
      </c>
      <c r="K1043" s="174"/>
      <c r="L1043" s="174"/>
      <c r="M1043" s="174"/>
      <c r="N1043" s="176"/>
    </row>
    <row r="1044" spans="1:14" x14ac:dyDescent="0.25">
      <c r="A1044" s="165">
        <v>45483</v>
      </c>
      <c r="B1044" s="166">
        <f t="shared" si="37"/>
        <v>7</v>
      </c>
      <c r="C1044" s="25">
        <f t="shared" si="36"/>
        <v>2024</v>
      </c>
      <c r="D1044" s="169" t="s">
        <v>92</v>
      </c>
      <c r="E1044" s="170" t="s">
        <v>92</v>
      </c>
      <c r="F1044" s="171" t="s">
        <v>1030</v>
      </c>
      <c r="G1044" s="171"/>
      <c r="H1044" s="172" t="s">
        <v>92</v>
      </c>
      <c r="I1044" s="172"/>
      <c r="J1044" s="174"/>
      <c r="K1044" s="174">
        <v>44550</v>
      </c>
      <c r="L1044" s="174"/>
      <c r="M1044" s="174"/>
      <c r="N1044" s="176"/>
    </row>
    <row r="1045" spans="1:14" x14ac:dyDescent="0.25">
      <c r="A1045" s="165">
        <v>45484</v>
      </c>
      <c r="B1045" s="166">
        <f t="shared" si="37"/>
        <v>7</v>
      </c>
      <c r="C1045" s="25">
        <f t="shared" si="36"/>
        <v>2024</v>
      </c>
      <c r="D1045" s="169" t="s">
        <v>92</v>
      </c>
      <c r="E1045" s="170" t="s">
        <v>92</v>
      </c>
      <c r="F1045" s="171" t="s">
        <v>796</v>
      </c>
      <c r="G1045" s="171"/>
      <c r="H1045" s="172" t="s">
        <v>130</v>
      </c>
      <c r="I1045" s="172"/>
      <c r="J1045" s="174"/>
      <c r="K1045" s="174">
        <v>285950</v>
      </c>
      <c r="L1045" s="174"/>
      <c r="M1045" s="174"/>
      <c r="N1045" s="176"/>
    </row>
    <row r="1046" spans="1:14" x14ac:dyDescent="0.25">
      <c r="A1046" s="165">
        <v>45484</v>
      </c>
      <c r="B1046" s="166">
        <f t="shared" si="37"/>
        <v>7</v>
      </c>
      <c r="C1046" s="25">
        <f t="shared" si="36"/>
        <v>2024</v>
      </c>
      <c r="D1046" s="169" t="s">
        <v>92</v>
      </c>
      <c r="E1046" s="170" t="s">
        <v>92</v>
      </c>
      <c r="F1046" s="171" t="s">
        <v>296</v>
      </c>
      <c r="G1046" s="171"/>
      <c r="H1046" s="172" t="s">
        <v>130</v>
      </c>
      <c r="I1046" s="172"/>
      <c r="J1046" s="174"/>
      <c r="K1046" s="174">
        <v>410167</v>
      </c>
      <c r="L1046" s="174"/>
      <c r="M1046" s="174"/>
      <c r="N1046" s="176"/>
    </row>
    <row r="1047" spans="1:14" x14ac:dyDescent="0.25">
      <c r="A1047" s="165">
        <v>45484</v>
      </c>
      <c r="B1047" s="166">
        <f t="shared" si="37"/>
        <v>7</v>
      </c>
      <c r="C1047" s="25">
        <f t="shared" si="36"/>
        <v>2024</v>
      </c>
      <c r="D1047" s="169" t="s">
        <v>352</v>
      </c>
      <c r="E1047" s="170" t="s">
        <v>93</v>
      </c>
      <c r="F1047" s="171" t="s">
        <v>876</v>
      </c>
      <c r="G1047" s="171"/>
      <c r="H1047" s="172" t="s">
        <v>130</v>
      </c>
      <c r="I1047" s="172"/>
      <c r="J1047" s="174">
        <v>62600</v>
      </c>
      <c r="K1047" s="174"/>
      <c r="L1047" s="174"/>
      <c r="M1047" s="174"/>
      <c r="N1047" s="176"/>
    </row>
    <row r="1048" spans="1:14" x14ac:dyDescent="0.25">
      <c r="A1048" s="165">
        <v>45484</v>
      </c>
      <c r="B1048" s="166">
        <f t="shared" si="37"/>
        <v>7</v>
      </c>
      <c r="C1048" s="25">
        <f t="shared" si="36"/>
        <v>2024</v>
      </c>
      <c r="D1048" s="169" t="s">
        <v>92</v>
      </c>
      <c r="E1048" s="170" t="s">
        <v>92</v>
      </c>
      <c r="F1048" s="171"/>
      <c r="G1048" s="171"/>
      <c r="H1048" s="172" t="s">
        <v>92</v>
      </c>
      <c r="I1048" s="172"/>
      <c r="J1048" s="174"/>
      <c r="K1048" s="174">
        <v>70000</v>
      </c>
      <c r="L1048" s="174"/>
      <c r="M1048" s="174"/>
      <c r="N1048" s="176"/>
    </row>
    <row r="1049" spans="1:14" x14ac:dyDescent="0.25">
      <c r="A1049" s="165">
        <v>45484</v>
      </c>
      <c r="B1049" s="166">
        <f t="shared" si="37"/>
        <v>7</v>
      </c>
      <c r="C1049" s="25">
        <f t="shared" si="36"/>
        <v>2024</v>
      </c>
      <c r="D1049" s="169" t="s">
        <v>352</v>
      </c>
      <c r="E1049" s="170" t="s">
        <v>93</v>
      </c>
      <c r="F1049" s="171" t="s">
        <v>973</v>
      </c>
      <c r="G1049" s="171"/>
      <c r="H1049" s="172" t="s">
        <v>131</v>
      </c>
      <c r="I1049" s="172"/>
      <c r="J1049" s="174">
        <v>363761.02</v>
      </c>
      <c r="K1049" s="174"/>
      <c r="L1049" s="174"/>
      <c r="M1049" s="174"/>
      <c r="N1049" s="176"/>
    </row>
    <row r="1050" spans="1:14" x14ac:dyDescent="0.25">
      <c r="A1050" s="165">
        <v>45484</v>
      </c>
      <c r="B1050" s="166">
        <f t="shared" si="37"/>
        <v>7</v>
      </c>
      <c r="C1050" s="25">
        <f t="shared" si="36"/>
        <v>2024</v>
      </c>
      <c r="D1050" s="169" t="s">
        <v>352</v>
      </c>
      <c r="E1050" s="170" t="s">
        <v>93</v>
      </c>
      <c r="F1050" s="171" t="s">
        <v>973</v>
      </c>
      <c r="G1050" s="171"/>
      <c r="H1050" s="172" t="s">
        <v>131</v>
      </c>
      <c r="I1050" s="172"/>
      <c r="J1050" s="174">
        <v>363761.02</v>
      </c>
      <c r="K1050" s="174"/>
      <c r="L1050" s="174"/>
      <c r="M1050" s="174"/>
      <c r="N1050" s="176"/>
    </row>
    <row r="1051" spans="1:14" x14ac:dyDescent="0.25">
      <c r="A1051" s="165">
        <v>45485</v>
      </c>
      <c r="B1051" s="166">
        <f t="shared" si="37"/>
        <v>7</v>
      </c>
      <c r="C1051" s="25">
        <f t="shared" si="36"/>
        <v>2024</v>
      </c>
      <c r="D1051" s="169" t="s">
        <v>352</v>
      </c>
      <c r="E1051" s="170" t="s">
        <v>93</v>
      </c>
      <c r="F1051" s="171" t="s">
        <v>556</v>
      </c>
      <c r="G1051" s="171"/>
      <c r="H1051" s="172" t="s">
        <v>874</v>
      </c>
      <c r="I1051" s="172"/>
      <c r="J1051" s="174">
        <v>1376357</v>
      </c>
      <c r="K1051" s="174"/>
      <c r="L1051" s="174"/>
      <c r="M1051" s="174"/>
      <c r="N1051" s="176"/>
    </row>
    <row r="1052" spans="1:14" x14ac:dyDescent="0.25">
      <c r="A1052" s="165">
        <v>45485</v>
      </c>
      <c r="B1052" s="166">
        <f t="shared" si="37"/>
        <v>7</v>
      </c>
      <c r="C1052" s="25">
        <f t="shared" si="36"/>
        <v>2024</v>
      </c>
      <c r="D1052" s="169" t="s">
        <v>352</v>
      </c>
      <c r="E1052" s="170" t="s">
        <v>93</v>
      </c>
      <c r="F1052" s="171" t="s">
        <v>812</v>
      </c>
      <c r="G1052" s="171"/>
      <c r="H1052" s="172" t="s">
        <v>131</v>
      </c>
      <c r="I1052" s="172"/>
      <c r="J1052" s="174">
        <v>415930</v>
      </c>
      <c r="K1052" s="174"/>
      <c r="L1052" s="174"/>
      <c r="M1052" s="174"/>
      <c r="N1052" s="176"/>
    </row>
    <row r="1053" spans="1:14" x14ac:dyDescent="0.25">
      <c r="A1053" s="165">
        <v>45485</v>
      </c>
      <c r="B1053" s="166">
        <f t="shared" si="37"/>
        <v>7</v>
      </c>
      <c r="C1053" s="25">
        <f t="shared" si="36"/>
        <v>2024</v>
      </c>
      <c r="D1053" s="169" t="s">
        <v>149</v>
      </c>
      <c r="E1053" s="170" t="s">
        <v>93</v>
      </c>
      <c r="F1053" s="171" t="s">
        <v>593</v>
      </c>
      <c r="G1053" s="171"/>
      <c r="H1053" s="172" t="s">
        <v>130</v>
      </c>
      <c r="I1053" s="172"/>
      <c r="J1053" s="174"/>
      <c r="K1053" s="174">
        <v>191000</v>
      </c>
      <c r="L1053" s="174"/>
      <c r="M1053" s="174"/>
      <c r="N1053" s="176"/>
    </row>
    <row r="1054" spans="1:14" x14ac:dyDescent="0.25">
      <c r="A1054" s="165">
        <v>45485</v>
      </c>
      <c r="B1054" s="166">
        <f t="shared" si="37"/>
        <v>7</v>
      </c>
      <c r="C1054" s="25">
        <f t="shared" si="36"/>
        <v>2024</v>
      </c>
      <c r="D1054" s="169" t="s">
        <v>352</v>
      </c>
      <c r="E1054" s="170" t="s">
        <v>93</v>
      </c>
      <c r="F1054" s="171" t="s">
        <v>947</v>
      </c>
      <c r="G1054" s="171"/>
      <c r="H1054" s="172" t="s">
        <v>130</v>
      </c>
      <c r="I1054" s="172"/>
      <c r="J1054" s="174">
        <v>63200</v>
      </c>
      <c r="K1054" s="174"/>
      <c r="L1054" s="174"/>
      <c r="M1054" s="174"/>
      <c r="N1054" s="176"/>
    </row>
    <row r="1055" spans="1:14" x14ac:dyDescent="0.25">
      <c r="A1055" s="165">
        <v>45485</v>
      </c>
      <c r="B1055" s="166">
        <f t="shared" si="37"/>
        <v>7</v>
      </c>
      <c r="C1055" s="25">
        <f t="shared" si="36"/>
        <v>2024</v>
      </c>
      <c r="D1055" s="169" t="s">
        <v>92</v>
      </c>
      <c r="E1055" s="170" t="s">
        <v>92</v>
      </c>
      <c r="F1055" s="171" t="s">
        <v>675</v>
      </c>
      <c r="G1055" s="171"/>
      <c r="H1055" s="172" t="s">
        <v>92</v>
      </c>
      <c r="I1055" s="172"/>
      <c r="J1055" s="174"/>
      <c r="K1055" s="174">
        <v>96000</v>
      </c>
      <c r="L1055" s="174"/>
      <c r="M1055" s="174"/>
      <c r="N1055" s="176"/>
    </row>
    <row r="1056" spans="1:14" x14ac:dyDescent="0.25">
      <c r="A1056" s="165">
        <v>45485</v>
      </c>
      <c r="B1056" s="166">
        <f t="shared" si="37"/>
        <v>7</v>
      </c>
      <c r="C1056" s="25">
        <f t="shared" si="36"/>
        <v>2024</v>
      </c>
      <c r="D1056" s="169" t="s">
        <v>626</v>
      </c>
      <c r="E1056" s="170" t="s">
        <v>93</v>
      </c>
      <c r="F1056" s="171"/>
      <c r="G1056" s="171"/>
      <c r="H1056" s="172" t="s">
        <v>130</v>
      </c>
      <c r="I1056" s="172"/>
      <c r="J1056" s="174"/>
      <c r="K1056" s="174">
        <v>116000</v>
      </c>
      <c r="L1056" s="174"/>
      <c r="M1056" s="174"/>
      <c r="N1056" s="176"/>
    </row>
    <row r="1057" spans="1:14" x14ac:dyDescent="0.25">
      <c r="A1057" s="165">
        <v>45485</v>
      </c>
      <c r="B1057" s="166">
        <f t="shared" si="37"/>
        <v>7</v>
      </c>
      <c r="C1057" s="25">
        <f t="shared" si="36"/>
        <v>2024</v>
      </c>
      <c r="D1057" s="169" t="s">
        <v>352</v>
      </c>
      <c r="E1057" s="170" t="s">
        <v>93</v>
      </c>
      <c r="F1057" s="171" t="s">
        <v>1002</v>
      </c>
      <c r="G1057" s="171"/>
      <c r="H1057" s="172" t="s">
        <v>130</v>
      </c>
      <c r="I1057" s="172"/>
      <c r="J1057" s="174">
        <v>277000</v>
      </c>
      <c r="K1057" s="174"/>
      <c r="L1057" s="174"/>
      <c r="M1057" s="174"/>
      <c r="N1057" s="176"/>
    </row>
    <row r="1058" spans="1:14" x14ac:dyDescent="0.25">
      <c r="A1058" s="165">
        <v>45488</v>
      </c>
      <c r="B1058" s="166">
        <f t="shared" si="37"/>
        <v>7</v>
      </c>
      <c r="C1058" s="25">
        <f t="shared" si="36"/>
        <v>2024</v>
      </c>
      <c r="D1058" s="169" t="s">
        <v>352</v>
      </c>
      <c r="E1058" s="170" t="s">
        <v>93</v>
      </c>
      <c r="F1058" s="171" t="s">
        <v>984</v>
      </c>
      <c r="G1058" s="171"/>
      <c r="H1058" s="172" t="s">
        <v>130</v>
      </c>
      <c r="I1058" s="172"/>
      <c r="J1058" s="174">
        <v>118700</v>
      </c>
      <c r="K1058" s="174"/>
      <c r="L1058" s="174"/>
      <c r="M1058" s="174"/>
      <c r="N1058" s="176"/>
    </row>
    <row r="1059" spans="1:14" x14ac:dyDescent="0.25">
      <c r="A1059" s="165">
        <v>45488</v>
      </c>
      <c r="B1059" s="166">
        <f t="shared" si="37"/>
        <v>7</v>
      </c>
      <c r="C1059" s="25">
        <f t="shared" si="36"/>
        <v>2024</v>
      </c>
      <c r="D1059" s="169" t="s">
        <v>149</v>
      </c>
      <c r="E1059" s="170" t="s">
        <v>93</v>
      </c>
      <c r="F1059" s="171" t="s">
        <v>841</v>
      </c>
      <c r="G1059" s="171"/>
      <c r="H1059" s="172" t="s">
        <v>130</v>
      </c>
      <c r="I1059" s="172"/>
      <c r="J1059" s="174"/>
      <c r="K1059" s="174">
        <v>96000</v>
      </c>
      <c r="L1059" s="174"/>
      <c r="M1059" s="174"/>
      <c r="N1059" s="176"/>
    </row>
    <row r="1060" spans="1:14" x14ac:dyDescent="0.25">
      <c r="A1060" s="165">
        <v>45488</v>
      </c>
      <c r="B1060" s="166">
        <f t="shared" si="37"/>
        <v>7</v>
      </c>
      <c r="C1060" s="25">
        <f t="shared" si="36"/>
        <v>2024</v>
      </c>
      <c r="D1060" s="169" t="s">
        <v>352</v>
      </c>
      <c r="E1060" s="170" t="s">
        <v>93</v>
      </c>
      <c r="F1060" s="171" t="s">
        <v>569</v>
      </c>
      <c r="G1060" s="171"/>
      <c r="H1060" s="95" t="s">
        <v>130</v>
      </c>
      <c r="I1060" s="172"/>
      <c r="J1060" s="174">
        <v>150000</v>
      </c>
      <c r="K1060" s="174"/>
      <c r="L1060" s="174"/>
      <c r="M1060" s="174"/>
      <c r="N1060" s="176"/>
    </row>
    <row r="1061" spans="1:14" x14ac:dyDescent="0.25">
      <c r="A1061" s="165">
        <v>45488</v>
      </c>
      <c r="B1061" s="166">
        <f t="shared" si="37"/>
        <v>7</v>
      </c>
      <c r="C1061" s="25">
        <f t="shared" si="36"/>
        <v>2024</v>
      </c>
      <c r="D1061" s="169" t="s">
        <v>352</v>
      </c>
      <c r="E1061" s="170" t="s">
        <v>93</v>
      </c>
      <c r="F1061" s="171" t="s">
        <v>1003</v>
      </c>
      <c r="G1061" s="171"/>
      <c r="H1061" s="172" t="s">
        <v>131</v>
      </c>
      <c r="I1061" s="172"/>
      <c r="J1061" s="174">
        <v>530000</v>
      </c>
      <c r="K1061" s="174"/>
      <c r="L1061" s="174"/>
      <c r="M1061" s="174"/>
      <c r="N1061" s="176"/>
    </row>
    <row r="1062" spans="1:14" x14ac:dyDescent="0.25">
      <c r="A1062" s="165">
        <v>45489</v>
      </c>
      <c r="B1062" s="166">
        <f t="shared" si="37"/>
        <v>7</v>
      </c>
      <c r="C1062" s="25">
        <f t="shared" si="36"/>
        <v>2024</v>
      </c>
      <c r="D1062" s="169" t="s">
        <v>124</v>
      </c>
      <c r="E1062" s="170" t="s">
        <v>93</v>
      </c>
      <c r="F1062" s="171"/>
      <c r="G1062" s="171" t="s">
        <v>554</v>
      </c>
      <c r="H1062" s="172" t="s">
        <v>130</v>
      </c>
      <c r="I1062" s="172"/>
      <c r="J1062" s="174"/>
      <c r="K1062" s="174">
        <v>461391.2</v>
      </c>
      <c r="L1062" s="174"/>
      <c r="M1062" s="174"/>
      <c r="N1062" s="176"/>
    </row>
    <row r="1063" spans="1:14" x14ac:dyDescent="0.25">
      <c r="A1063" s="165">
        <v>45489</v>
      </c>
      <c r="B1063" s="166">
        <f t="shared" si="37"/>
        <v>7</v>
      </c>
      <c r="C1063" s="25">
        <f t="shared" si="36"/>
        <v>2024</v>
      </c>
      <c r="D1063" s="169" t="s">
        <v>124</v>
      </c>
      <c r="E1063" s="170" t="s">
        <v>93</v>
      </c>
      <c r="F1063" s="171"/>
      <c r="G1063" s="171" t="s">
        <v>553</v>
      </c>
      <c r="H1063" s="172" t="s">
        <v>131</v>
      </c>
      <c r="I1063" s="172"/>
      <c r="J1063" s="174"/>
      <c r="K1063" s="174">
        <v>530000</v>
      </c>
      <c r="L1063" s="174"/>
      <c r="M1063" s="174"/>
      <c r="N1063" s="176"/>
    </row>
    <row r="1064" spans="1:14" x14ac:dyDescent="0.25">
      <c r="A1064" s="165">
        <v>45489</v>
      </c>
      <c r="B1064" s="166">
        <f t="shared" si="37"/>
        <v>7</v>
      </c>
      <c r="C1064" s="25">
        <f t="shared" si="36"/>
        <v>2024</v>
      </c>
      <c r="D1064" s="169" t="s">
        <v>507</v>
      </c>
      <c r="E1064" s="170" t="s">
        <v>92</v>
      </c>
      <c r="F1064" s="171" t="s">
        <v>899</v>
      </c>
      <c r="G1064" s="171"/>
      <c r="H1064" s="167" t="s">
        <v>92</v>
      </c>
      <c r="I1064" s="172"/>
      <c r="J1064" s="174"/>
      <c r="K1064" s="174">
        <v>159561.62</v>
      </c>
      <c r="L1064" s="174"/>
      <c r="M1064" s="174"/>
      <c r="N1064" s="176"/>
    </row>
    <row r="1065" spans="1:14" x14ac:dyDescent="0.25">
      <c r="A1065" s="165">
        <v>45489</v>
      </c>
      <c r="B1065" s="166">
        <f t="shared" si="37"/>
        <v>7</v>
      </c>
      <c r="C1065" s="25">
        <f t="shared" si="36"/>
        <v>2024</v>
      </c>
      <c r="D1065" s="169" t="s">
        <v>352</v>
      </c>
      <c r="E1065" s="170" t="s">
        <v>93</v>
      </c>
      <c r="F1065" s="171" t="s">
        <v>935</v>
      </c>
      <c r="G1065" s="171"/>
      <c r="H1065" s="172" t="s">
        <v>130</v>
      </c>
      <c r="I1065" s="172"/>
      <c r="J1065" s="174">
        <v>400000</v>
      </c>
      <c r="K1065" s="174"/>
      <c r="L1065" s="174"/>
      <c r="M1065" s="174"/>
      <c r="N1065" s="176"/>
    </row>
    <row r="1066" spans="1:14" x14ac:dyDescent="0.25">
      <c r="A1066" s="165">
        <v>45490</v>
      </c>
      <c r="B1066" s="166">
        <f t="shared" si="37"/>
        <v>7</v>
      </c>
      <c r="C1066" s="25">
        <f t="shared" si="36"/>
        <v>2024</v>
      </c>
      <c r="D1066" s="169" t="s">
        <v>352</v>
      </c>
      <c r="E1066" s="170" t="s">
        <v>93</v>
      </c>
      <c r="F1066" s="171" t="s">
        <v>150</v>
      </c>
      <c r="G1066" s="171"/>
      <c r="H1066" s="172" t="s">
        <v>131</v>
      </c>
      <c r="I1066" s="172"/>
      <c r="J1066" s="174">
        <v>540000</v>
      </c>
      <c r="K1066" s="174"/>
      <c r="L1066" s="174"/>
      <c r="M1066" s="174"/>
      <c r="N1066" s="176"/>
    </row>
    <row r="1067" spans="1:14" x14ac:dyDescent="0.25">
      <c r="A1067" s="165">
        <v>45490</v>
      </c>
      <c r="B1067" s="166">
        <f t="shared" si="37"/>
        <v>7</v>
      </c>
      <c r="C1067" s="25">
        <f t="shared" si="36"/>
        <v>2024</v>
      </c>
      <c r="D1067" s="169" t="s">
        <v>502</v>
      </c>
      <c r="E1067" s="170" t="s">
        <v>93</v>
      </c>
      <c r="F1067" s="171" t="s">
        <v>1005</v>
      </c>
      <c r="G1067" s="171"/>
      <c r="H1067" s="172" t="s">
        <v>545</v>
      </c>
      <c r="I1067" s="172"/>
      <c r="J1067" s="174"/>
      <c r="K1067" s="174">
        <v>1500000</v>
      </c>
      <c r="L1067" s="174"/>
      <c r="M1067" s="174"/>
      <c r="N1067" s="176"/>
    </row>
    <row r="1068" spans="1:14" x14ac:dyDescent="0.25">
      <c r="A1068" s="165">
        <v>45491</v>
      </c>
      <c r="B1068" s="166">
        <f t="shared" si="37"/>
        <v>7</v>
      </c>
      <c r="C1068" s="25">
        <f t="shared" si="36"/>
        <v>2024</v>
      </c>
      <c r="D1068" s="169" t="s">
        <v>124</v>
      </c>
      <c r="E1068" s="170" t="s">
        <v>93</v>
      </c>
      <c r="F1068" s="171"/>
      <c r="G1068" s="171" t="s">
        <v>1006</v>
      </c>
      <c r="H1068" s="172" t="s">
        <v>130</v>
      </c>
      <c r="I1068" s="172"/>
      <c r="J1068" s="174"/>
      <c r="K1068" s="174">
        <v>173200</v>
      </c>
      <c r="L1068" s="174"/>
      <c r="M1068" s="174"/>
      <c r="N1068" s="176"/>
    </row>
    <row r="1069" spans="1:14" x14ac:dyDescent="0.25">
      <c r="A1069" s="165">
        <v>45491</v>
      </c>
      <c r="B1069" s="166">
        <f t="shared" si="37"/>
        <v>7</v>
      </c>
      <c r="C1069" s="25">
        <f t="shared" si="36"/>
        <v>2024</v>
      </c>
      <c r="D1069" s="169" t="s">
        <v>352</v>
      </c>
      <c r="E1069" s="170" t="s">
        <v>93</v>
      </c>
      <c r="F1069" s="171" t="s">
        <v>577</v>
      </c>
      <c r="G1069" s="171"/>
      <c r="H1069" s="172" t="s">
        <v>130</v>
      </c>
      <c r="I1069" s="172"/>
      <c r="J1069" s="174">
        <v>234680</v>
      </c>
      <c r="K1069" s="174"/>
      <c r="L1069" s="174"/>
      <c r="M1069" s="174"/>
      <c r="N1069" s="176"/>
    </row>
    <row r="1070" spans="1:14" x14ac:dyDescent="0.25">
      <c r="A1070" s="165">
        <v>45491</v>
      </c>
      <c r="B1070" s="166">
        <f t="shared" si="37"/>
        <v>7</v>
      </c>
      <c r="C1070" s="25">
        <f t="shared" si="36"/>
        <v>2024</v>
      </c>
      <c r="D1070" s="169" t="s">
        <v>352</v>
      </c>
      <c r="E1070" s="170" t="s">
        <v>93</v>
      </c>
      <c r="F1070" s="171" t="s">
        <v>1007</v>
      </c>
      <c r="G1070" s="171"/>
      <c r="H1070" s="172" t="s">
        <v>545</v>
      </c>
      <c r="I1070" s="172"/>
      <c r="J1070" s="174">
        <v>340000</v>
      </c>
      <c r="K1070" s="174"/>
      <c r="L1070" s="174"/>
      <c r="M1070" s="174"/>
      <c r="N1070" s="176"/>
    </row>
    <row r="1071" spans="1:14" x14ac:dyDescent="0.25">
      <c r="A1071" s="165">
        <v>45493</v>
      </c>
      <c r="B1071" s="166">
        <f t="shared" si="37"/>
        <v>7</v>
      </c>
      <c r="C1071" s="25">
        <f t="shared" si="36"/>
        <v>2024</v>
      </c>
      <c r="D1071" s="169" t="s">
        <v>626</v>
      </c>
      <c r="E1071" s="170" t="s">
        <v>93</v>
      </c>
      <c r="F1071" s="171"/>
      <c r="G1071" s="171"/>
      <c r="H1071" s="172" t="s">
        <v>130</v>
      </c>
      <c r="I1071" s="172"/>
      <c r="J1071" s="174"/>
      <c r="K1071" s="174">
        <v>116000</v>
      </c>
      <c r="L1071" s="174"/>
      <c r="M1071" s="174"/>
      <c r="N1071" s="176"/>
    </row>
    <row r="1072" spans="1:14" x14ac:dyDescent="0.25">
      <c r="A1072" s="165">
        <v>45494</v>
      </c>
      <c r="B1072" s="166">
        <f t="shared" si="37"/>
        <v>7</v>
      </c>
      <c r="C1072" s="25">
        <f t="shared" si="36"/>
        <v>2024</v>
      </c>
      <c r="D1072" s="169" t="s">
        <v>92</v>
      </c>
      <c r="E1072" s="170" t="s">
        <v>92</v>
      </c>
      <c r="F1072" s="171" t="s">
        <v>624</v>
      </c>
      <c r="G1072" s="171"/>
      <c r="H1072" s="172" t="s">
        <v>92</v>
      </c>
      <c r="I1072" s="172"/>
      <c r="J1072" s="174"/>
      <c r="K1072" s="174">
        <v>93000</v>
      </c>
      <c r="L1072" s="174"/>
      <c r="M1072" s="174"/>
      <c r="N1072" s="176"/>
    </row>
    <row r="1073" spans="1:14" x14ac:dyDescent="0.25">
      <c r="A1073" s="165">
        <v>45495</v>
      </c>
      <c r="B1073" s="166">
        <f t="shared" si="37"/>
        <v>7</v>
      </c>
      <c r="C1073" s="25">
        <f t="shared" si="36"/>
        <v>2024</v>
      </c>
      <c r="D1073" s="169" t="s">
        <v>352</v>
      </c>
      <c r="E1073" s="170" t="s">
        <v>93</v>
      </c>
      <c r="F1073" s="171" t="s">
        <v>569</v>
      </c>
      <c r="G1073" s="171"/>
      <c r="H1073" s="172" t="s">
        <v>130</v>
      </c>
      <c r="I1073" s="172"/>
      <c r="J1073" s="174">
        <v>50000</v>
      </c>
      <c r="K1073" s="174"/>
      <c r="L1073" s="174"/>
      <c r="M1073" s="174"/>
      <c r="N1073" s="176"/>
    </row>
    <row r="1074" spans="1:14" x14ac:dyDescent="0.25">
      <c r="A1074" s="165">
        <v>45495</v>
      </c>
      <c r="B1074" s="166">
        <f t="shared" si="37"/>
        <v>7</v>
      </c>
      <c r="C1074" s="25">
        <f t="shared" si="36"/>
        <v>2024</v>
      </c>
      <c r="D1074" s="169" t="s">
        <v>505</v>
      </c>
      <c r="E1074" s="170" t="s">
        <v>92</v>
      </c>
      <c r="F1074" s="171" t="s">
        <v>794</v>
      </c>
      <c r="G1074" s="171"/>
      <c r="H1074" s="172" t="s">
        <v>92</v>
      </c>
      <c r="I1074" s="172"/>
      <c r="J1074" s="174"/>
      <c r="K1074" s="174">
        <v>33736</v>
      </c>
      <c r="L1074" s="174"/>
      <c r="M1074" s="174"/>
      <c r="N1074" s="176"/>
    </row>
    <row r="1075" spans="1:14" x14ac:dyDescent="0.25">
      <c r="A1075" s="165">
        <v>45496</v>
      </c>
      <c r="B1075" s="166">
        <f t="shared" si="37"/>
        <v>7</v>
      </c>
      <c r="C1075" s="25">
        <f t="shared" si="36"/>
        <v>2024</v>
      </c>
      <c r="D1075" s="169" t="s">
        <v>352</v>
      </c>
      <c r="E1075" s="170" t="s">
        <v>93</v>
      </c>
      <c r="F1075" s="171" t="s">
        <v>499</v>
      </c>
      <c r="G1075" s="171"/>
      <c r="H1075" s="172" t="s">
        <v>545</v>
      </c>
      <c r="I1075" s="172"/>
      <c r="J1075" s="174">
        <v>570600</v>
      </c>
      <c r="K1075" s="174"/>
      <c r="L1075" s="174"/>
      <c r="M1075" s="174"/>
      <c r="N1075" s="176"/>
    </row>
    <row r="1076" spans="1:14" x14ac:dyDescent="0.25">
      <c r="A1076" s="165">
        <v>45496</v>
      </c>
      <c r="B1076" s="166">
        <f t="shared" si="37"/>
        <v>7</v>
      </c>
      <c r="C1076" s="25">
        <f t="shared" si="36"/>
        <v>2024</v>
      </c>
      <c r="D1076" s="169" t="s">
        <v>92</v>
      </c>
      <c r="E1076" s="170" t="s">
        <v>92</v>
      </c>
      <c r="F1076" s="171"/>
      <c r="G1076" s="171"/>
      <c r="H1076" s="172" t="s">
        <v>92</v>
      </c>
      <c r="I1076" s="172"/>
      <c r="J1076" s="174"/>
      <c r="K1076" s="174">
        <v>16000</v>
      </c>
      <c r="L1076" s="174"/>
      <c r="M1076" s="174"/>
      <c r="N1076" s="176"/>
    </row>
    <row r="1077" spans="1:14" x14ac:dyDescent="0.25">
      <c r="A1077" s="165">
        <v>45496</v>
      </c>
      <c r="B1077" s="166">
        <f t="shared" si="37"/>
        <v>7</v>
      </c>
      <c r="C1077" s="25">
        <f t="shared" si="36"/>
        <v>2024</v>
      </c>
      <c r="D1077" s="169" t="s">
        <v>124</v>
      </c>
      <c r="E1077" s="170" t="s">
        <v>93</v>
      </c>
      <c r="F1077" s="171"/>
      <c r="G1077" s="171" t="s">
        <v>557</v>
      </c>
      <c r="H1077" s="172" t="s">
        <v>874</v>
      </c>
      <c r="I1077" s="172"/>
      <c r="J1077" s="174"/>
      <c r="K1077" s="174">
        <v>680000</v>
      </c>
      <c r="L1077" s="174"/>
      <c r="M1077" s="174"/>
      <c r="N1077" s="176"/>
    </row>
    <row r="1078" spans="1:14" x14ac:dyDescent="0.25">
      <c r="A1078" s="165">
        <v>45496</v>
      </c>
      <c r="B1078" s="166">
        <f t="shared" si="37"/>
        <v>7</v>
      </c>
      <c r="C1078" s="25">
        <f t="shared" si="36"/>
        <v>2024</v>
      </c>
      <c r="D1078" s="169" t="s">
        <v>352</v>
      </c>
      <c r="E1078" s="170" t="s">
        <v>93</v>
      </c>
      <c r="F1078" s="171" t="s">
        <v>1012</v>
      </c>
      <c r="G1078" s="171"/>
      <c r="H1078" s="172" t="s">
        <v>130</v>
      </c>
      <c r="I1078" s="172"/>
      <c r="J1078" s="174">
        <v>121000</v>
      </c>
      <c r="K1078" s="174"/>
      <c r="L1078" s="174"/>
      <c r="M1078" s="174"/>
      <c r="N1078" s="176"/>
    </row>
    <row r="1079" spans="1:14" x14ac:dyDescent="0.25">
      <c r="A1079" s="165">
        <v>45497</v>
      </c>
      <c r="B1079" s="166">
        <f t="shared" si="37"/>
        <v>7</v>
      </c>
      <c r="C1079" s="25">
        <f t="shared" si="36"/>
        <v>2024</v>
      </c>
      <c r="D1079" s="169" t="s">
        <v>352</v>
      </c>
      <c r="E1079" s="170" t="s">
        <v>93</v>
      </c>
      <c r="F1079" s="171" t="s">
        <v>1015</v>
      </c>
      <c r="G1079" s="171"/>
      <c r="H1079" s="172" t="s">
        <v>874</v>
      </c>
      <c r="I1079" s="172"/>
      <c r="J1079" s="174">
        <v>596300</v>
      </c>
      <c r="K1079" s="174"/>
      <c r="L1079" s="174"/>
      <c r="M1079" s="174"/>
      <c r="N1079" s="176"/>
    </row>
    <row r="1080" spans="1:14" x14ac:dyDescent="0.25">
      <c r="A1080" s="165">
        <v>45498</v>
      </c>
      <c r="B1080" s="166">
        <f t="shared" si="37"/>
        <v>7</v>
      </c>
      <c r="C1080" s="25">
        <f t="shared" si="36"/>
        <v>2024</v>
      </c>
      <c r="D1080" s="169" t="s">
        <v>352</v>
      </c>
      <c r="E1080" s="170" t="s">
        <v>93</v>
      </c>
      <c r="F1080" s="171" t="s">
        <v>1016</v>
      </c>
      <c r="G1080" s="171"/>
      <c r="H1080" s="172" t="s">
        <v>545</v>
      </c>
      <c r="I1080" s="172"/>
      <c r="J1080" s="174">
        <v>110000</v>
      </c>
      <c r="K1080" s="174"/>
      <c r="L1080" s="174"/>
      <c r="M1080" s="174"/>
      <c r="N1080" s="176"/>
    </row>
    <row r="1081" spans="1:14" x14ac:dyDescent="0.25">
      <c r="A1081" s="165">
        <v>45498</v>
      </c>
      <c r="B1081" s="166">
        <f t="shared" si="37"/>
        <v>7</v>
      </c>
      <c r="C1081" s="25">
        <f t="shared" si="36"/>
        <v>2024</v>
      </c>
      <c r="D1081" s="169" t="s">
        <v>352</v>
      </c>
      <c r="E1081" s="170" t="s">
        <v>93</v>
      </c>
      <c r="F1081" s="171" t="s">
        <v>828</v>
      </c>
      <c r="G1081" s="171"/>
      <c r="H1081" s="172" t="s">
        <v>130</v>
      </c>
      <c r="I1081" s="172"/>
      <c r="J1081" s="174">
        <v>245900</v>
      </c>
      <c r="K1081" s="174"/>
      <c r="L1081" s="174"/>
      <c r="M1081" s="174"/>
      <c r="N1081" s="176"/>
    </row>
    <row r="1082" spans="1:14" x14ac:dyDescent="0.25">
      <c r="A1082" s="165">
        <v>45498</v>
      </c>
      <c r="B1082" s="166">
        <f t="shared" si="37"/>
        <v>7</v>
      </c>
      <c r="C1082" s="25">
        <f t="shared" si="36"/>
        <v>2024</v>
      </c>
      <c r="D1082" s="169" t="s">
        <v>949</v>
      </c>
      <c r="E1082" s="170" t="s">
        <v>93</v>
      </c>
      <c r="F1082" s="171"/>
      <c r="G1082" s="171"/>
      <c r="H1082" s="172" t="s">
        <v>130</v>
      </c>
      <c r="I1082" s="172"/>
      <c r="J1082" s="174">
        <v>73100</v>
      </c>
      <c r="K1082" s="174"/>
      <c r="L1082" s="174"/>
      <c r="M1082" s="174"/>
      <c r="N1082" s="176"/>
    </row>
    <row r="1083" spans="1:14" x14ac:dyDescent="0.25">
      <c r="A1083" s="165">
        <v>45499</v>
      </c>
      <c r="B1083" s="166">
        <f t="shared" si="37"/>
        <v>7</v>
      </c>
      <c r="C1083" s="25">
        <f t="shared" si="36"/>
        <v>2024</v>
      </c>
      <c r="D1083" s="169" t="s">
        <v>352</v>
      </c>
      <c r="E1083" s="170" t="s">
        <v>93</v>
      </c>
      <c r="F1083" s="171" t="s">
        <v>1017</v>
      </c>
      <c r="G1083" s="171"/>
      <c r="H1083" s="172" t="s">
        <v>130</v>
      </c>
      <c r="I1083" s="172"/>
      <c r="J1083" s="174">
        <v>188680</v>
      </c>
      <c r="K1083" s="174"/>
      <c r="L1083" s="174"/>
      <c r="M1083" s="174"/>
      <c r="N1083" s="176"/>
    </row>
    <row r="1084" spans="1:14" x14ac:dyDescent="0.25">
      <c r="A1084" s="165">
        <v>45499</v>
      </c>
      <c r="B1084" s="166">
        <f t="shared" si="37"/>
        <v>7</v>
      </c>
      <c r="C1084" s="25">
        <f t="shared" si="36"/>
        <v>2024</v>
      </c>
      <c r="D1084" s="169" t="s">
        <v>352</v>
      </c>
      <c r="E1084" s="170" t="s">
        <v>93</v>
      </c>
      <c r="F1084" s="171" t="s">
        <v>1018</v>
      </c>
      <c r="G1084" s="171"/>
      <c r="H1084" s="172" t="s">
        <v>130</v>
      </c>
      <c r="I1084" s="172"/>
      <c r="J1084" s="174">
        <v>41900</v>
      </c>
      <c r="K1084" s="174"/>
      <c r="L1084" s="174"/>
      <c r="M1084" s="174"/>
      <c r="N1084" s="176"/>
    </row>
    <row r="1085" spans="1:14" x14ac:dyDescent="0.25">
      <c r="A1085" s="165">
        <v>45499</v>
      </c>
      <c r="B1085" s="166">
        <f t="shared" si="37"/>
        <v>7</v>
      </c>
      <c r="C1085" s="25">
        <f t="shared" si="36"/>
        <v>2024</v>
      </c>
      <c r="D1085" s="169" t="s">
        <v>92</v>
      </c>
      <c r="E1085" s="170" t="s">
        <v>92</v>
      </c>
      <c r="F1085" s="171"/>
      <c r="G1085" s="171"/>
      <c r="H1085" s="172" t="s">
        <v>92</v>
      </c>
      <c r="I1085" s="172"/>
      <c r="J1085" s="174"/>
      <c r="K1085" s="174">
        <v>200000</v>
      </c>
      <c r="L1085" s="174"/>
      <c r="M1085" s="174"/>
      <c r="N1085" s="176"/>
    </row>
    <row r="1086" spans="1:14" x14ac:dyDescent="0.25">
      <c r="A1086" s="165">
        <v>45500</v>
      </c>
      <c r="B1086" s="166">
        <f t="shared" si="37"/>
        <v>7</v>
      </c>
      <c r="C1086" s="25">
        <f t="shared" si="36"/>
        <v>2024</v>
      </c>
      <c r="D1086" s="169" t="s">
        <v>124</v>
      </c>
      <c r="E1086" s="170" t="s">
        <v>93</v>
      </c>
      <c r="F1086" s="171"/>
      <c r="G1086" s="171" t="s">
        <v>553</v>
      </c>
      <c r="H1086" s="172" t="s">
        <v>131</v>
      </c>
      <c r="I1086" s="172"/>
      <c r="J1086" s="174"/>
      <c r="K1086" s="174">
        <v>379270</v>
      </c>
      <c r="L1086" s="174"/>
      <c r="M1086" s="174"/>
      <c r="N1086" s="176"/>
    </row>
    <row r="1087" spans="1:14" x14ac:dyDescent="0.25">
      <c r="A1087" s="165">
        <v>45500</v>
      </c>
      <c r="B1087" s="166">
        <f t="shared" si="37"/>
        <v>7</v>
      </c>
      <c r="C1087" s="25">
        <f t="shared" ref="C1087:C1150" si="38">YEAR((A1087))</f>
        <v>2024</v>
      </c>
      <c r="D1087" s="169" t="s">
        <v>124</v>
      </c>
      <c r="E1087" s="170" t="s">
        <v>93</v>
      </c>
      <c r="F1087" s="171"/>
      <c r="G1087" s="171" t="s">
        <v>553</v>
      </c>
      <c r="H1087" s="172" t="s">
        <v>131</v>
      </c>
      <c r="I1087" s="172"/>
      <c r="J1087" s="174"/>
      <c r="K1087" s="174">
        <v>358640</v>
      </c>
      <c r="L1087" s="174"/>
      <c r="M1087" s="174"/>
      <c r="N1087" s="176"/>
    </row>
    <row r="1088" spans="1:14" x14ac:dyDescent="0.25">
      <c r="A1088" s="165">
        <v>45500</v>
      </c>
      <c r="B1088" s="166">
        <f t="shared" si="37"/>
        <v>7</v>
      </c>
      <c r="C1088" s="25">
        <f t="shared" si="38"/>
        <v>2024</v>
      </c>
      <c r="D1088" s="169" t="s">
        <v>124</v>
      </c>
      <c r="E1088" s="170" t="s">
        <v>93</v>
      </c>
      <c r="F1088" s="171"/>
      <c r="G1088" s="171" t="s">
        <v>553</v>
      </c>
      <c r="H1088" s="172" t="s">
        <v>131</v>
      </c>
      <c r="I1088" s="172"/>
      <c r="J1088" s="174"/>
      <c r="K1088" s="174">
        <v>358640</v>
      </c>
      <c r="L1088" s="174"/>
      <c r="M1088" s="174"/>
      <c r="N1088" s="176"/>
    </row>
    <row r="1089" spans="1:14" x14ac:dyDescent="0.25">
      <c r="A1089" s="165">
        <v>45500</v>
      </c>
      <c r="B1089" s="166">
        <f t="shared" si="37"/>
        <v>7</v>
      </c>
      <c r="C1089" s="25">
        <f t="shared" si="38"/>
        <v>2024</v>
      </c>
      <c r="D1089" s="169" t="s">
        <v>124</v>
      </c>
      <c r="E1089" s="170" t="s">
        <v>93</v>
      </c>
      <c r="F1089" s="171"/>
      <c r="G1089" s="171" t="s">
        <v>553</v>
      </c>
      <c r="H1089" s="172" t="s">
        <v>131</v>
      </c>
      <c r="I1089" s="172"/>
      <c r="J1089" s="174"/>
      <c r="K1089" s="174">
        <v>358640</v>
      </c>
      <c r="L1089" s="174"/>
      <c r="M1089" s="174"/>
      <c r="N1089" s="176"/>
    </row>
    <row r="1090" spans="1:14" x14ac:dyDescent="0.25">
      <c r="A1090" s="165">
        <v>45500</v>
      </c>
      <c r="B1090" s="166">
        <f t="shared" si="37"/>
        <v>7</v>
      </c>
      <c r="C1090" s="25">
        <f t="shared" si="38"/>
        <v>2024</v>
      </c>
      <c r="D1090" s="169" t="s">
        <v>124</v>
      </c>
      <c r="E1090" s="170" t="s">
        <v>93</v>
      </c>
      <c r="F1090" s="171"/>
      <c r="G1090" s="171" t="s">
        <v>553</v>
      </c>
      <c r="H1090" s="172" t="s">
        <v>131</v>
      </c>
      <c r="I1090" s="172"/>
      <c r="J1090" s="174"/>
      <c r="K1090" s="174">
        <v>363761.02</v>
      </c>
      <c r="L1090" s="174"/>
      <c r="M1090" s="174"/>
      <c r="N1090" s="176"/>
    </row>
    <row r="1091" spans="1:14" x14ac:dyDescent="0.25">
      <c r="A1091" s="165">
        <v>45500</v>
      </c>
      <c r="B1091" s="166">
        <f t="shared" ref="B1091:B1154" si="39">MONTH(A1091)</f>
        <v>7</v>
      </c>
      <c r="C1091" s="25">
        <f t="shared" si="38"/>
        <v>2024</v>
      </c>
      <c r="D1091" s="169" t="s">
        <v>124</v>
      </c>
      <c r="E1091" s="170" t="s">
        <v>93</v>
      </c>
      <c r="F1091" s="171"/>
      <c r="G1091" s="171" t="s">
        <v>553</v>
      </c>
      <c r="H1091" s="172" t="s">
        <v>131</v>
      </c>
      <c r="I1091" s="172"/>
      <c r="J1091" s="174"/>
      <c r="K1091" s="174">
        <v>363761.02</v>
      </c>
      <c r="L1091" s="174"/>
      <c r="M1091" s="174"/>
      <c r="N1091" s="176"/>
    </row>
    <row r="1092" spans="1:14" x14ac:dyDescent="0.25">
      <c r="A1092" s="165">
        <v>45500</v>
      </c>
      <c r="B1092" s="166">
        <f t="shared" si="39"/>
        <v>7</v>
      </c>
      <c r="C1092" s="25">
        <f t="shared" si="38"/>
        <v>2024</v>
      </c>
      <c r="D1092" s="169" t="s">
        <v>124</v>
      </c>
      <c r="E1092" s="170" t="s">
        <v>93</v>
      </c>
      <c r="F1092" s="171"/>
      <c r="G1092" s="171" t="s">
        <v>553</v>
      </c>
      <c r="H1092" s="172" t="s">
        <v>131</v>
      </c>
      <c r="I1092" s="172"/>
      <c r="J1092" s="174"/>
      <c r="K1092" s="174">
        <v>415930</v>
      </c>
      <c r="L1092" s="174"/>
      <c r="M1092" s="174"/>
      <c r="N1092" s="176"/>
    </row>
    <row r="1093" spans="1:14" x14ac:dyDescent="0.25">
      <c r="A1093" s="165">
        <v>45500</v>
      </c>
      <c r="B1093" s="166">
        <f t="shared" si="39"/>
        <v>7</v>
      </c>
      <c r="C1093" s="25">
        <f t="shared" si="38"/>
        <v>2024</v>
      </c>
      <c r="D1093" s="169" t="s">
        <v>124</v>
      </c>
      <c r="E1093" s="170" t="s">
        <v>93</v>
      </c>
      <c r="F1093" s="171"/>
      <c r="G1093" s="171" t="s">
        <v>553</v>
      </c>
      <c r="H1093" s="172" t="s">
        <v>131</v>
      </c>
      <c r="I1093" s="172"/>
      <c r="J1093" s="174"/>
      <c r="K1093" s="174">
        <v>540000</v>
      </c>
      <c r="L1093" s="174"/>
      <c r="M1093" s="174"/>
      <c r="N1093" s="176"/>
    </row>
    <row r="1094" spans="1:14" x14ac:dyDescent="0.25">
      <c r="A1094" s="165">
        <v>45502</v>
      </c>
      <c r="B1094" s="166">
        <f t="shared" si="39"/>
        <v>7</v>
      </c>
      <c r="C1094" s="25">
        <f t="shared" si="38"/>
        <v>2024</v>
      </c>
      <c r="D1094" s="169" t="s">
        <v>352</v>
      </c>
      <c r="E1094" s="170" t="s">
        <v>93</v>
      </c>
      <c r="F1094" s="171" t="s">
        <v>898</v>
      </c>
      <c r="G1094" s="171"/>
      <c r="H1094" s="172" t="s">
        <v>130</v>
      </c>
      <c r="I1094" s="172"/>
      <c r="J1094" s="174">
        <v>100000</v>
      </c>
      <c r="K1094" s="174"/>
      <c r="L1094" s="174"/>
      <c r="M1094" s="174"/>
      <c r="N1094" s="176"/>
    </row>
    <row r="1095" spans="1:14" x14ac:dyDescent="0.25">
      <c r="A1095" s="165">
        <v>45502</v>
      </c>
      <c r="B1095" s="166">
        <f t="shared" si="39"/>
        <v>7</v>
      </c>
      <c r="C1095" s="25">
        <f t="shared" si="38"/>
        <v>2024</v>
      </c>
      <c r="D1095" s="169" t="s">
        <v>124</v>
      </c>
      <c r="E1095" s="170" t="s">
        <v>93</v>
      </c>
      <c r="F1095" s="171" t="s">
        <v>903</v>
      </c>
      <c r="G1095" s="171"/>
      <c r="H1095" s="172" t="s">
        <v>130</v>
      </c>
      <c r="I1095" s="172"/>
      <c r="J1095" s="174"/>
      <c r="K1095" s="174">
        <v>20000</v>
      </c>
      <c r="L1095" s="174"/>
      <c r="M1095" s="174"/>
      <c r="N1095" s="176"/>
    </row>
    <row r="1096" spans="1:14" x14ac:dyDescent="0.25">
      <c r="A1096" s="165">
        <v>45502</v>
      </c>
      <c r="B1096" s="166">
        <f t="shared" si="39"/>
        <v>7</v>
      </c>
      <c r="C1096" s="25">
        <f t="shared" si="38"/>
        <v>2024</v>
      </c>
      <c r="D1096" s="169" t="s">
        <v>92</v>
      </c>
      <c r="E1096" s="170" t="s">
        <v>92</v>
      </c>
      <c r="F1096" s="171"/>
      <c r="G1096" s="171"/>
      <c r="H1096" s="172" t="s">
        <v>92</v>
      </c>
      <c r="I1096" s="172"/>
      <c r="J1096" s="174"/>
      <c r="K1096" s="174">
        <v>180000</v>
      </c>
      <c r="L1096" s="174"/>
      <c r="M1096" s="174"/>
      <c r="N1096" s="176"/>
    </row>
    <row r="1097" spans="1:14" x14ac:dyDescent="0.25">
      <c r="A1097" s="165">
        <v>45502</v>
      </c>
      <c r="B1097" s="166">
        <f t="shared" si="39"/>
        <v>7</v>
      </c>
      <c r="C1097" s="25">
        <f t="shared" si="38"/>
        <v>2024</v>
      </c>
      <c r="D1097" s="169" t="s">
        <v>92</v>
      </c>
      <c r="E1097" s="170" t="s">
        <v>92</v>
      </c>
      <c r="F1097" s="171" t="s">
        <v>545</v>
      </c>
      <c r="G1097" s="171"/>
      <c r="H1097" s="172" t="s">
        <v>92</v>
      </c>
      <c r="I1097" s="172"/>
      <c r="J1097" s="174"/>
      <c r="K1097" s="174">
        <v>120361</v>
      </c>
      <c r="L1097" s="174"/>
      <c r="M1097" s="174"/>
      <c r="N1097" s="176"/>
    </row>
    <row r="1098" spans="1:14" x14ac:dyDescent="0.25">
      <c r="A1098" s="165">
        <v>45503</v>
      </c>
      <c r="B1098" s="166">
        <f t="shared" si="39"/>
        <v>7</v>
      </c>
      <c r="C1098" s="25">
        <f t="shared" si="38"/>
        <v>2024</v>
      </c>
      <c r="D1098" s="169" t="s">
        <v>124</v>
      </c>
      <c r="E1098" s="170" t="s">
        <v>93</v>
      </c>
      <c r="F1098" s="171"/>
      <c r="G1098" s="171" t="s">
        <v>557</v>
      </c>
      <c r="H1098" s="172" t="s">
        <v>130</v>
      </c>
      <c r="I1098" s="172"/>
      <c r="J1098" s="174"/>
      <c r="K1098" s="174">
        <v>190907</v>
      </c>
      <c r="L1098" s="174"/>
      <c r="M1098" s="174"/>
      <c r="N1098" s="176"/>
    </row>
    <row r="1099" spans="1:14" x14ac:dyDescent="0.25">
      <c r="A1099" s="165">
        <v>45503</v>
      </c>
      <c r="B1099" s="166">
        <f t="shared" si="39"/>
        <v>7</v>
      </c>
      <c r="C1099" s="25">
        <f t="shared" si="38"/>
        <v>2024</v>
      </c>
      <c r="D1099" s="169" t="s">
        <v>352</v>
      </c>
      <c r="E1099" s="170" t="s">
        <v>93</v>
      </c>
      <c r="F1099" s="171" t="s">
        <v>1022</v>
      </c>
      <c r="G1099" s="171"/>
      <c r="H1099" s="172" t="s">
        <v>130</v>
      </c>
      <c r="I1099" s="172"/>
      <c r="J1099" s="174">
        <v>83600</v>
      </c>
      <c r="K1099" s="174"/>
      <c r="L1099" s="174"/>
      <c r="M1099" s="174"/>
      <c r="N1099" s="176"/>
    </row>
    <row r="1100" spans="1:14" x14ac:dyDescent="0.25">
      <c r="A1100" s="165">
        <v>45503</v>
      </c>
      <c r="B1100" s="166">
        <f t="shared" si="39"/>
        <v>7</v>
      </c>
      <c r="C1100" s="25">
        <f t="shared" si="38"/>
        <v>2024</v>
      </c>
      <c r="D1100" s="169" t="s">
        <v>352</v>
      </c>
      <c r="E1100" s="170" t="s">
        <v>93</v>
      </c>
      <c r="F1100" s="171"/>
      <c r="G1100" s="171"/>
      <c r="H1100" s="172" t="s">
        <v>130</v>
      </c>
      <c r="I1100" s="172"/>
      <c r="J1100" s="174">
        <v>210300</v>
      </c>
      <c r="K1100" s="174"/>
      <c r="L1100" s="174"/>
      <c r="M1100" s="174"/>
      <c r="N1100" s="176"/>
    </row>
    <row r="1101" spans="1:14" x14ac:dyDescent="0.25">
      <c r="A1101" s="165">
        <v>45503</v>
      </c>
      <c r="B1101" s="166">
        <f t="shared" si="39"/>
        <v>7</v>
      </c>
      <c r="C1101" s="25">
        <f t="shared" si="38"/>
        <v>2024</v>
      </c>
      <c r="D1101" s="169" t="s">
        <v>352</v>
      </c>
      <c r="E1101" s="170" t="s">
        <v>93</v>
      </c>
      <c r="F1101" s="171" t="s">
        <v>908</v>
      </c>
      <c r="G1101" s="171"/>
      <c r="H1101" s="172" t="s">
        <v>130</v>
      </c>
      <c r="I1101" s="172"/>
      <c r="J1101" s="174">
        <v>86000</v>
      </c>
      <c r="K1101" s="174"/>
      <c r="L1101" s="174"/>
      <c r="M1101" s="174"/>
      <c r="N1101" s="176"/>
    </row>
    <row r="1102" spans="1:14" x14ac:dyDescent="0.25">
      <c r="A1102" s="165">
        <v>45504</v>
      </c>
      <c r="B1102" s="166">
        <f t="shared" si="39"/>
        <v>7</v>
      </c>
      <c r="C1102" s="25">
        <f t="shared" si="38"/>
        <v>2024</v>
      </c>
      <c r="D1102" s="169" t="s">
        <v>352</v>
      </c>
      <c r="E1102" s="170" t="s">
        <v>93</v>
      </c>
      <c r="F1102" s="171" t="s">
        <v>847</v>
      </c>
      <c r="G1102" s="171"/>
      <c r="H1102" s="172" t="s">
        <v>545</v>
      </c>
      <c r="I1102" s="172"/>
      <c r="J1102" s="174">
        <v>365155</v>
      </c>
      <c r="K1102" s="174"/>
      <c r="L1102" s="174"/>
      <c r="M1102" s="174"/>
      <c r="N1102" s="176"/>
    </row>
    <row r="1103" spans="1:14" x14ac:dyDescent="0.25">
      <c r="A1103" s="165">
        <v>45504</v>
      </c>
      <c r="B1103" s="166">
        <f t="shared" si="39"/>
        <v>7</v>
      </c>
      <c r="C1103" s="25">
        <f t="shared" si="38"/>
        <v>2024</v>
      </c>
      <c r="D1103" s="169" t="s">
        <v>352</v>
      </c>
      <c r="E1103" s="170" t="s">
        <v>93</v>
      </c>
      <c r="F1103" s="171" t="s">
        <v>144</v>
      </c>
      <c r="G1103" s="171"/>
      <c r="H1103" s="172" t="s">
        <v>545</v>
      </c>
      <c r="I1103" s="172"/>
      <c r="J1103" s="174">
        <v>89000</v>
      </c>
      <c r="K1103" s="174"/>
      <c r="L1103" s="174"/>
      <c r="M1103" s="174"/>
      <c r="N1103" s="176"/>
    </row>
    <row r="1104" spans="1:14" x14ac:dyDescent="0.25">
      <c r="A1104" s="165">
        <v>45504</v>
      </c>
      <c r="B1104" s="166">
        <f t="shared" si="39"/>
        <v>7</v>
      </c>
      <c r="C1104" s="25">
        <f t="shared" si="38"/>
        <v>2024</v>
      </c>
      <c r="D1104" s="169" t="s">
        <v>352</v>
      </c>
      <c r="E1104" s="170" t="s">
        <v>93</v>
      </c>
      <c r="F1104" s="171" t="s">
        <v>799</v>
      </c>
      <c r="G1104" s="171"/>
      <c r="H1104" s="172" t="s">
        <v>130</v>
      </c>
      <c r="I1104" s="172"/>
      <c r="J1104" s="174">
        <v>200000</v>
      </c>
      <c r="K1104" s="174"/>
      <c r="L1104" s="174"/>
      <c r="M1104" s="174"/>
      <c r="N1104" s="176"/>
    </row>
    <row r="1105" spans="1:14" x14ac:dyDescent="0.25">
      <c r="A1105" s="165">
        <v>45504</v>
      </c>
      <c r="B1105" s="166">
        <f t="shared" si="39"/>
        <v>7</v>
      </c>
      <c r="C1105" s="25">
        <f t="shared" si="38"/>
        <v>2024</v>
      </c>
      <c r="D1105" s="169" t="s">
        <v>124</v>
      </c>
      <c r="E1105" s="170" t="s">
        <v>93</v>
      </c>
      <c r="F1105" s="171" t="s">
        <v>1023</v>
      </c>
      <c r="G1105" s="171"/>
      <c r="H1105" s="172" t="s">
        <v>130</v>
      </c>
      <c r="I1105" s="172"/>
      <c r="J1105" s="174"/>
      <c r="K1105" s="174">
        <v>211000</v>
      </c>
      <c r="L1105" s="174"/>
      <c r="M1105" s="174"/>
      <c r="N1105" s="176"/>
    </row>
    <row r="1106" spans="1:14" x14ac:dyDescent="0.25">
      <c r="A1106" s="165">
        <v>45504</v>
      </c>
      <c r="B1106" s="166">
        <f t="shared" si="39"/>
        <v>7</v>
      </c>
      <c r="C1106" s="25">
        <f t="shared" si="38"/>
        <v>2024</v>
      </c>
      <c r="D1106" s="169" t="s">
        <v>352</v>
      </c>
      <c r="E1106" s="170" t="s">
        <v>93</v>
      </c>
      <c r="F1106" s="171" t="s">
        <v>583</v>
      </c>
      <c r="G1106" s="171"/>
      <c r="H1106" s="172" t="s">
        <v>131</v>
      </c>
      <c r="I1106" s="172"/>
      <c r="J1106" s="174">
        <v>250000</v>
      </c>
      <c r="K1106" s="174"/>
      <c r="L1106" s="174"/>
      <c r="M1106" s="174"/>
      <c r="N1106" s="176"/>
    </row>
    <row r="1107" spans="1:14" x14ac:dyDescent="0.25">
      <c r="A1107" s="165">
        <v>45504</v>
      </c>
      <c r="B1107" s="166">
        <f t="shared" si="39"/>
        <v>7</v>
      </c>
      <c r="C1107" s="25">
        <f t="shared" si="38"/>
        <v>2024</v>
      </c>
      <c r="D1107" s="169" t="s">
        <v>352</v>
      </c>
      <c r="E1107" s="170" t="s">
        <v>93</v>
      </c>
      <c r="F1107" s="171" t="s">
        <v>1024</v>
      </c>
      <c r="G1107" s="171"/>
      <c r="H1107" s="172" t="s">
        <v>130</v>
      </c>
      <c r="I1107" s="172"/>
      <c r="J1107" s="174">
        <v>75500</v>
      </c>
      <c r="K1107" s="174"/>
      <c r="L1107" s="174"/>
      <c r="M1107" s="174"/>
      <c r="N1107" s="176"/>
    </row>
    <row r="1108" spans="1:14" x14ac:dyDescent="0.25">
      <c r="A1108" s="165">
        <v>45504</v>
      </c>
      <c r="B1108" s="166">
        <f t="shared" si="39"/>
        <v>7</v>
      </c>
      <c r="C1108" s="25">
        <f t="shared" si="38"/>
        <v>2024</v>
      </c>
      <c r="D1108" s="169" t="s">
        <v>352</v>
      </c>
      <c r="E1108" s="170" t="s">
        <v>93</v>
      </c>
      <c r="F1108" s="171" t="s">
        <v>972</v>
      </c>
      <c r="G1108" s="171"/>
      <c r="H1108" s="172" t="s">
        <v>130</v>
      </c>
      <c r="I1108" s="172"/>
      <c r="J1108" s="174">
        <v>87000</v>
      </c>
      <c r="K1108" s="174"/>
      <c r="L1108" s="174"/>
      <c r="M1108" s="174"/>
      <c r="N1108" s="176"/>
    </row>
    <row r="1109" spans="1:14" x14ac:dyDescent="0.25">
      <c r="A1109" s="165">
        <v>45504</v>
      </c>
      <c r="B1109" s="166">
        <f t="shared" si="39"/>
        <v>7</v>
      </c>
      <c r="C1109" s="25">
        <f t="shared" si="38"/>
        <v>2024</v>
      </c>
      <c r="D1109" s="169" t="s">
        <v>352</v>
      </c>
      <c r="E1109" s="170" t="s">
        <v>93</v>
      </c>
      <c r="F1109" s="171" t="s">
        <v>1028</v>
      </c>
      <c r="G1109" s="171"/>
      <c r="H1109" s="172" t="s">
        <v>130</v>
      </c>
      <c r="I1109" s="172"/>
      <c r="J1109" s="174">
        <v>105000</v>
      </c>
      <c r="K1109" s="174"/>
      <c r="L1109" s="174"/>
      <c r="M1109" s="174"/>
      <c r="N1109" s="176"/>
    </row>
    <row r="1110" spans="1:14" x14ac:dyDescent="0.25">
      <c r="A1110" s="165">
        <v>45505</v>
      </c>
      <c r="B1110" s="166">
        <f t="shared" si="39"/>
        <v>8</v>
      </c>
      <c r="C1110" s="25">
        <f t="shared" si="38"/>
        <v>2024</v>
      </c>
      <c r="D1110" s="169" t="s">
        <v>124</v>
      </c>
      <c r="E1110" s="170" t="s">
        <v>93</v>
      </c>
      <c r="F1110" s="171"/>
      <c r="G1110" s="171" t="s">
        <v>557</v>
      </c>
      <c r="H1110" s="172" t="s">
        <v>131</v>
      </c>
      <c r="I1110" s="172"/>
      <c r="J1110" s="174"/>
      <c r="K1110" s="174">
        <v>250000</v>
      </c>
      <c r="L1110" s="174"/>
      <c r="M1110" s="174"/>
      <c r="N1110" s="176"/>
    </row>
    <row r="1111" spans="1:14" x14ac:dyDescent="0.25">
      <c r="A1111" s="165">
        <v>45505</v>
      </c>
      <c r="B1111" s="166">
        <f t="shared" si="39"/>
        <v>8</v>
      </c>
      <c r="C1111" s="25">
        <f t="shared" si="38"/>
        <v>2024</v>
      </c>
      <c r="D1111" s="169" t="s">
        <v>352</v>
      </c>
      <c r="E1111" s="170" t="s">
        <v>93</v>
      </c>
      <c r="F1111" s="171" t="s">
        <v>1026</v>
      </c>
      <c r="G1111" s="171"/>
      <c r="H1111" s="172" t="s">
        <v>130</v>
      </c>
      <c r="I1111" s="172"/>
      <c r="J1111" s="174">
        <v>300000</v>
      </c>
      <c r="K1111" s="174"/>
      <c r="L1111" s="174"/>
      <c r="M1111" s="174"/>
      <c r="N1111" s="176"/>
    </row>
    <row r="1112" spans="1:14" x14ac:dyDescent="0.25">
      <c r="A1112" s="165">
        <v>45506</v>
      </c>
      <c r="B1112" s="166">
        <f t="shared" si="39"/>
        <v>8</v>
      </c>
      <c r="C1112" s="25">
        <f t="shared" si="38"/>
        <v>2024</v>
      </c>
      <c r="D1112" s="169" t="s">
        <v>626</v>
      </c>
      <c r="E1112" s="170" t="s">
        <v>93</v>
      </c>
      <c r="F1112" s="171"/>
      <c r="G1112" s="171"/>
      <c r="H1112" s="172" t="s">
        <v>130</v>
      </c>
      <c r="I1112" s="172"/>
      <c r="J1112" s="174"/>
      <c r="K1112" s="174">
        <v>125000</v>
      </c>
      <c r="L1112" s="174"/>
      <c r="M1112" s="174"/>
      <c r="N1112" s="176"/>
    </row>
    <row r="1113" spans="1:14" x14ac:dyDescent="0.25">
      <c r="A1113" s="165">
        <v>45506</v>
      </c>
      <c r="B1113" s="166">
        <f t="shared" si="39"/>
        <v>8</v>
      </c>
      <c r="C1113" s="25">
        <f t="shared" si="38"/>
        <v>2024</v>
      </c>
      <c r="D1113" s="169" t="s">
        <v>502</v>
      </c>
      <c r="E1113" s="170" t="s">
        <v>93</v>
      </c>
      <c r="F1113" s="171" t="s">
        <v>1029</v>
      </c>
      <c r="G1113" s="171"/>
      <c r="H1113" s="172" t="s">
        <v>130</v>
      </c>
      <c r="I1113" s="172"/>
      <c r="J1113" s="174"/>
      <c r="K1113" s="174">
        <v>70000</v>
      </c>
      <c r="L1113" s="174"/>
      <c r="M1113" s="174"/>
      <c r="N1113" s="176"/>
    </row>
    <row r="1114" spans="1:14" x14ac:dyDescent="0.25">
      <c r="A1114" s="165">
        <v>45506</v>
      </c>
      <c r="B1114" s="166">
        <f t="shared" si="39"/>
        <v>8</v>
      </c>
      <c r="C1114" s="25">
        <f t="shared" si="38"/>
        <v>2024</v>
      </c>
      <c r="D1114" s="169" t="s">
        <v>92</v>
      </c>
      <c r="E1114" s="170" t="s">
        <v>92</v>
      </c>
      <c r="F1114" s="171" t="s">
        <v>841</v>
      </c>
      <c r="G1114" s="171"/>
      <c r="H1114" s="172" t="s">
        <v>92</v>
      </c>
      <c r="I1114" s="172"/>
      <c r="J1114" s="174"/>
      <c r="K1114" s="174">
        <v>55000</v>
      </c>
      <c r="L1114" s="174"/>
      <c r="M1114" s="174"/>
      <c r="N1114" s="176"/>
    </row>
    <row r="1115" spans="1:14" x14ac:dyDescent="0.25">
      <c r="A1115" s="165">
        <v>45506</v>
      </c>
      <c r="B1115" s="166">
        <f t="shared" si="39"/>
        <v>8</v>
      </c>
      <c r="C1115" s="25">
        <f t="shared" si="38"/>
        <v>2024</v>
      </c>
      <c r="D1115" s="169" t="s">
        <v>352</v>
      </c>
      <c r="E1115" s="170" t="s">
        <v>93</v>
      </c>
      <c r="F1115" s="171" t="s">
        <v>1034</v>
      </c>
      <c r="G1115" s="171"/>
      <c r="H1115" s="172" t="s">
        <v>130</v>
      </c>
      <c r="I1115" s="172"/>
      <c r="J1115" s="174">
        <v>184480</v>
      </c>
      <c r="K1115" s="174"/>
      <c r="L1115" s="174"/>
      <c r="M1115" s="174"/>
      <c r="N1115" s="176"/>
    </row>
    <row r="1116" spans="1:14" x14ac:dyDescent="0.25">
      <c r="A1116" s="165">
        <v>45506</v>
      </c>
      <c r="B1116" s="166">
        <f t="shared" si="39"/>
        <v>8</v>
      </c>
      <c r="C1116" s="25">
        <f t="shared" si="38"/>
        <v>2024</v>
      </c>
      <c r="D1116" s="169" t="s">
        <v>92</v>
      </c>
      <c r="E1116" s="170" t="s">
        <v>92</v>
      </c>
      <c r="F1116" s="171" t="s">
        <v>1042</v>
      </c>
      <c r="G1116" s="171"/>
      <c r="H1116" s="172" t="s">
        <v>92</v>
      </c>
      <c r="I1116" s="172"/>
      <c r="J1116" s="174"/>
      <c r="K1116" s="174">
        <v>833776</v>
      </c>
      <c r="L1116" s="174"/>
      <c r="M1116" s="174"/>
      <c r="N1116" s="176"/>
    </row>
    <row r="1117" spans="1:14" x14ac:dyDescent="0.25">
      <c r="A1117" s="165">
        <v>45507</v>
      </c>
      <c r="B1117" s="166">
        <f t="shared" si="39"/>
        <v>8</v>
      </c>
      <c r="C1117" s="25">
        <f t="shared" si="38"/>
        <v>2024</v>
      </c>
      <c r="D1117" s="169" t="s">
        <v>149</v>
      </c>
      <c r="E1117" s="170" t="s">
        <v>93</v>
      </c>
      <c r="F1117" s="171" t="s">
        <v>593</v>
      </c>
      <c r="G1117" s="171"/>
      <c r="H1117" s="172" t="s">
        <v>130</v>
      </c>
      <c r="I1117" s="172"/>
      <c r="J1117" s="174"/>
      <c r="K1117" s="174">
        <v>200000</v>
      </c>
      <c r="L1117" s="174"/>
      <c r="M1117" s="174"/>
      <c r="N1117" s="176"/>
    </row>
    <row r="1118" spans="1:14" x14ac:dyDescent="0.25">
      <c r="A1118" s="165">
        <v>45509</v>
      </c>
      <c r="B1118" s="166">
        <f t="shared" si="39"/>
        <v>8</v>
      </c>
      <c r="C1118" s="25">
        <f t="shared" si="38"/>
        <v>2024</v>
      </c>
      <c r="D1118" s="169" t="s">
        <v>352</v>
      </c>
      <c r="E1118" s="170" t="s">
        <v>93</v>
      </c>
      <c r="F1118" s="171" t="s">
        <v>512</v>
      </c>
      <c r="G1118" s="171"/>
      <c r="H1118" s="172" t="s">
        <v>131</v>
      </c>
      <c r="I1118" s="172"/>
      <c r="J1118" s="174">
        <v>481025.49</v>
      </c>
      <c r="K1118" s="174"/>
      <c r="L1118" s="174"/>
      <c r="M1118" s="174"/>
      <c r="N1118" s="176"/>
    </row>
    <row r="1119" spans="1:14" x14ac:dyDescent="0.25">
      <c r="A1119" s="165">
        <v>45509</v>
      </c>
      <c r="B1119" s="166">
        <f t="shared" si="39"/>
        <v>8</v>
      </c>
      <c r="C1119" s="25">
        <f t="shared" si="38"/>
        <v>2024</v>
      </c>
      <c r="D1119" s="169" t="s">
        <v>352</v>
      </c>
      <c r="E1119" s="170" t="s">
        <v>93</v>
      </c>
      <c r="F1119" s="171" t="s">
        <v>512</v>
      </c>
      <c r="G1119" s="171"/>
      <c r="H1119" s="172" t="s">
        <v>131</v>
      </c>
      <c r="I1119" s="172"/>
      <c r="J1119" s="174">
        <v>40000.01</v>
      </c>
      <c r="K1119" s="174"/>
      <c r="L1119" s="174"/>
      <c r="M1119" s="174"/>
      <c r="N1119" s="176"/>
    </row>
    <row r="1120" spans="1:14" x14ac:dyDescent="0.25">
      <c r="A1120" s="165">
        <v>45509</v>
      </c>
      <c r="B1120" s="166">
        <f t="shared" si="39"/>
        <v>8</v>
      </c>
      <c r="C1120" s="25">
        <f t="shared" si="38"/>
        <v>2024</v>
      </c>
      <c r="D1120" s="169" t="s">
        <v>352</v>
      </c>
      <c r="E1120" s="170" t="s">
        <v>93</v>
      </c>
      <c r="F1120" s="171" t="s">
        <v>1036</v>
      </c>
      <c r="G1120" s="171"/>
      <c r="H1120" s="172" t="s">
        <v>130</v>
      </c>
      <c r="I1120" s="172"/>
      <c r="J1120" s="174">
        <v>374200</v>
      </c>
      <c r="K1120" s="174"/>
      <c r="L1120" s="174"/>
      <c r="M1120" s="174"/>
      <c r="N1120" s="176"/>
    </row>
    <row r="1121" spans="1:14" x14ac:dyDescent="0.25">
      <c r="A1121" s="165">
        <v>45509</v>
      </c>
      <c r="B1121" s="166">
        <f t="shared" si="39"/>
        <v>8</v>
      </c>
      <c r="C1121" s="25">
        <f t="shared" si="38"/>
        <v>2024</v>
      </c>
      <c r="D1121" s="169" t="s">
        <v>92</v>
      </c>
      <c r="E1121" s="170" t="s">
        <v>92</v>
      </c>
      <c r="F1121" s="171" t="s">
        <v>630</v>
      </c>
      <c r="G1121" s="171"/>
      <c r="H1121" s="172" t="s">
        <v>92</v>
      </c>
      <c r="I1121" s="172"/>
      <c r="J1121" s="174"/>
      <c r="K1121" s="174">
        <v>20535.810000000001</v>
      </c>
      <c r="L1121" s="174"/>
      <c r="M1121" s="174"/>
      <c r="N1121" s="176"/>
    </row>
    <row r="1122" spans="1:14" x14ac:dyDescent="0.25">
      <c r="A1122" s="165">
        <v>45509</v>
      </c>
      <c r="B1122" s="166">
        <f t="shared" si="39"/>
        <v>8</v>
      </c>
      <c r="C1122" s="25">
        <f t="shared" si="38"/>
        <v>2024</v>
      </c>
      <c r="D1122" s="169" t="s">
        <v>92</v>
      </c>
      <c r="E1122" s="170" t="s">
        <v>92</v>
      </c>
      <c r="F1122" s="171" t="s">
        <v>139</v>
      </c>
      <c r="G1122" s="171"/>
      <c r="H1122" s="172" t="s">
        <v>92</v>
      </c>
      <c r="I1122" s="172"/>
      <c r="J1122" s="174"/>
      <c r="K1122" s="174">
        <v>46005.33</v>
      </c>
      <c r="L1122" s="174"/>
      <c r="M1122" s="174"/>
      <c r="N1122" s="176"/>
    </row>
    <row r="1123" spans="1:14" x14ac:dyDescent="0.25">
      <c r="A1123" s="165">
        <v>45509</v>
      </c>
      <c r="B1123" s="166">
        <f t="shared" si="39"/>
        <v>8</v>
      </c>
      <c r="C1123" s="25">
        <f t="shared" si="38"/>
        <v>2024</v>
      </c>
      <c r="D1123" s="169" t="s">
        <v>92</v>
      </c>
      <c r="E1123" s="170" t="s">
        <v>92</v>
      </c>
      <c r="F1123" s="171" t="s">
        <v>172</v>
      </c>
      <c r="G1123" s="171"/>
      <c r="H1123" s="172" t="s">
        <v>92</v>
      </c>
      <c r="I1123" s="172"/>
      <c r="J1123" s="174"/>
      <c r="K1123" s="174">
        <v>140005.26</v>
      </c>
      <c r="L1123" s="174"/>
      <c r="M1123" s="174"/>
      <c r="N1123" s="176"/>
    </row>
    <row r="1124" spans="1:14" x14ac:dyDescent="0.25">
      <c r="A1124" s="165">
        <v>45509</v>
      </c>
      <c r="B1124" s="166">
        <f t="shared" si="39"/>
        <v>8</v>
      </c>
      <c r="C1124" s="25">
        <f t="shared" si="38"/>
        <v>2024</v>
      </c>
      <c r="D1124" s="169" t="s">
        <v>92</v>
      </c>
      <c r="E1124" s="170" t="s">
        <v>92</v>
      </c>
      <c r="F1124" s="171" t="s">
        <v>174</v>
      </c>
      <c r="G1124" s="171"/>
      <c r="H1124" s="172" t="s">
        <v>92</v>
      </c>
      <c r="I1124" s="172"/>
      <c r="J1124" s="174"/>
      <c r="K1124" s="174">
        <v>61912</v>
      </c>
      <c r="L1124" s="174"/>
      <c r="M1124" s="174"/>
      <c r="N1124" s="176"/>
    </row>
    <row r="1125" spans="1:14" x14ac:dyDescent="0.25">
      <c r="A1125" s="165">
        <v>45509</v>
      </c>
      <c r="B1125" s="166">
        <f t="shared" si="39"/>
        <v>8</v>
      </c>
      <c r="C1125" s="25">
        <f t="shared" si="38"/>
        <v>2024</v>
      </c>
      <c r="D1125" s="169" t="s">
        <v>92</v>
      </c>
      <c r="E1125" s="170" t="s">
        <v>92</v>
      </c>
      <c r="F1125" s="171" t="s">
        <v>174</v>
      </c>
      <c r="G1125" s="171"/>
      <c r="H1125" s="172" t="s">
        <v>92</v>
      </c>
      <c r="I1125" s="172"/>
      <c r="J1125" s="174"/>
      <c r="K1125" s="174">
        <v>69680</v>
      </c>
      <c r="L1125" s="174"/>
      <c r="M1125" s="174"/>
      <c r="N1125" s="176"/>
    </row>
    <row r="1126" spans="1:14" x14ac:dyDescent="0.25">
      <c r="A1126" s="165">
        <v>45510</v>
      </c>
      <c r="B1126" s="166">
        <f t="shared" si="39"/>
        <v>8</v>
      </c>
      <c r="C1126" s="25">
        <f t="shared" si="38"/>
        <v>2024</v>
      </c>
      <c r="D1126" s="169" t="s">
        <v>352</v>
      </c>
      <c r="E1126" s="170" t="s">
        <v>93</v>
      </c>
      <c r="F1126" s="171" t="s">
        <v>1037</v>
      </c>
      <c r="G1126" s="171"/>
      <c r="H1126" s="172" t="s">
        <v>130</v>
      </c>
      <c r="I1126" s="172"/>
      <c r="J1126" s="174">
        <v>367300</v>
      </c>
      <c r="K1126" s="174"/>
      <c r="L1126" s="174"/>
      <c r="M1126" s="174"/>
      <c r="N1126" s="176"/>
    </row>
    <row r="1127" spans="1:14" x14ac:dyDescent="0.25">
      <c r="A1127" s="165">
        <v>45510</v>
      </c>
      <c r="B1127" s="166">
        <f t="shared" si="39"/>
        <v>8</v>
      </c>
      <c r="C1127" s="25">
        <f t="shared" si="38"/>
        <v>2024</v>
      </c>
      <c r="D1127" s="169" t="s">
        <v>124</v>
      </c>
      <c r="E1127" s="170" t="s">
        <v>93</v>
      </c>
      <c r="F1127" s="171"/>
      <c r="G1127" s="171" t="s">
        <v>475</v>
      </c>
      <c r="H1127" s="172" t="s">
        <v>130</v>
      </c>
      <c r="I1127" s="172"/>
      <c r="J1127" s="174"/>
      <c r="K1127" s="174">
        <v>872460.05</v>
      </c>
      <c r="L1127" s="174"/>
      <c r="M1127" s="174"/>
      <c r="N1127" s="176"/>
    </row>
    <row r="1128" spans="1:14" x14ac:dyDescent="0.25">
      <c r="A1128" s="165">
        <v>45510</v>
      </c>
      <c r="B1128" s="166">
        <f t="shared" si="39"/>
        <v>8</v>
      </c>
      <c r="C1128" s="25">
        <f t="shared" si="38"/>
        <v>2024</v>
      </c>
      <c r="D1128" s="169" t="s">
        <v>124</v>
      </c>
      <c r="E1128" s="170" t="s">
        <v>93</v>
      </c>
      <c r="F1128" s="171" t="s">
        <v>1038</v>
      </c>
      <c r="G1128" s="171"/>
      <c r="H1128" s="172" t="s">
        <v>130</v>
      </c>
      <c r="I1128" s="172"/>
      <c r="J1128" s="174">
        <v>196000</v>
      </c>
      <c r="K1128" s="174"/>
      <c r="L1128" s="174"/>
      <c r="M1128" s="174"/>
      <c r="N1128" s="176"/>
    </row>
    <row r="1129" spans="1:14" x14ac:dyDescent="0.25">
      <c r="A1129" s="165">
        <v>45510</v>
      </c>
      <c r="B1129" s="166">
        <f t="shared" si="39"/>
        <v>8</v>
      </c>
      <c r="C1129" s="25">
        <f t="shared" si="38"/>
        <v>2024</v>
      </c>
      <c r="D1129" s="169" t="s">
        <v>352</v>
      </c>
      <c r="E1129" s="170" t="s">
        <v>93</v>
      </c>
      <c r="F1129" s="171" t="s">
        <v>935</v>
      </c>
      <c r="G1129" s="171"/>
      <c r="H1129" s="172" t="s">
        <v>130</v>
      </c>
      <c r="I1129" s="172"/>
      <c r="J1129" s="174">
        <v>400000</v>
      </c>
      <c r="K1129" s="174"/>
      <c r="L1129" s="174"/>
      <c r="M1129" s="174"/>
      <c r="N1129" s="176"/>
    </row>
    <row r="1130" spans="1:14" x14ac:dyDescent="0.25">
      <c r="A1130" s="165">
        <v>45510</v>
      </c>
      <c r="B1130" s="166">
        <f t="shared" si="39"/>
        <v>8</v>
      </c>
      <c r="C1130" s="25">
        <f t="shared" si="38"/>
        <v>2024</v>
      </c>
      <c r="D1130" s="169" t="s">
        <v>352</v>
      </c>
      <c r="E1130" s="170" t="s">
        <v>93</v>
      </c>
      <c r="F1130" s="171" t="s">
        <v>915</v>
      </c>
      <c r="G1130" s="171"/>
      <c r="H1130" s="172" t="s">
        <v>545</v>
      </c>
      <c r="I1130" s="172"/>
      <c r="J1130" s="174">
        <v>251000</v>
      </c>
      <c r="K1130" s="174"/>
      <c r="L1130" s="174"/>
      <c r="M1130" s="174"/>
      <c r="N1130" s="176"/>
    </row>
    <row r="1131" spans="1:14" x14ac:dyDescent="0.25">
      <c r="A1131" s="165">
        <v>45510</v>
      </c>
      <c r="B1131" s="166">
        <f t="shared" si="39"/>
        <v>8</v>
      </c>
      <c r="C1131" s="25">
        <f t="shared" si="38"/>
        <v>2024</v>
      </c>
      <c r="D1131" s="169" t="s">
        <v>92</v>
      </c>
      <c r="E1131" s="170" t="s">
        <v>92</v>
      </c>
      <c r="F1131" s="171" t="s">
        <v>796</v>
      </c>
      <c r="G1131" s="171"/>
      <c r="H1131" s="172" t="s">
        <v>92</v>
      </c>
      <c r="I1131" s="172"/>
      <c r="J1131" s="174"/>
      <c r="K1131" s="174">
        <v>348100</v>
      </c>
      <c r="L1131" s="174"/>
      <c r="M1131" s="174"/>
      <c r="N1131" s="176"/>
    </row>
    <row r="1132" spans="1:14" x14ac:dyDescent="0.25">
      <c r="A1132" s="165">
        <v>45511</v>
      </c>
      <c r="B1132" s="166">
        <f t="shared" si="39"/>
        <v>8</v>
      </c>
      <c r="C1132" s="25">
        <f t="shared" si="38"/>
        <v>2024</v>
      </c>
      <c r="D1132" s="169" t="s">
        <v>109</v>
      </c>
      <c r="E1132" s="170" t="s">
        <v>93</v>
      </c>
      <c r="F1132" s="171" t="s">
        <v>693</v>
      </c>
      <c r="G1132" s="171"/>
      <c r="H1132" s="172" t="s">
        <v>130</v>
      </c>
      <c r="I1132" s="172"/>
      <c r="J1132" s="174"/>
      <c r="K1132" s="174">
        <v>23400</v>
      </c>
      <c r="L1132" s="174"/>
      <c r="M1132" s="174"/>
      <c r="N1132" s="176"/>
    </row>
    <row r="1133" spans="1:14" x14ac:dyDescent="0.25">
      <c r="A1133" s="165">
        <v>45511</v>
      </c>
      <c r="B1133" s="166">
        <f t="shared" si="39"/>
        <v>8</v>
      </c>
      <c r="C1133" s="25">
        <f t="shared" si="38"/>
        <v>2024</v>
      </c>
      <c r="D1133" s="169" t="s">
        <v>92</v>
      </c>
      <c r="E1133" s="170" t="s">
        <v>420</v>
      </c>
      <c r="F1133" s="171"/>
      <c r="G1133" s="171"/>
      <c r="H1133" s="172" t="s">
        <v>92</v>
      </c>
      <c r="I1133" s="172"/>
      <c r="J1133" s="174"/>
      <c r="K1133" s="174">
        <v>55000</v>
      </c>
      <c r="L1133" s="174"/>
      <c r="M1133" s="174"/>
      <c r="N1133" s="176"/>
    </row>
    <row r="1134" spans="1:14" x14ac:dyDescent="0.25">
      <c r="A1134" s="165">
        <v>45511</v>
      </c>
      <c r="B1134" s="166">
        <f t="shared" si="39"/>
        <v>8</v>
      </c>
      <c r="C1134" s="25">
        <f t="shared" si="38"/>
        <v>2024</v>
      </c>
      <c r="D1134" s="169" t="s">
        <v>124</v>
      </c>
      <c r="E1134" s="170" t="s">
        <v>93</v>
      </c>
      <c r="F1134" s="171" t="s">
        <v>903</v>
      </c>
      <c r="G1134" s="171"/>
      <c r="H1134" s="172" t="s">
        <v>130</v>
      </c>
      <c r="I1134" s="172"/>
      <c r="J1134" s="174"/>
      <c r="K1134" s="174">
        <v>4000</v>
      </c>
      <c r="L1134" s="174"/>
      <c r="M1134" s="174"/>
      <c r="N1134" s="176"/>
    </row>
    <row r="1135" spans="1:14" x14ac:dyDescent="0.25">
      <c r="A1135" s="165">
        <v>45511</v>
      </c>
      <c r="B1135" s="166">
        <f t="shared" si="39"/>
        <v>8</v>
      </c>
      <c r="C1135" s="25">
        <f t="shared" si="38"/>
        <v>2024</v>
      </c>
      <c r="D1135" s="169" t="s">
        <v>92</v>
      </c>
      <c r="E1135" s="170" t="s">
        <v>92</v>
      </c>
      <c r="F1135" s="171"/>
      <c r="G1135" s="171"/>
      <c r="H1135" s="172" t="s">
        <v>92</v>
      </c>
      <c r="I1135" s="172"/>
      <c r="J1135" s="174"/>
      <c r="K1135" s="174">
        <v>65000</v>
      </c>
      <c r="L1135" s="174"/>
      <c r="M1135" s="174"/>
      <c r="N1135" s="176"/>
    </row>
    <row r="1136" spans="1:14" x14ac:dyDescent="0.25">
      <c r="A1136" s="165">
        <v>45511</v>
      </c>
      <c r="B1136" s="166">
        <f t="shared" si="39"/>
        <v>8</v>
      </c>
      <c r="C1136" s="25">
        <f t="shared" si="38"/>
        <v>2024</v>
      </c>
      <c r="D1136" s="169" t="s">
        <v>92</v>
      </c>
      <c r="E1136" s="170" t="s">
        <v>92</v>
      </c>
      <c r="F1136" s="171" t="s">
        <v>970</v>
      </c>
      <c r="G1136" s="171"/>
      <c r="H1136" s="172" t="s">
        <v>92</v>
      </c>
      <c r="I1136" s="172"/>
      <c r="J1136" s="174"/>
      <c r="K1136" s="174">
        <v>69532</v>
      </c>
      <c r="L1136" s="174"/>
      <c r="M1136" s="174"/>
      <c r="N1136" s="176"/>
    </row>
    <row r="1137" spans="1:14" x14ac:dyDescent="0.25">
      <c r="A1137" s="165">
        <v>45512</v>
      </c>
      <c r="B1137" s="166">
        <f t="shared" si="39"/>
        <v>8</v>
      </c>
      <c r="C1137" s="25">
        <f t="shared" si="38"/>
        <v>2024</v>
      </c>
      <c r="D1137" s="169" t="s">
        <v>124</v>
      </c>
      <c r="E1137" s="170" t="s">
        <v>93</v>
      </c>
      <c r="F1137" s="171"/>
      <c r="G1137" s="171" t="s">
        <v>234</v>
      </c>
      <c r="H1137" s="172" t="s">
        <v>131</v>
      </c>
      <c r="I1137" s="172"/>
      <c r="J1137" s="174"/>
      <c r="K1137" s="174">
        <v>481024.49</v>
      </c>
      <c r="L1137" s="174"/>
      <c r="M1137" s="174"/>
      <c r="N1137" s="176"/>
    </row>
    <row r="1138" spans="1:14" x14ac:dyDescent="0.25">
      <c r="A1138" s="165">
        <v>45512</v>
      </c>
      <c r="B1138" s="166">
        <f t="shared" si="39"/>
        <v>8</v>
      </c>
      <c r="C1138" s="25">
        <f t="shared" si="38"/>
        <v>2024</v>
      </c>
      <c r="D1138" s="169" t="s">
        <v>92</v>
      </c>
      <c r="E1138" s="170" t="s">
        <v>92</v>
      </c>
      <c r="F1138" s="171"/>
      <c r="G1138" s="171"/>
      <c r="H1138" s="172" t="s">
        <v>92</v>
      </c>
      <c r="I1138" s="172"/>
      <c r="J1138" s="174"/>
      <c r="K1138" s="174">
        <v>28000</v>
      </c>
      <c r="L1138" s="174"/>
      <c r="M1138" s="174"/>
      <c r="N1138" s="176"/>
    </row>
    <row r="1139" spans="1:14" x14ac:dyDescent="0.25">
      <c r="A1139" s="165">
        <v>45513</v>
      </c>
      <c r="B1139" s="166">
        <f t="shared" si="39"/>
        <v>8</v>
      </c>
      <c r="C1139" s="25">
        <f t="shared" si="38"/>
        <v>2024</v>
      </c>
      <c r="D1139" s="169" t="s">
        <v>352</v>
      </c>
      <c r="E1139" s="170" t="s">
        <v>93</v>
      </c>
      <c r="F1139" s="171" t="s">
        <v>1039</v>
      </c>
      <c r="G1139" s="171"/>
      <c r="H1139" s="172" t="s">
        <v>545</v>
      </c>
      <c r="I1139" s="172"/>
      <c r="J1139" s="174">
        <v>122800</v>
      </c>
      <c r="K1139" s="174"/>
      <c r="L1139" s="174"/>
      <c r="M1139" s="174"/>
      <c r="N1139" s="176"/>
    </row>
    <row r="1140" spans="1:14" x14ac:dyDescent="0.25">
      <c r="A1140" s="165">
        <v>45513</v>
      </c>
      <c r="B1140" s="166">
        <f t="shared" si="39"/>
        <v>8</v>
      </c>
      <c r="C1140" s="25">
        <f t="shared" si="38"/>
        <v>2024</v>
      </c>
      <c r="D1140" s="169" t="s">
        <v>352</v>
      </c>
      <c r="E1140" s="170" t="s">
        <v>93</v>
      </c>
      <c r="F1140" s="171" t="s">
        <v>1040</v>
      </c>
      <c r="G1140" s="171"/>
      <c r="H1140" s="172" t="s">
        <v>130</v>
      </c>
      <c r="I1140" s="172"/>
      <c r="J1140" s="174">
        <v>197000</v>
      </c>
      <c r="K1140" s="174"/>
      <c r="L1140" s="174"/>
      <c r="M1140" s="174"/>
      <c r="N1140" s="176"/>
    </row>
    <row r="1141" spans="1:14" x14ac:dyDescent="0.25">
      <c r="A1141" s="165">
        <v>45513</v>
      </c>
      <c r="B1141" s="166">
        <f t="shared" si="39"/>
        <v>8</v>
      </c>
      <c r="C1141" s="25">
        <f t="shared" si="38"/>
        <v>2024</v>
      </c>
      <c r="D1141" s="169" t="s">
        <v>626</v>
      </c>
      <c r="E1141" s="170" t="s">
        <v>93</v>
      </c>
      <c r="F1141" s="171"/>
      <c r="G1141" s="171"/>
      <c r="H1141" s="172" t="s">
        <v>130</v>
      </c>
      <c r="I1141" s="172"/>
      <c r="J1141" s="174"/>
      <c r="K1141" s="174">
        <v>125000</v>
      </c>
      <c r="L1141" s="174"/>
      <c r="M1141" s="174"/>
      <c r="N1141" s="176"/>
    </row>
    <row r="1142" spans="1:14" x14ac:dyDescent="0.25">
      <c r="A1142" s="165">
        <v>45513</v>
      </c>
      <c r="B1142" s="166">
        <f t="shared" si="39"/>
        <v>8</v>
      </c>
      <c r="C1142" s="25">
        <f t="shared" si="38"/>
        <v>2024</v>
      </c>
      <c r="D1142" s="169" t="s">
        <v>124</v>
      </c>
      <c r="E1142" s="170" t="s">
        <v>93</v>
      </c>
      <c r="F1142" s="171"/>
      <c r="G1142" s="171" t="s">
        <v>333</v>
      </c>
      <c r="H1142" s="172" t="s">
        <v>131</v>
      </c>
      <c r="I1142" s="172"/>
      <c r="J1142" s="174"/>
      <c r="K1142" s="174">
        <v>40000</v>
      </c>
      <c r="L1142" s="174"/>
      <c r="M1142" s="174"/>
      <c r="N1142" s="176"/>
    </row>
    <row r="1143" spans="1:14" x14ac:dyDescent="0.25">
      <c r="A1143" s="165">
        <v>45513</v>
      </c>
      <c r="B1143" s="166">
        <f t="shared" si="39"/>
        <v>8</v>
      </c>
      <c r="C1143" s="25">
        <f t="shared" si="38"/>
        <v>2024</v>
      </c>
      <c r="D1143" s="169" t="s">
        <v>92</v>
      </c>
      <c r="E1143" s="170" t="s">
        <v>92</v>
      </c>
      <c r="F1143" s="171" t="s">
        <v>1042</v>
      </c>
      <c r="G1143" s="171"/>
      <c r="H1143" s="172" t="s">
        <v>92</v>
      </c>
      <c r="I1143" s="172"/>
      <c r="J1143" s="174"/>
      <c r="K1143" s="174">
        <v>475819</v>
      </c>
      <c r="L1143" s="174"/>
      <c r="M1143" s="174"/>
      <c r="N1143" s="176"/>
    </row>
    <row r="1144" spans="1:14" x14ac:dyDescent="0.25">
      <c r="A1144" s="165">
        <v>45516</v>
      </c>
      <c r="B1144" s="166">
        <f t="shared" si="39"/>
        <v>8</v>
      </c>
      <c r="C1144" s="25">
        <f t="shared" si="38"/>
        <v>2024</v>
      </c>
      <c r="D1144" s="169" t="s">
        <v>352</v>
      </c>
      <c r="E1144" s="170" t="s">
        <v>93</v>
      </c>
      <c r="F1144" s="171" t="s">
        <v>1041</v>
      </c>
      <c r="G1144" s="171"/>
      <c r="H1144" s="172" t="s">
        <v>130</v>
      </c>
      <c r="I1144" s="172"/>
      <c r="J1144" s="174">
        <v>368500</v>
      </c>
      <c r="K1144" s="174"/>
      <c r="L1144" s="174"/>
      <c r="M1144" s="174"/>
      <c r="N1144" s="176"/>
    </row>
    <row r="1145" spans="1:14" x14ac:dyDescent="0.25">
      <c r="A1145" s="165">
        <v>45516</v>
      </c>
      <c r="B1145" s="166">
        <f t="shared" si="39"/>
        <v>8</v>
      </c>
      <c r="C1145" s="25">
        <f t="shared" si="38"/>
        <v>2024</v>
      </c>
      <c r="D1145" s="169" t="s">
        <v>92</v>
      </c>
      <c r="E1145" s="170" t="s">
        <v>92</v>
      </c>
      <c r="F1145" s="171" t="s">
        <v>1042</v>
      </c>
      <c r="G1145" s="171"/>
      <c r="H1145" s="172" t="s">
        <v>92</v>
      </c>
      <c r="I1145" s="172"/>
      <c r="J1145" s="174"/>
      <c r="K1145" s="174">
        <v>476000</v>
      </c>
      <c r="L1145" s="174"/>
      <c r="M1145" s="174"/>
      <c r="N1145" s="176"/>
    </row>
    <row r="1146" spans="1:14" x14ac:dyDescent="0.25">
      <c r="A1146" s="165">
        <v>45516</v>
      </c>
      <c r="B1146" s="166">
        <f t="shared" si="39"/>
        <v>8</v>
      </c>
      <c r="C1146" s="25">
        <f t="shared" si="38"/>
        <v>2024</v>
      </c>
      <c r="D1146" s="169" t="s">
        <v>352</v>
      </c>
      <c r="E1146" s="170" t="s">
        <v>93</v>
      </c>
      <c r="F1146" s="171" t="s">
        <v>540</v>
      </c>
      <c r="G1146" s="171"/>
      <c r="H1146" s="172" t="s">
        <v>131</v>
      </c>
      <c r="I1146" s="172"/>
      <c r="J1146" s="174">
        <v>700000</v>
      </c>
      <c r="K1146" s="174"/>
      <c r="L1146" s="174"/>
      <c r="M1146" s="174"/>
      <c r="N1146" s="176"/>
    </row>
    <row r="1147" spans="1:14" x14ac:dyDescent="0.25">
      <c r="A1147" s="165">
        <v>45516</v>
      </c>
      <c r="B1147" s="166">
        <f t="shared" si="39"/>
        <v>8</v>
      </c>
      <c r="C1147" s="25">
        <f t="shared" si="38"/>
        <v>2024</v>
      </c>
      <c r="D1147" s="169" t="s">
        <v>92</v>
      </c>
      <c r="E1147" s="170" t="s">
        <v>92</v>
      </c>
      <c r="F1147" s="171" t="s">
        <v>174</v>
      </c>
      <c r="G1147" s="171"/>
      <c r="H1147" s="172" t="s">
        <v>92</v>
      </c>
      <c r="I1147" s="172"/>
      <c r="J1147" s="174"/>
      <c r="K1147" s="174">
        <v>25600</v>
      </c>
      <c r="L1147" s="174"/>
      <c r="M1147" s="174"/>
      <c r="N1147" s="176"/>
    </row>
    <row r="1148" spans="1:14" x14ac:dyDescent="0.25">
      <c r="A1148" s="165">
        <v>45516</v>
      </c>
      <c r="B1148" s="166">
        <f t="shared" si="39"/>
        <v>8</v>
      </c>
      <c r="C1148" s="25">
        <f t="shared" si="38"/>
        <v>2024</v>
      </c>
      <c r="D1148" s="169" t="s">
        <v>92</v>
      </c>
      <c r="E1148" s="170" t="s">
        <v>92</v>
      </c>
      <c r="F1148" s="171" t="s">
        <v>970</v>
      </c>
      <c r="G1148" s="171"/>
      <c r="H1148" s="172" t="s">
        <v>92</v>
      </c>
      <c r="I1148" s="172"/>
      <c r="J1148" s="174"/>
      <c r="K1148" s="174">
        <v>8660</v>
      </c>
      <c r="L1148" s="174"/>
      <c r="M1148" s="174"/>
      <c r="N1148" s="176"/>
    </row>
    <row r="1149" spans="1:14" x14ac:dyDescent="0.25">
      <c r="A1149" s="165">
        <v>45517</v>
      </c>
      <c r="B1149" s="166">
        <f t="shared" si="39"/>
        <v>8</v>
      </c>
      <c r="C1149" s="25">
        <f t="shared" si="38"/>
        <v>2024</v>
      </c>
      <c r="D1149" s="169" t="s">
        <v>352</v>
      </c>
      <c r="E1149" s="170" t="s">
        <v>93</v>
      </c>
      <c r="F1149" s="171" t="s">
        <v>298</v>
      </c>
      <c r="G1149" s="171"/>
      <c r="H1149" s="172" t="s">
        <v>130</v>
      </c>
      <c r="I1149" s="172"/>
      <c r="J1149" s="174">
        <v>316940</v>
      </c>
      <c r="K1149" s="174"/>
      <c r="L1149" s="174"/>
      <c r="M1149" s="174"/>
      <c r="N1149" s="176"/>
    </row>
    <row r="1150" spans="1:14" x14ac:dyDescent="0.25">
      <c r="A1150" s="165">
        <v>45517</v>
      </c>
      <c r="B1150" s="166">
        <f t="shared" si="39"/>
        <v>8</v>
      </c>
      <c r="C1150" s="25">
        <f t="shared" si="38"/>
        <v>2024</v>
      </c>
      <c r="D1150" s="169" t="s">
        <v>124</v>
      </c>
      <c r="E1150" s="170" t="s">
        <v>93</v>
      </c>
      <c r="F1150" s="171" t="s">
        <v>966</v>
      </c>
      <c r="G1150" s="171"/>
      <c r="H1150" s="172" t="s">
        <v>130</v>
      </c>
      <c r="I1150" s="172"/>
      <c r="J1150" s="174"/>
      <c r="K1150" s="174">
        <v>805300</v>
      </c>
      <c r="L1150" s="174"/>
      <c r="M1150" s="174"/>
      <c r="N1150" s="176"/>
    </row>
    <row r="1151" spans="1:14" x14ac:dyDescent="0.25">
      <c r="A1151" s="165">
        <v>45517</v>
      </c>
      <c r="B1151" s="166">
        <f t="shared" si="39"/>
        <v>8</v>
      </c>
      <c r="C1151" s="25">
        <f t="shared" ref="C1151:C1214" si="40">YEAR((A1151))</f>
        <v>2024</v>
      </c>
      <c r="D1151" s="169" t="s">
        <v>124</v>
      </c>
      <c r="E1151" s="170" t="s">
        <v>93</v>
      </c>
      <c r="F1151" s="171" t="s">
        <v>1043</v>
      </c>
      <c r="G1151" s="171"/>
      <c r="H1151" s="172" t="s">
        <v>131</v>
      </c>
      <c r="I1151" s="172"/>
      <c r="J1151" s="174"/>
      <c r="K1151" s="174">
        <v>700000</v>
      </c>
      <c r="L1151" s="174"/>
      <c r="M1151" s="174"/>
      <c r="N1151" s="176"/>
    </row>
    <row r="1152" spans="1:14" x14ac:dyDescent="0.25">
      <c r="A1152" s="165">
        <v>45517</v>
      </c>
      <c r="B1152" s="166">
        <f t="shared" si="39"/>
        <v>8</v>
      </c>
      <c r="C1152" s="25">
        <f t="shared" si="40"/>
        <v>2024</v>
      </c>
      <c r="D1152" s="169" t="s">
        <v>92</v>
      </c>
      <c r="E1152" s="170" t="s">
        <v>92</v>
      </c>
      <c r="F1152" s="171" t="s">
        <v>1030</v>
      </c>
      <c r="G1152" s="171"/>
      <c r="H1152" s="172" t="s">
        <v>92</v>
      </c>
      <c r="I1152" s="172"/>
      <c r="J1152" s="174"/>
      <c r="K1152" s="174">
        <v>61050</v>
      </c>
      <c r="L1152" s="174"/>
      <c r="M1152" s="174"/>
      <c r="N1152" s="176"/>
    </row>
    <row r="1153" spans="1:14" x14ac:dyDescent="0.25">
      <c r="A1153" s="165">
        <v>45518</v>
      </c>
      <c r="B1153" s="166">
        <f t="shared" si="39"/>
        <v>8</v>
      </c>
      <c r="C1153" s="25">
        <f t="shared" si="40"/>
        <v>2024</v>
      </c>
      <c r="D1153" s="169" t="s">
        <v>352</v>
      </c>
      <c r="E1153" s="170" t="s">
        <v>93</v>
      </c>
      <c r="F1153" s="171" t="s">
        <v>564</v>
      </c>
      <c r="G1153" s="171"/>
      <c r="H1153" s="172" t="s">
        <v>130</v>
      </c>
      <c r="I1153" s="172"/>
      <c r="J1153" s="174">
        <v>100000</v>
      </c>
      <c r="K1153" s="174"/>
      <c r="L1153" s="174"/>
      <c r="M1153" s="174"/>
      <c r="N1153" s="176"/>
    </row>
    <row r="1154" spans="1:14" x14ac:dyDescent="0.25">
      <c r="A1154" s="165">
        <v>45518</v>
      </c>
      <c r="B1154" s="166">
        <f t="shared" si="39"/>
        <v>8</v>
      </c>
      <c r="C1154" s="25">
        <f t="shared" si="40"/>
        <v>2024</v>
      </c>
      <c r="D1154" s="169" t="s">
        <v>92</v>
      </c>
      <c r="E1154" s="170" t="s">
        <v>92</v>
      </c>
      <c r="F1154" s="171" t="s">
        <v>1042</v>
      </c>
      <c r="G1154" s="171"/>
      <c r="H1154" s="172" t="s">
        <v>92</v>
      </c>
      <c r="I1154" s="172"/>
      <c r="J1154" s="174"/>
      <c r="K1154" s="174">
        <v>32500</v>
      </c>
      <c r="L1154" s="174"/>
      <c r="M1154" s="174"/>
      <c r="N1154" s="176"/>
    </row>
    <row r="1155" spans="1:14" x14ac:dyDescent="0.25">
      <c r="A1155" s="165">
        <v>45519</v>
      </c>
      <c r="B1155" s="166">
        <f t="shared" ref="B1155:B1218" si="41">MONTH(A1155)</f>
        <v>8</v>
      </c>
      <c r="C1155" s="25">
        <f t="shared" si="40"/>
        <v>2024</v>
      </c>
      <c r="D1155" s="169" t="s">
        <v>92</v>
      </c>
      <c r="E1155" s="170" t="s">
        <v>92</v>
      </c>
      <c r="F1155" s="171" t="s">
        <v>296</v>
      </c>
      <c r="G1155" s="171"/>
      <c r="H1155" s="172" t="s">
        <v>92</v>
      </c>
      <c r="I1155" s="172"/>
      <c r="J1155" s="174"/>
      <c r="K1155" s="174">
        <v>416000</v>
      </c>
      <c r="L1155" s="174"/>
      <c r="M1155" s="174"/>
      <c r="N1155" s="176"/>
    </row>
    <row r="1156" spans="1:14" x14ac:dyDescent="0.25">
      <c r="A1156" s="165">
        <v>45519</v>
      </c>
      <c r="B1156" s="166">
        <f t="shared" si="41"/>
        <v>8</v>
      </c>
      <c r="C1156" s="25">
        <f t="shared" si="40"/>
        <v>2024</v>
      </c>
      <c r="D1156" s="169" t="s">
        <v>92</v>
      </c>
      <c r="E1156" s="170" t="s">
        <v>93</v>
      </c>
      <c r="F1156" s="171" t="s">
        <v>796</v>
      </c>
      <c r="G1156" s="171"/>
      <c r="H1156" s="172" t="s">
        <v>92</v>
      </c>
      <c r="I1156" s="172"/>
      <c r="J1156" s="174"/>
      <c r="K1156" s="174">
        <v>320000</v>
      </c>
      <c r="L1156" s="174"/>
      <c r="M1156" s="174"/>
      <c r="N1156" s="176"/>
    </row>
    <row r="1157" spans="1:14" x14ac:dyDescent="0.25">
      <c r="A1157" s="165">
        <v>45519</v>
      </c>
      <c r="B1157" s="166">
        <f t="shared" si="41"/>
        <v>8</v>
      </c>
      <c r="C1157" s="25">
        <f t="shared" si="40"/>
        <v>2024</v>
      </c>
      <c r="D1157" s="169" t="s">
        <v>109</v>
      </c>
      <c r="E1157" s="170" t="s">
        <v>93</v>
      </c>
      <c r="F1157" s="171" t="s">
        <v>145</v>
      </c>
      <c r="G1157" s="171"/>
      <c r="H1157" s="172" t="s">
        <v>130</v>
      </c>
      <c r="I1157" s="172"/>
      <c r="J1157" s="174"/>
      <c r="K1157" s="174">
        <v>123700</v>
      </c>
      <c r="L1157" s="174"/>
      <c r="M1157" s="174"/>
      <c r="N1157" s="176"/>
    </row>
    <row r="1158" spans="1:14" x14ac:dyDescent="0.25">
      <c r="A1158" s="165">
        <v>45519</v>
      </c>
      <c r="B1158" s="166">
        <f t="shared" si="41"/>
        <v>8</v>
      </c>
      <c r="C1158" s="25">
        <f t="shared" si="40"/>
        <v>2024</v>
      </c>
      <c r="D1158" s="169" t="s">
        <v>352</v>
      </c>
      <c r="E1158" s="170" t="s">
        <v>93</v>
      </c>
      <c r="F1158" s="171" t="s">
        <v>722</v>
      </c>
      <c r="G1158" s="171"/>
      <c r="H1158" s="172" t="s">
        <v>545</v>
      </c>
      <c r="I1158" s="172"/>
      <c r="J1158" s="174">
        <v>301000</v>
      </c>
      <c r="K1158" s="174"/>
      <c r="L1158" s="174"/>
      <c r="M1158" s="174"/>
      <c r="N1158" s="176"/>
    </row>
    <row r="1159" spans="1:14" x14ac:dyDescent="0.25">
      <c r="A1159" s="165">
        <v>45519</v>
      </c>
      <c r="B1159" s="166">
        <f t="shared" si="41"/>
        <v>8</v>
      </c>
      <c r="C1159" s="25">
        <f t="shared" si="40"/>
        <v>2024</v>
      </c>
      <c r="D1159" s="169" t="s">
        <v>92</v>
      </c>
      <c r="E1159" s="170" t="s">
        <v>92</v>
      </c>
      <c r="F1159" s="171" t="s">
        <v>1060</v>
      </c>
      <c r="G1159" s="171"/>
      <c r="H1159" s="172" t="s">
        <v>92</v>
      </c>
      <c r="I1159" s="172"/>
      <c r="J1159" s="174"/>
      <c r="K1159" s="174">
        <v>320000</v>
      </c>
      <c r="L1159" s="174"/>
      <c r="M1159" s="174"/>
      <c r="N1159" s="176"/>
    </row>
    <row r="1160" spans="1:14" x14ac:dyDescent="0.25">
      <c r="A1160" s="165">
        <v>45520</v>
      </c>
      <c r="B1160" s="166">
        <f t="shared" si="41"/>
        <v>8</v>
      </c>
      <c r="C1160" s="25">
        <f t="shared" si="40"/>
        <v>2024</v>
      </c>
      <c r="D1160" s="169" t="s">
        <v>352</v>
      </c>
      <c r="E1160" s="170" t="s">
        <v>93</v>
      </c>
      <c r="F1160" s="171" t="s">
        <v>933</v>
      </c>
      <c r="G1160" s="171"/>
      <c r="H1160" s="172" t="s">
        <v>545</v>
      </c>
      <c r="I1160" s="172"/>
      <c r="J1160" s="174">
        <v>1180000</v>
      </c>
      <c r="K1160" s="174"/>
      <c r="L1160" s="174"/>
      <c r="M1160" s="174"/>
      <c r="N1160" s="176"/>
    </row>
    <row r="1161" spans="1:14" x14ac:dyDescent="0.25">
      <c r="A1161" s="165">
        <v>45520</v>
      </c>
      <c r="B1161" s="166">
        <f t="shared" si="41"/>
        <v>8</v>
      </c>
      <c r="C1161" s="25">
        <f t="shared" si="40"/>
        <v>2024</v>
      </c>
      <c r="D1161" s="169" t="s">
        <v>124</v>
      </c>
      <c r="E1161" s="170" t="s">
        <v>93</v>
      </c>
      <c r="F1161" s="171" t="s">
        <v>903</v>
      </c>
      <c r="G1161" s="171"/>
      <c r="H1161" s="172" t="s">
        <v>130</v>
      </c>
      <c r="I1161" s="172"/>
      <c r="J1161" s="174"/>
      <c r="K1161" s="174">
        <v>40000</v>
      </c>
      <c r="L1161" s="174"/>
      <c r="M1161" s="174"/>
      <c r="N1161" s="176"/>
    </row>
    <row r="1162" spans="1:14" x14ac:dyDescent="0.25">
      <c r="A1162" s="165">
        <v>45520</v>
      </c>
      <c r="B1162" s="166">
        <f t="shared" si="41"/>
        <v>8</v>
      </c>
      <c r="C1162" s="25">
        <f t="shared" si="40"/>
        <v>2024</v>
      </c>
      <c r="D1162" s="169" t="s">
        <v>352</v>
      </c>
      <c r="E1162" s="170" t="s">
        <v>93</v>
      </c>
      <c r="F1162" s="171" t="s">
        <v>1048</v>
      </c>
      <c r="G1162" s="171"/>
      <c r="H1162" s="172" t="s">
        <v>130</v>
      </c>
      <c r="I1162" s="172"/>
      <c r="J1162" s="174">
        <v>190000</v>
      </c>
      <c r="K1162" s="174"/>
      <c r="L1162" s="174"/>
      <c r="M1162" s="174"/>
      <c r="N1162" s="176"/>
    </row>
    <row r="1163" spans="1:14" x14ac:dyDescent="0.25">
      <c r="A1163" s="165">
        <v>45520</v>
      </c>
      <c r="B1163" s="166">
        <f t="shared" si="41"/>
        <v>8</v>
      </c>
      <c r="C1163" s="25">
        <f t="shared" si="40"/>
        <v>2024</v>
      </c>
      <c r="D1163" s="169" t="s">
        <v>626</v>
      </c>
      <c r="E1163" s="170" t="s">
        <v>93</v>
      </c>
      <c r="F1163" s="171"/>
      <c r="G1163" s="171"/>
      <c r="H1163" s="172" t="s">
        <v>130</v>
      </c>
      <c r="I1163" s="172"/>
      <c r="J1163" s="174"/>
      <c r="K1163" s="174">
        <v>125000</v>
      </c>
      <c r="L1163" s="174"/>
      <c r="M1163" s="174"/>
      <c r="N1163" s="176"/>
    </row>
    <row r="1164" spans="1:14" x14ac:dyDescent="0.25">
      <c r="A1164" s="165">
        <v>45520</v>
      </c>
      <c r="B1164" s="166">
        <f t="shared" si="41"/>
        <v>8</v>
      </c>
      <c r="C1164" s="25">
        <f t="shared" si="40"/>
        <v>2024</v>
      </c>
      <c r="D1164" s="169" t="s">
        <v>352</v>
      </c>
      <c r="E1164" s="170" t="s">
        <v>93</v>
      </c>
      <c r="F1164" s="171" t="s">
        <v>605</v>
      </c>
      <c r="G1164" s="171"/>
      <c r="H1164" s="172" t="s">
        <v>130</v>
      </c>
      <c r="I1164" s="172"/>
      <c r="J1164" s="174">
        <v>196000</v>
      </c>
      <c r="K1164" s="174"/>
      <c r="L1164" s="174"/>
      <c r="M1164" s="174"/>
      <c r="N1164" s="176"/>
    </row>
    <row r="1165" spans="1:14" x14ac:dyDescent="0.25">
      <c r="A1165" s="165">
        <v>45520</v>
      </c>
      <c r="B1165" s="166">
        <f t="shared" si="41"/>
        <v>8</v>
      </c>
      <c r="C1165" s="25">
        <f t="shared" si="40"/>
        <v>2024</v>
      </c>
      <c r="D1165" s="169" t="s">
        <v>352</v>
      </c>
      <c r="E1165" s="170" t="s">
        <v>93</v>
      </c>
      <c r="F1165" s="171" t="s">
        <v>1057</v>
      </c>
      <c r="G1165" s="171"/>
      <c r="H1165" s="172" t="s">
        <v>545</v>
      </c>
      <c r="I1165" s="172"/>
      <c r="J1165" s="174">
        <v>320000</v>
      </c>
      <c r="K1165" s="174"/>
      <c r="L1165" s="174"/>
      <c r="M1165" s="174"/>
      <c r="N1165" s="176"/>
    </row>
    <row r="1166" spans="1:14" x14ac:dyDescent="0.25">
      <c r="A1166" s="165">
        <v>45520</v>
      </c>
      <c r="B1166" s="166">
        <f t="shared" si="41"/>
        <v>8</v>
      </c>
      <c r="C1166" s="25">
        <f t="shared" si="40"/>
        <v>2024</v>
      </c>
      <c r="D1166" s="169" t="s">
        <v>507</v>
      </c>
      <c r="E1166" s="170" t="s">
        <v>92</v>
      </c>
      <c r="F1166" s="171" t="s">
        <v>899</v>
      </c>
      <c r="G1166" s="171"/>
      <c r="H1166" s="172" t="s">
        <v>92</v>
      </c>
      <c r="I1166" s="172"/>
      <c r="J1166" s="174"/>
      <c r="K1166" s="174">
        <v>269962</v>
      </c>
      <c r="L1166" s="174"/>
      <c r="M1166" s="174"/>
      <c r="N1166" s="176"/>
    </row>
    <row r="1167" spans="1:14" x14ac:dyDescent="0.25">
      <c r="A1167" s="165">
        <v>45521</v>
      </c>
      <c r="B1167" s="166">
        <f t="shared" si="41"/>
        <v>8</v>
      </c>
      <c r="C1167" s="25">
        <f t="shared" si="40"/>
        <v>2024</v>
      </c>
      <c r="D1167" s="169" t="s">
        <v>352</v>
      </c>
      <c r="E1167" s="170" t="s">
        <v>93</v>
      </c>
      <c r="F1167" s="171" t="s">
        <v>576</v>
      </c>
      <c r="G1167" s="171"/>
      <c r="H1167" s="172" t="s">
        <v>545</v>
      </c>
      <c r="I1167" s="172"/>
      <c r="J1167" s="174">
        <v>580000</v>
      </c>
      <c r="K1167" s="174"/>
      <c r="L1167" s="174"/>
      <c r="M1167" s="174"/>
      <c r="N1167" s="176"/>
    </row>
    <row r="1168" spans="1:14" x14ac:dyDescent="0.25">
      <c r="A1168" s="165">
        <v>45521</v>
      </c>
      <c r="B1168" s="166">
        <f t="shared" si="41"/>
        <v>8</v>
      </c>
      <c r="C1168" s="25">
        <f t="shared" si="40"/>
        <v>2024</v>
      </c>
      <c r="D1168" s="169" t="s">
        <v>92</v>
      </c>
      <c r="E1168" s="170" t="s">
        <v>92</v>
      </c>
      <c r="F1168" s="171"/>
      <c r="G1168" s="171"/>
      <c r="H1168" s="172" t="s">
        <v>92</v>
      </c>
      <c r="I1168" s="172"/>
      <c r="J1168" s="174"/>
      <c r="K1168" s="174">
        <v>30000</v>
      </c>
      <c r="L1168" s="174"/>
      <c r="M1168" s="174"/>
      <c r="N1168" s="176"/>
    </row>
    <row r="1169" spans="1:14" x14ac:dyDescent="0.25">
      <c r="A1169" s="165">
        <v>45522</v>
      </c>
      <c r="B1169" s="166">
        <f t="shared" si="41"/>
        <v>8</v>
      </c>
      <c r="C1169" s="25">
        <f t="shared" si="40"/>
        <v>2024</v>
      </c>
      <c r="D1169" s="169" t="s">
        <v>352</v>
      </c>
      <c r="E1169" s="170" t="s">
        <v>93</v>
      </c>
      <c r="F1169" s="171" t="s">
        <v>1049</v>
      </c>
      <c r="G1169" s="171"/>
      <c r="H1169" s="172" t="s">
        <v>130</v>
      </c>
      <c r="I1169" s="172"/>
      <c r="J1169" s="174">
        <v>112000</v>
      </c>
      <c r="K1169" s="174"/>
      <c r="L1169" s="174"/>
      <c r="M1169" s="174"/>
      <c r="N1169" s="176"/>
    </row>
    <row r="1170" spans="1:14" x14ac:dyDescent="0.25">
      <c r="A1170" s="165">
        <v>45523</v>
      </c>
      <c r="B1170" s="166">
        <f t="shared" si="41"/>
        <v>8</v>
      </c>
      <c r="C1170" s="25">
        <f t="shared" si="40"/>
        <v>2024</v>
      </c>
      <c r="D1170" s="169" t="s">
        <v>352</v>
      </c>
      <c r="E1170" s="170" t="s">
        <v>93</v>
      </c>
      <c r="F1170" s="171" t="s">
        <v>909</v>
      </c>
      <c r="G1170" s="171"/>
      <c r="H1170" s="172" t="s">
        <v>131</v>
      </c>
      <c r="I1170" s="172"/>
      <c r="J1170" s="174">
        <v>350000</v>
      </c>
      <c r="K1170" s="174"/>
      <c r="L1170" s="174"/>
      <c r="M1170" s="174"/>
      <c r="N1170" s="176"/>
    </row>
    <row r="1171" spans="1:14" x14ac:dyDescent="0.25">
      <c r="A1171" s="165">
        <v>45523</v>
      </c>
      <c r="B1171" s="166">
        <f t="shared" si="41"/>
        <v>8</v>
      </c>
      <c r="C1171" s="25">
        <f t="shared" si="40"/>
        <v>2024</v>
      </c>
      <c r="D1171" s="169" t="s">
        <v>352</v>
      </c>
      <c r="E1171" s="170" t="s">
        <v>93</v>
      </c>
      <c r="F1171" s="171" t="s">
        <v>1051</v>
      </c>
      <c r="G1171" s="171"/>
      <c r="H1171" s="172" t="s">
        <v>130</v>
      </c>
      <c r="I1171" s="172"/>
      <c r="J1171" s="174">
        <v>25000</v>
      </c>
      <c r="K1171" s="174"/>
      <c r="L1171" s="174"/>
      <c r="M1171" s="174"/>
      <c r="N1171" s="176"/>
    </row>
    <row r="1172" spans="1:14" x14ac:dyDescent="0.25">
      <c r="A1172" s="165">
        <v>45523</v>
      </c>
      <c r="B1172" s="166">
        <f t="shared" si="41"/>
        <v>8</v>
      </c>
      <c r="C1172" s="25">
        <f t="shared" si="40"/>
        <v>2024</v>
      </c>
      <c r="D1172" s="169" t="s">
        <v>352</v>
      </c>
      <c r="E1172" s="170" t="s">
        <v>93</v>
      </c>
      <c r="F1172" s="171" t="s">
        <v>637</v>
      </c>
      <c r="G1172" s="171"/>
      <c r="H1172" s="172" t="s">
        <v>130</v>
      </c>
      <c r="I1172" s="172"/>
      <c r="J1172" s="174">
        <v>100000</v>
      </c>
      <c r="K1172" s="174"/>
      <c r="L1172" s="174"/>
      <c r="M1172" s="174"/>
      <c r="N1172" s="176"/>
    </row>
    <row r="1173" spans="1:14" x14ac:dyDescent="0.25">
      <c r="A1173" s="165">
        <v>45524</v>
      </c>
      <c r="B1173" s="166">
        <f t="shared" si="41"/>
        <v>8</v>
      </c>
      <c r="C1173" s="25">
        <f t="shared" si="40"/>
        <v>2024</v>
      </c>
      <c r="D1173" s="169" t="s">
        <v>92</v>
      </c>
      <c r="E1173" s="170" t="s">
        <v>92</v>
      </c>
      <c r="F1173" s="171"/>
      <c r="G1173" s="171"/>
      <c r="H1173" s="172" t="s">
        <v>92</v>
      </c>
      <c r="I1173" s="172"/>
      <c r="J1173" s="174"/>
      <c r="K1173" s="174">
        <v>105500</v>
      </c>
      <c r="L1173" s="174"/>
      <c r="M1173" s="174"/>
      <c r="N1173" s="176"/>
    </row>
    <row r="1174" spans="1:14" x14ac:dyDescent="0.25">
      <c r="A1174" s="165">
        <v>45524</v>
      </c>
      <c r="B1174" s="166">
        <f t="shared" si="41"/>
        <v>8</v>
      </c>
      <c r="C1174" s="25">
        <f t="shared" si="40"/>
        <v>2024</v>
      </c>
      <c r="D1174" s="169" t="s">
        <v>352</v>
      </c>
      <c r="E1174" s="170" t="s">
        <v>93</v>
      </c>
      <c r="F1174" s="171" t="s">
        <v>1052</v>
      </c>
      <c r="G1174" s="171"/>
      <c r="H1174" s="172" t="s">
        <v>130</v>
      </c>
      <c r="I1174" s="172"/>
      <c r="J1174" s="174">
        <v>100000</v>
      </c>
      <c r="K1174" s="174"/>
      <c r="L1174" s="174"/>
      <c r="M1174" s="174"/>
      <c r="N1174" s="176"/>
    </row>
    <row r="1175" spans="1:14" x14ac:dyDescent="0.25">
      <c r="A1175" s="165">
        <v>45524</v>
      </c>
      <c r="B1175" s="166">
        <f t="shared" si="41"/>
        <v>8</v>
      </c>
      <c r="C1175" s="25">
        <f t="shared" si="40"/>
        <v>2024</v>
      </c>
      <c r="D1175" s="169" t="s">
        <v>124</v>
      </c>
      <c r="E1175" s="170" t="s">
        <v>93</v>
      </c>
      <c r="F1175" s="171" t="s">
        <v>1053</v>
      </c>
      <c r="G1175" s="171"/>
      <c r="H1175" s="172" t="s">
        <v>130</v>
      </c>
      <c r="I1175" s="172"/>
      <c r="J1175" s="174"/>
      <c r="K1175" s="174">
        <v>80000</v>
      </c>
      <c r="L1175" s="174"/>
      <c r="M1175" s="174"/>
      <c r="N1175" s="176"/>
    </row>
    <row r="1176" spans="1:14" x14ac:dyDescent="0.25">
      <c r="A1176" s="165">
        <v>45524</v>
      </c>
      <c r="B1176" s="166">
        <f t="shared" si="41"/>
        <v>8</v>
      </c>
      <c r="C1176" s="25">
        <f t="shared" si="40"/>
        <v>2024</v>
      </c>
      <c r="D1176" s="169" t="s">
        <v>92</v>
      </c>
      <c r="E1176" s="170" t="s">
        <v>92</v>
      </c>
      <c r="F1176" s="171"/>
      <c r="G1176" s="171"/>
      <c r="H1176" s="172" t="s">
        <v>92</v>
      </c>
      <c r="I1176" s="172"/>
      <c r="J1176" s="174"/>
      <c r="K1176" s="174">
        <v>22000</v>
      </c>
      <c r="L1176" s="174"/>
      <c r="M1176" s="174"/>
      <c r="N1176" s="176"/>
    </row>
    <row r="1177" spans="1:14" x14ac:dyDescent="0.25">
      <c r="A1177" s="165">
        <v>45524</v>
      </c>
      <c r="B1177" s="166">
        <f t="shared" si="41"/>
        <v>8</v>
      </c>
      <c r="C1177" s="25">
        <f t="shared" si="40"/>
        <v>2024</v>
      </c>
      <c r="D1177" s="169" t="s">
        <v>92</v>
      </c>
      <c r="E1177" s="170" t="s">
        <v>92</v>
      </c>
      <c r="F1177" s="171" t="s">
        <v>970</v>
      </c>
      <c r="G1177" s="171"/>
      <c r="H1177" s="172" t="s">
        <v>92</v>
      </c>
      <c r="I1177" s="172"/>
      <c r="J1177" s="174"/>
      <c r="K1177" s="174">
        <v>220558</v>
      </c>
      <c r="L1177" s="174"/>
      <c r="M1177" s="174"/>
      <c r="N1177" s="176"/>
    </row>
    <row r="1178" spans="1:14" x14ac:dyDescent="0.25">
      <c r="A1178" s="165">
        <v>45525</v>
      </c>
      <c r="B1178" s="166">
        <f t="shared" si="41"/>
        <v>8</v>
      </c>
      <c r="C1178" s="25">
        <f t="shared" si="40"/>
        <v>2024</v>
      </c>
      <c r="D1178" s="169" t="s">
        <v>352</v>
      </c>
      <c r="E1178" s="170" t="s">
        <v>93</v>
      </c>
      <c r="F1178" s="171" t="s">
        <v>1054</v>
      </c>
      <c r="G1178" s="171"/>
      <c r="H1178" s="172" t="s">
        <v>130</v>
      </c>
      <c r="I1178" s="172"/>
      <c r="J1178" s="174">
        <v>193000</v>
      </c>
      <c r="K1178" s="174"/>
      <c r="L1178" s="174"/>
      <c r="M1178" s="174"/>
      <c r="N1178" s="176"/>
    </row>
    <row r="1179" spans="1:14" x14ac:dyDescent="0.25">
      <c r="A1179" s="165">
        <v>45526</v>
      </c>
      <c r="B1179" s="166">
        <f t="shared" si="41"/>
        <v>8</v>
      </c>
      <c r="C1179" s="25">
        <f t="shared" si="40"/>
        <v>2024</v>
      </c>
      <c r="D1179" s="169" t="s">
        <v>352</v>
      </c>
      <c r="E1179" s="170" t="s">
        <v>93</v>
      </c>
      <c r="F1179" s="171" t="s">
        <v>650</v>
      </c>
      <c r="G1179" s="171"/>
      <c r="H1179" s="172" t="s">
        <v>131</v>
      </c>
      <c r="I1179" s="172"/>
      <c r="J1179" s="174">
        <v>134000</v>
      </c>
      <c r="K1179" s="174"/>
      <c r="L1179" s="174"/>
      <c r="M1179" s="174"/>
      <c r="N1179" s="176"/>
    </row>
    <row r="1180" spans="1:14" x14ac:dyDescent="0.25">
      <c r="A1180" s="165">
        <v>45526</v>
      </c>
      <c r="B1180" s="166">
        <f t="shared" si="41"/>
        <v>8</v>
      </c>
      <c r="C1180" s="25">
        <f t="shared" si="40"/>
        <v>2024</v>
      </c>
      <c r="D1180" s="169" t="s">
        <v>352</v>
      </c>
      <c r="E1180" s="170" t="s">
        <v>343</v>
      </c>
      <c r="F1180" s="171" t="s">
        <v>516</v>
      </c>
      <c r="G1180" s="171"/>
      <c r="H1180" s="172" t="s">
        <v>131</v>
      </c>
      <c r="I1180" s="172"/>
      <c r="J1180" s="174">
        <v>389076.67</v>
      </c>
      <c r="K1180" s="174"/>
      <c r="L1180" s="174"/>
      <c r="M1180" s="174"/>
      <c r="N1180" s="176"/>
    </row>
    <row r="1181" spans="1:14" x14ac:dyDescent="0.25">
      <c r="A1181" s="165">
        <v>45526</v>
      </c>
      <c r="B1181" s="166">
        <f t="shared" si="41"/>
        <v>8</v>
      </c>
      <c r="C1181" s="25">
        <f t="shared" si="40"/>
        <v>2024</v>
      </c>
      <c r="D1181" s="169" t="s">
        <v>352</v>
      </c>
      <c r="E1181" s="170" t="s">
        <v>93</v>
      </c>
      <c r="F1181" s="171" t="s">
        <v>516</v>
      </c>
      <c r="G1181" s="171"/>
      <c r="H1181" s="172" t="s">
        <v>131</v>
      </c>
      <c r="I1181" s="172"/>
      <c r="J1181" s="174">
        <v>389076.67</v>
      </c>
      <c r="K1181" s="174"/>
      <c r="L1181" s="174"/>
      <c r="M1181" s="174"/>
      <c r="N1181" s="176"/>
    </row>
    <row r="1182" spans="1:14" x14ac:dyDescent="0.25">
      <c r="A1182" s="165">
        <v>45526</v>
      </c>
      <c r="B1182" s="166">
        <f t="shared" si="41"/>
        <v>8</v>
      </c>
      <c r="C1182" s="25">
        <f t="shared" si="40"/>
        <v>2024</v>
      </c>
      <c r="D1182" s="169" t="s">
        <v>352</v>
      </c>
      <c r="E1182" s="170" t="s">
        <v>93</v>
      </c>
      <c r="F1182" s="171" t="s">
        <v>516</v>
      </c>
      <c r="G1182" s="171"/>
      <c r="H1182" s="172" t="s">
        <v>131</v>
      </c>
      <c r="I1182" s="172"/>
      <c r="J1182" s="174">
        <v>389076.67</v>
      </c>
      <c r="K1182" s="174"/>
      <c r="L1182" s="174"/>
      <c r="M1182" s="174"/>
      <c r="N1182" s="176"/>
    </row>
    <row r="1183" spans="1:14" x14ac:dyDescent="0.25">
      <c r="A1183" s="165">
        <v>45526</v>
      </c>
      <c r="B1183" s="166">
        <f t="shared" si="41"/>
        <v>8</v>
      </c>
      <c r="C1183" s="25">
        <f t="shared" si="40"/>
        <v>2024</v>
      </c>
      <c r="D1183" s="169" t="s">
        <v>352</v>
      </c>
      <c r="E1183" s="170" t="s">
        <v>93</v>
      </c>
      <c r="F1183" s="171" t="s">
        <v>979</v>
      </c>
      <c r="G1183" s="171"/>
      <c r="H1183" s="172" t="s">
        <v>131</v>
      </c>
      <c r="I1183" s="172"/>
      <c r="J1183" s="174">
        <v>244000</v>
      </c>
      <c r="K1183" s="174"/>
      <c r="L1183" s="174"/>
      <c r="M1183" s="174"/>
      <c r="N1183" s="176"/>
    </row>
    <row r="1184" spans="1:14" x14ac:dyDescent="0.25">
      <c r="A1184" s="165">
        <v>45526</v>
      </c>
      <c r="B1184" s="166">
        <f t="shared" si="41"/>
        <v>8</v>
      </c>
      <c r="C1184" s="25">
        <f t="shared" si="40"/>
        <v>2024</v>
      </c>
      <c r="D1184" s="169" t="s">
        <v>352</v>
      </c>
      <c r="E1184" s="170" t="s">
        <v>93</v>
      </c>
      <c r="F1184" s="171" t="s">
        <v>979</v>
      </c>
      <c r="G1184" s="171"/>
      <c r="H1184" s="172" t="s">
        <v>131</v>
      </c>
      <c r="I1184" s="172"/>
      <c r="J1184" s="174">
        <v>244150</v>
      </c>
      <c r="K1184" s="174"/>
      <c r="L1184" s="174"/>
      <c r="M1184" s="174"/>
      <c r="N1184" s="176"/>
    </row>
    <row r="1185" spans="1:14" x14ac:dyDescent="0.25">
      <c r="A1185" s="165">
        <v>45526</v>
      </c>
      <c r="B1185" s="166">
        <f t="shared" si="41"/>
        <v>8</v>
      </c>
      <c r="C1185" s="25">
        <f t="shared" si="40"/>
        <v>2024</v>
      </c>
      <c r="D1185" s="169" t="s">
        <v>124</v>
      </c>
      <c r="E1185" s="170" t="s">
        <v>93</v>
      </c>
      <c r="F1185" s="171"/>
      <c r="G1185" s="171" t="s">
        <v>553</v>
      </c>
      <c r="H1185" s="172" t="s">
        <v>131</v>
      </c>
      <c r="I1185" s="172"/>
      <c r="J1185" s="174"/>
      <c r="K1185" s="174">
        <v>134000</v>
      </c>
      <c r="L1185" s="174"/>
      <c r="M1185" s="174"/>
      <c r="N1185" s="176"/>
    </row>
    <row r="1186" spans="1:14" x14ac:dyDescent="0.25">
      <c r="A1186" s="165">
        <v>45526</v>
      </c>
      <c r="B1186" s="166">
        <f t="shared" si="41"/>
        <v>8</v>
      </c>
      <c r="C1186" s="25">
        <f t="shared" si="40"/>
        <v>2024</v>
      </c>
      <c r="D1186" s="169" t="s">
        <v>124</v>
      </c>
      <c r="E1186" s="170" t="s">
        <v>93</v>
      </c>
      <c r="F1186" s="171"/>
      <c r="G1186" s="171" t="s">
        <v>553</v>
      </c>
      <c r="H1186" s="172" t="s">
        <v>131</v>
      </c>
      <c r="I1186" s="172"/>
      <c r="J1186" s="174"/>
      <c r="K1186" s="174">
        <v>389076.67</v>
      </c>
      <c r="L1186" s="174"/>
      <c r="M1186" s="174"/>
      <c r="N1186" s="176"/>
    </row>
    <row r="1187" spans="1:14" x14ac:dyDescent="0.25">
      <c r="A1187" s="165">
        <v>45526</v>
      </c>
      <c r="B1187" s="166">
        <f t="shared" si="41"/>
        <v>8</v>
      </c>
      <c r="C1187" s="25">
        <f t="shared" si="40"/>
        <v>2024</v>
      </c>
      <c r="D1187" s="169" t="s">
        <v>124</v>
      </c>
      <c r="E1187" s="170" t="s">
        <v>93</v>
      </c>
      <c r="F1187" s="171"/>
      <c r="G1187" s="171" t="s">
        <v>553</v>
      </c>
      <c r="H1187" s="172" t="s">
        <v>131</v>
      </c>
      <c r="I1187" s="172"/>
      <c r="J1187" s="174"/>
      <c r="K1187" s="174">
        <v>389076.67</v>
      </c>
      <c r="L1187" s="174"/>
      <c r="M1187" s="174"/>
      <c r="N1187" s="176"/>
    </row>
    <row r="1188" spans="1:14" x14ac:dyDescent="0.25">
      <c r="A1188" s="165">
        <v>45526</v>
      </c>
      <c r="B1188" s="166">
        <f t="shared" si="41"/>
        <v>8</v>
      </c>
      <c r="C1188" s="25">
        <f t="shared" si="40"/>
        <v>2024</v>
      </c>
      <c r="D1188" s="169" t="s">
        <v>124</v>
      </c>
      <c r="E1188" s="170" t="s">
        <v>93</v>
      </c>
      <c r="F1188" s="171"/>
      <c r="G1188" s="171" t="s">
        <v>553</v>
      </c>
      <c r="H1188" s="172" t="s">
        <v>131</v>
      </c>
      <c r="I1188" s="172"/>
      <c r="J1188" s="174"/>
      <c r="K1188" s="174">
        <v>389076.67</v>
      </c>
      <c r="L1188" s="174"/>
      <c r="M1188" s="174"/>
      <c r="N1188" s="176"/>
    </row>
    <row r="1189" spans="1:14" x14ac:dyDescent="0.25">
      <c r="A1189" s="165">
        <v>45526</v>
      </c>
      <c r="B1189" s="166">
        <f t="shared" si="41"/>
        <v>8</v>
      </c>
      <c r="C1189" s="25">
        <f t="shared" si="40"/>
        <v>2024</v>
      </c>
      <c r="D1189" s="169" t="s">
        <v>124</v>
      </c>
      <c r="E1189" s="170" t="s">
        <v>93</v>
      </c>
      <c r="F1189" s="171"/>
      <c r="G1189" s="171" t="s">
        <v>553</v>
      </c>
      <c r="H1189" s="172" t="s">
        <v>131</v>
      </c>
      <c r="I1189" s="172"/>
      <c r="J1189" s="174"/>
      <c r="K1189" s="174">
        <v>244000</v>
      </c>
      <c r="L1189" s="174"/>
      <c r="M1189" s="174"/>
      <c r="N1189" s="176"/>
    </row>
    <row r="1190" spans="1:14" x14ac:dyDescent="0.25">
      <c r="A1190" s="165">
        <v>45526</v>
      </c>
      <c r="B1190" s="166">
        <f t="shared" si="41"/>
        <v>8</v>
      </c>
      <c r="C1190" s="25">
        <f t="shared" si="40"/>
        <v>2024</v>
      </c>
      <c r="D1190" s="169" t="s">
        <v>124</v>
      </c>
      <c r="E1190" s="170" t="s">
        <v>93</v>
      </c>
      <c r="F1190" s="171"/>
      <c r="G1190" s="171" t="s">
        <v>553</v>
      </c>
      <c r="H1190" s="172" t="s">
        <v>131</v>
      </c>
      <c r="I1190" s="172"/>
      <c r="J1190" s="174"/>
      <c r="K1190" s="174">
        <v>244150</v>
      </c>
      <c r="L1190" s="174"/>
      <c r="M1190" s="174"/>
      <c r="N1190" s="176"/>
    </row>
    <row r="1191" spans="1:14" x14ac:dyDescent="0.25">
      <c r="A1191" s="165">
        <v>45526</v>
      </c>
      <c r="B1191" s="166">
        <f t="shared" si="41"/>
        <v>8</v>
      </c>
      <c r="C1191" s="25">
        <f t="shared" si="40"/>
        <v>2024</v>
      </c>
      <c r="D1191" s="169" t="s">
        <v>124</v>
      </c>
      <c r="E1191" s="170" t="s">
        <v>93</v>
      </c>
      <c r="F1191" s="171"/>
      <c r="G1191" s="171" t="s">
        <v>553</v>
      </c>
      <c r="H1191" s="172" t="s">
        <v>131</v>
      </c>
      <c r="I1191" s="172"/>
      <c r="J1191" s="174"/>
      <c r="K1191" s="174">
        <v>350000</v>
      </c>
      <c r="L1191" s="174"/>
      <c r="M1191" s="174"/>
      <c r="N1191" s="176"/>
    </row>
    <row r="1192" spans="1:14" x14ac:dyDescent="0.25">
      <c r="A1192" s="165">
        <v>45526</v>
      </c>
      <c r="B1192" s="166">
        <f t="shared" si="41"/>
        <v>8</v>
      </c>
      <c r="C1192" s="25">
        <f t="shared" si="40"/>
        <v>2024</v>
      </c>
      <c r="D1192" s="169" t="s">
        <v>124</v>
      </c>
      <c r="E1192" s="170" t="s">
        <v>93</v>
      </c>
      <c r="F1192" s="171" t="s">
        <v>983</v>
      </c>
      <c r="G1192" s="171"/>
      <c r="H1192" s="172" t="s">
        <v>130</v>
      </c>
      <c r="I1192" s="172"/>
      <c r="J1192" s="174"/>
      <c r="K1192" s="174">
        <v>1621300</v>
      </c>
      <c r="L1192" s="174"/>
      <c r="M1192" s="174"/>
      <c r="N1192" s="176"/>
    </row>
    <row r="1193" spans="1:14" x14ac:dyDescent="0.25">
      <c r="A1193" s="165">
        <v>45526</v>
      </c>
      <c r="B1193" s="166">
        <f t="shared" si="41"/>
        <v>8</v>
      </c>
      <c r="C1193" s="25">
        <f t="shared" si="40"/>
        <v>2024</v>
      </c>
      <c r="D1193" s="169" t="s">
        <v>352</v>
      </c>
      <c r="E1193" s="170" t="s">
        <v>93</v>
      </c>
      <c r="F1193" s="171" t="s">
        <v>1055</v>
      </c>
      <c r="G1193" s="171"/>
      <c r="H1193" s="172" t="s">
        <v>545</v>
      </c>
      <c r="I1193" s="172"/>
      <c r="J1193" s="174">
        <v>244850</v>
      </c>
      <c r="K1193" s="174"/>
      <c r="L1193" s="174"/>
      <c r="M1193" s="174"/>
      <c r="N1193" s="176"/>
    </row>
    <row r="1194" spans="1:14" x14ac:dyDescent="0.25">
      <c r="A1194" s="165">
        <v>45527</v>
      </c>
      <c r="B1194" s="166">
        <f t="shared" si="41"/>
        <v>8</v>
      </c>
      <c r="C1194" s="25">
        <f t="shared" si="40"/>
        <v>2024</v>
      </c>
      <c r="D1194" s="169" t="s">
        <v>352</v>
      </c>
      <c r="E1194" s="170" t="s">
        <v>93</v>
      </c>
      <c r="F1194" s="171" t="s">
        <v>914</v>
      </c>
      <c r="G1194" s="171"/>
      <c r="H1194" s="172" t="s">
        <v>130</v>
      </c>
      <c r="I1194" s="172"/>
      <c r="J1194" s="174">
        <v>53700</v>
      </c>
      <c r="K1194" s="174"/>
      <c r="L1194" s="174"/>
      <c r="M1194" s="174"/>
      <c r="N1194" s="176"/>
    </row>
    <row r="1195" spans="1:14" x14ac:dyDescent="0.25">
      <c r="A1195" s="165">
        <v>45527</v>
      </c>
      <c r="B1195" s="166">
        <f t="shared" si="41"/>
        <v>8</v>
      </c>
      <c r="C1195" s="25">
        <f t="shared" si="40"/>
        <v>2024</v>
      </c>
      <c r="D1195" s="169" t="s">
        <v>352</v>
      </c>
      <c r="E1195" s="170" t="s">
        <v>93</v>
      </c>
      <c r="F1195" s="171" t="s">
        <v>1055</v>
      </c>
      <c r="G1195" s="171"/>
      <c r="H1195" s="172" t="s">
        <v>545</v>
      </c>
      <c r="I1195" s="172"/>
      <c r="J1195" s="174">
        <v>244850</v>
      </c>
      <c r="K1195" s="174"/>
      <c r="L1195" s="174"/>
      <c r="M1195" s="174"/>
      <c r="N1195" s="176"/>
    </row>
    <row r="1196" spans="1:14" x14ac:dyDescent="0.25">
      <c r="A1196" s="165">
        <v>45527</v>
      </c>
      <c r="B1196" s="166">
        <f t="shared" si="41"/>
        <v>8</v>
      </c>
      <c r="C1196" s="25">
        <f t="shared" si="40"/>
        <v>2024</v>
      </c>
      <c r="D1196" s="169" t="s">
        <v>626</v>
      </c>
      <c r="E1196" s="170" t="s">
        <v>93</v>
      </c>
      <c r="F1196" s="171"/>
      <c r="G1196" s="171"/>
      <c r="H1196" s="172" t="s">
        <v>130</v>
      </c>
      <c r="I1196" s="172"/>
      <c r="J1196" s="174"/>
      <c r="K1196" s="174">
        <v>125000</v>
      </c>
      <c r="L1196" s="174"/>
      <c r="M1196" s="174"/>
      <c r="N1196" s="176"/>
    </row>
    <row r="1197" spans="1:14" x14ac:dyDescent="0.25">
      <c r="A1197" s="165">
        <v>45528</v>
      </c>
      <c r="B1197" s="166">
        <f t="shared" si="41"/>
        <v>8</v>
      </c>
      <c r="C1197" s="25">
        <f t="shared" si="40"/>
        <v>2024</v>
      </c>
      <c r="D1197" s="169" t="s">
        <v>352</v>
      </c>
      <c r="E1197" s="170" t="s">
        <v>93</v>
      </c>
      <c r="F1197" s="171" t="s">
        <v>898</v>
      </c>
      <c r="G1197" s="171"/>
      <c r="H1197" s="172" t="s">
        <v>131</v>
      </c>
      <c r="I1197" s="172"/>
      <c r="J1197" s="174">
        <v>104186.51</v>
      </c>
      <c r="K1197" s="174"/>
      <c r="L1197" s="174"/>
      <c r="M1197" s="174"/>
      <c r="N1197" s="176"/>
    </row>
    <row r="1198" spans="1:14" x14ac:dyDescent="0.25">
      <c r="A1198" s="165">
        <v>45528</v>
      </c>
      <c r="B1198" s="166">
        <f t="shared" si="41"/>
        <v>8</v>
      </c>
      <c r="C1198" s="25">
        <f t="shared" si="40"/>
        <v>2024</v>
      </c>
      <c r="D1198" s="169" t="s">
        <v>352</v>
      </c>
      <c r="E1198" s="170" t="s">
        <v>93</v>
      </c>
      <c r="F1198" s="171" t="s">
        <v>898</v>
      </c>
      <c r="G1198" s="171"/>
      <c r="H1198" s="172" t="s">
        <v>131</v>
      </c>
      <c r="I1198" s="172"/>
      <c r="J1198" s="174">
        <v>558269.75</v>
      </c>
      <c r="K1198" s="174"/>
      <c r="L1198" s="174"/>
      <c r="M1198" s="174"/>
      <c r="N1198" s="176"/>
    </row>
    <row r="1199" spans="1:14" x14ac:dyDescent="0.25">
      <c r="A1199" s="165">
        <v>45528</v>
      </c>
      <c r="B1199" s="166">
        <f t="shared" si="41"/>
        <v>8</v>
      </c>
      <c r="C1199" s="25">
        <f t="shared" si="40"/>
        <v>2024</v>
      </c>
      <c r="D1199" s="169" t="s">
        <v>92</v>
      </c>
      <c r="E1199" s="170" t="s">
        <v>92</v>
      </c>
      <c r="F1199" s="171"/>
      <c r="G1199" s="171"/>
      <c r="H1199" s="172" t="s">
        <v>92</v>
      </c>
      <c r="I1199" s="172"/>
      <c r="J1199" s="174"/>
      <c r="K1199" s="174">
        <v>115000</v>
      </c>
      <c r="L1199" s="174"/>
      <c r="M1199" s="174"/>
      <c r="N1199" s="176"/>
    </row>
    <row r="1200" spans="1:14" x14ac:dyDescent="0.25">
      <c r="A1200" s="165">
        <v>45530</v>
      </c>
      <c r="B1200" s="166">
        <f t="shared" si="41"/>
        <v>8</v>
      </c>
      <c r="C1200" s="25">
        <f t="shared" si="40"/>
        <v>2024</v>
      </c>
      <c r="D1200" s="169" t="s">
        <v>352</v>
      </c>
      <c r="E1200" s="170" t="s">
        <v>93</v>
      </c>
      <c r="F1200" s="171" t="s">
        <v>926</v>
      </c>
      <c r="G1200" s="171"/>
      <c r="H1200" s="172" t="s">
        <v>130</v>
      </c>
      <c r="I1200" s="172"/>
      <c r="J1200" s="174">
        <v>189000</v>
      </c>
      <c r="K1200" s="174"/>
      <c r="L1200" s="174"/>
      <c r="M1200" s="174"/>
      <c r="N1200" s="176"/>
    </row>
    <row r="1201" spans="1:14" x14ac:dyDescent="0.25">
      <c r="A1201" s="165">
        <v>45530</v>
      </c>
      <c r="B1201" s="166">
        <f t="shared" si="41"/>
        <v>8</v>
      </c>
      <c r="C1201" s="25">
        <f t="shared" si="40"/>
        <v>2024</v>
      </c>
      <c r="D1201" s="169" t="s">
        <v>124</v>
      </c>
      <c r="E1201" s="170" t="s">
        <v>93</v>
      </c>
      <c r="F1201" s="171"/>
      <c r="G1201" s="171" t="s">
        <v>554</v>
      </c>
      <c r="H1201" s="172" t="s">
        <v>130</v>
      </c>
      <c r="I1201" s="172"/>
      <c r="J1201" s="174"/>
      <c r="K1201" s="174">
        <v>651656.12</v>
      </c>
      <c r="L1201" s="174"/>
      <c r="M1201" s="174"/>
      <c r="N1201" s="176"/>
    </row>
    <row r="1202" spans="1:14" x14ac:dyDescent="0.25">
      <c r="A1202" s="165">
        <v>45530</v>
      </c>
      <c r="B1202" s="166">
        <f t="shared" si="41"/>
        <v>8</v>
      </c>
      <c r="C1202" s="25">
        <f t="shared" si="40"/>
        <v>2024</v>
      </c>
      <c r="D1202" s="169" t="s">
        <v>124</v>
      </c>
      <c r="E1202" s="170" t="s">
        <v>93</v>
      </c>
      <c r="F1202" s="171" t="s">
        <v>1023</v>
      </c>
      <c r="G1202" s="171"/>
      <c r="H1202" s="172" t="s">
        <v>130</v>
      </c>
      <c r="I1202" s="172"/>
      <c r="J1202" s="174"/>
      <c r="K1202" s="174">
        <v>125000</v>
      </c>
      <c r="L1202" s="174"/>
      <c r="M1202" s="174"/>
      <c r="N1202" s="176"/>
    </row>
    <row r="1203" spans="1:14" x14ac:dyDescent="0.25">
      <c r="A1203" s="165">
        <v>45530</v>
      </c>
      <c r="B1203" s="166">
        <f t="shared" si="41"/>
        <v>8</v>
      </c>
      <c r="C1203" s="25">
        <f t="shared" si="40"/>
        <v>2024</v>
      </c>
      <c r="D1203" s="169" t="s">
        <v>352</v>
      </c>
      <c r="E1203" s="170" t="s">
        <v>93</v>
      </c>
      <c r="F1203" s="171" t="s">
        <v>596</v>
      </c>
      <c r="G1203" s="171"/>
      <c r="H1203" s="172" t="s">
        <v>130</v>
      </c>
      <c r="I1203" s="172"/>
      <c r="J1203" s="174">
        <v>158000</v>
      </c>
      <c r="K1203" s="174"/>
      <c r="L1203" s="174"/>
      <c r="M1203" s="174"/>
      <c r="N1203" s="176"/>
    </row>
    <row r="1204" spans="1:14" x14ac:dyDescent="0.25">
      <c r="A1204" s="165">
        <v>45530</v>
      </c>
      <c r="B1204" s="166">
        <f t="shared" si="41"/>
        <v>8</v>
      </c>
      <c r="C1204" s="25">
        <f t="shared" si="40"/>
        <v>2024</v>
      </c>
      <c r="D1204" s="169" t="s">
        <v>352</v>
      </c>
      <c r="E1204" s="170" t="s">
        <v>93</v>
      </c>
      <c r="F1204" s="171" t="s">
        <v>1058</v>
      </c>
      <c r="G1204" s="171"/>
      <c r="H1204" s="172" t="s">
        <v>130</v>
      </c>
      <c r="I1204" s="172"/>
      <c r="J1204" s="174">
        <v>269500</v>
      </c>
      <c r="K1204" s="174"/>
      <c r="L1204" s="174"/>
      <c r="M1204" s="174"/>
      <c r="N1204" s="176"/>
    </row>
    <row r="1205" spans="1:14" x14ac:dyDescent="0.25">
      <c r="A1205" s="165">
        <v>45530</v>
      </c>
      <c r="B1205" s="166">
        <f t="shared" si="41"/>
        <v>8</v>
      </c>
      <c r="C1205" s="25">
        <f t="shared" si="40"/>
        <v>2024</v>
      </c>
      <c r="D1205" s="169" t="s">
        <v>352</v>
      </c>
      <c r="E1205" s="170" t="s">
        <v>93</v>
      </c>
      <c r="F1205" s="171" t="s">
        <v>1059</v>
      </c>
      <c r="G1205" s="171"/>
      <c r="H1205" s="172" t="s">
        <v>130</v>
      </c>
      <c r="I1205" s="172"/>
      <c r="J1205" s="174">
        <v>289500</v>
      </c>
      <c r="K1205" s="174"/>
      <c r="L1205" s="174"/>
      <c r="M1205" s="174"/>
      <c r="N1205" s="176"/>
    </row>
    <row r="1206" spans="1:14" x14ac:dyDescent="0.25">
      <c r="A1206" s="165">
        <v>45531</v>
      </c>
      <c r="B1206" s="166">
        <f t="shared" si="41"/>
        <v>8</v>
      </c>
      <c r="C1206" s="25">
        <f t="shared" si="40"/>
        <v>2024</v>
      </c>
      <c r="D1206" s="169" t="s">
        <v>124</v>
      </c>
      <c r="E1206" s="170" t="s">
        <v>93</v>
      </c>
      <c r="F1206" s="171" t="s">
        <v>983</v>
      </c>
      <c r="G1206" s="171"/>
      <c r="H1206" s="172" t="s">
        <v>130</v>
      </c>
      <c r="I1206" s="172"/>
      <c r="J1206" s="174"/>
      <c r="K1206" s="174">
        <v>1787100</v>
      </c>
      <c r="L1206" s="174"/>
      <c r="M1206" s="174"/>
      <c r="N1206" s="176"/>
    </row>
    <row r="1207" spans="1:14" x14ac:dyDescent="0.25">
      <c r="A1207" s="165">
        <v>45531</v>
      </c>
      <c r="B1207" s="166">
        <f t="shared" si="41"/>
        <v>8</v>
      </c>
      <c r="C1207" s="25">
        <f t="shared" si="40"/>
        <v>2024</v>
      </c>
      <c r="D1207" s="169" t="s">
        <v>92</v>
      </c>
      <c r="E1207" s="170" t="s">
        <v>92</v>
      </c>
      <c r="F1207" s="171"/>
      <c r="G1207" s="171"/>
      <c r="H1207" s="172" t="s">
        <v>92</v>
      </c>
      <c r="I1207" s="172"/>
      <c r="J1207" s="174"/>
      <c r="K1207" s="174">
        <v>43000</v>
      </c>
      <c r="L1207" s="174"/>
      <c r="M1207" s="174"/>
      <c r="N1207" s="176"/>
    </row>
    <row r="1208" spans="1:14" x14ac:dyDescent="0.25">
      <c r="A1208" s="165">
        <v>45532</v>
      </c>
      <c r="B1208" s="166">
        <f t="shared" si="41"/>
        <v>8</v>
      </c>
      <c r="C1208" s="25">
        <f t="shared" si="40"/>
        <v>2024</v>
      </c>
      <c r="D1208" s="169" t="s">
        <v>352</v>
      </c>
      <c r="E1208" s="170" t="s">
        <v>93</v>
      </c>
      <c r="F1208" s="171" t="s">
        <v>803</v>
      </c>
      <c r="G1208" s="171"/>
      <c r="H1208" s="172" t="s">
        <v>130</v>
      </c>
      <c r="I1208" s="172"/>
      <c r="J1208" s="174">
        <v>229000</v>
      </c>
      <c r="K1208" s="174"/>
      <c r="L1208" s="174"/>
      <c r="M1208" s="174"/>
      <c r="N1208" s="176"/>
    </row>
    <row r="1209" spans="1:14" x14ac:dyDescent="0.25">
      <c r="A1209" s="165">
        <v>45532</v>
      </c>
      <c r="B1209" s="166">
        <f t="shared" si="41"/>
        <v>8</v>
      </c>
      <c r="C1209" s="25">
        <f t="shared" si="40"/>
        <v>2024</v>
      </c>
      <c r="D1209" s="169" t="s">
        <v>92</v>
      </c>
      <c r="E1209" s="170" t="s">
        <v>92</v>
      </c>
      <c r="F1209" s="171"/>
      <c r="G1209" s="171"/>
      <c r="H1209" s="172" t="s">
        <v>92</v>
      </c>
      <c r="I1209" s="172"/>
      <c r="J1209" s="174"/>
      <c r="K1209" s="174">
        <v>68000</v>
      </c>
      <c r="L1209" s="174"/>
      <c r="M1209" s="174"/>
      <c r="N1209" s="176"/>
    </row>
    <row r="1210" spans="1:14" x14ac:dyDescent="0.25">
      <c r="A1210" s="165">
        <v>45532</v>
      </c>
      <c r="B1210" s="166">
        <f t="shared" si="41"/>
        <v>8</v>
      </c>
      <c r="C1210" s="25">
        <f t="shared" si="40"/>
        <v>2024</v>
      </c>
      <c r="D1210" s="169" t="s">
        <v>352</v>
      </c>
      <c r="E1210" s="170" t="s">
        <v>93</v>
      </c>
      <c r="F1210" s="171" t="s">
        <v>1061</v>
      </c>
      <c r="G1210" s="171"/>
      <c r="H1210" s="172" t="s">
        <v>130</v>
      </c>
      <c r="I1210" s="172"/>
      <c r="J1210" s="174">
        <v>50000</v>
      </c>
      <c r="K1210" s="174"/>
      <c r="L1210" s="174"/>
      <c r="M1210" s="174"/>
      <c r="N1210" s="176"/>
    </row>
    <row r="1211" spans="1:14" x14ac:dyDescent="0.25">
      <c r="A1211" s="165">
        <v>45532</v>
      </c>
      <c r="B1211" s="166">
        <f t="shared" si="41"/>
        <v>8</v>
      </c>
      <c r="C1211" s="25">
        <f t="shared" si="40"/>
        <v>2024</v>
      </c>
      <c r="D1211" s="169" t="s">
        <v>92</v>
      </c>
      <c r="E1211" s="170" t="s">
        <v>92</v>
      </c>
      <c r="F1211" s="171"/>
      <c r="G1211" s="171"/>
      <c r="H1211" s="172" t="s">
        <v>92</v>
      </c>
      <c r="I1211" s="172"/>
      <c r="J1211" s="174"/>
      <c r="K1211" s="174">
        <v>180000</v>
      </c>
      <c r="L1211" s="174"/>
      <c r="M1211" s="174"/>
      <c r="N1211" s="176"/>
    </row>
    <row r="1212" spans="1:14" x14ac:dyDescent="0.25">
      <c r="A1212" s="165">
        <v>45533</v>
      </c>
      <c r="B1212" s="166">
        <f t="shared" si="41"/>
        <v>8</v>
      </c>
      <c r="C1212" s="25">
        <f t="shared" si="40"/>
        <v>2024</v>
      </c>
      <c r="D1212" s="169" t="s">
        <v>92</v>
      </c>
      <c r="E1212" s="170" t="s">
        <v>92</v>
      </c>
      <c r="F1212" s="171" t="s">
        <v>1060</v>
      </c>
      <c r="G1212" s="171"/>
      <c r="H1212" s="172" t="s">
        <v>92</v>
      </c>
      <c r="I1212" s="172"/>
      <c r="J1212" s="174"/>
      <c r="K1212" s="174">
        <v>186540</v>
      </c>
      <c r="L1212" s="174"/>
      <c r="M1212" s="174"/>
      <c r="N1212" s="176"/>
    </row>
    <row r="1213" spans="1:14" x14ac:dyDescent="0.25">
      <c r="A1213" s="165">
        <v>45533</v>
      </c>
      <c r="B1213" s="166">
        <f t="shared" si="41"/>
        <v>8</v>
      </c>
      <c r="C1213" s="25">
        <f t="shared" si="40"/>
        <v>2024</v>
      </c>
      <c r="D1213" s="169" t="s">
        <v>124</v>
      </c>
      <c r="E1213" s="170" t="s">
        <v>93</v>
      </c>
      <c r="F1213" s="171"/>
      <c r="G1213" s="171" t="s">
        <v>475</v>
      </c>
      <c r="H1213" s="172" t="s">
        <v>130</v>
      </c>
      <c r="I1213" s="172"/>
      <c r="J1213" s="174"/>
      <c r="K1213" s="174">
        <v>44448.94</v>
      </c>
      <c r="L1213" s="174"/>
      <c r="M1213" s="174"/>
      <c r="N1213" s="176"/>
    </row>
    <row r="1214" spans="1:14" x14ac:dyDescent="0.25">
      <c r="A1214" s="165">
        <v>45534</v>
      </c>
      <c r="B1214" s="166">
        <f t="shared" si="41"/>
        <v>8</v>
      </c>
      <c r="C1214" s="25">
        <f t="shared" si="40"/>
        <v>2024</v>
      </c>
      <c r="D1214" s="169" t="s">
        <v>352</v>
      </c>
      <c r="E1214" s="170" t="s">
        <v>93</v>
      </c>
      <c r="F1214" s="171" t="s">
        <v>556</v>
      </c>
      <c r="G1214" s="171"/>
      <c r="H1214" s="172" t="s">
        <v>874</v>
      </c>
      <c r="I1214" s="172"/>
      <c r="J1214" s="174">
        <v>311500</v>
      </c>
      <c r="K1214" s="174"/>
      <c r="L1214" s="174"/>
      <c r="M1214" s="174"/>
      <c r="N1214" s="176"/>
    </row>
    <row r="1215" spans="1:14" x14ac:dyDescent="0.25">
      <c r="A1215" s="165">
        <v>45534</v>
      </c>
      <c r="B1215" s="166">
        <f t="shared" si="41"/>
        <v>8</v>
      </c>
      <c r="C1215" s="25">
        <f t="shared" ref="C1215:C1278" si="42">YEAR((A1215))</f>
        <v>2024</v>
      </c>
      <c r="D1215" s="169" t="s">
        <v>92</v>
      </c>
      <c r="E1215" s="170" t="s">
        <v>92</v>
      </c>
      <c r="F1215" s="171" t="s">
        <v>1060</v>
      </c>
      <c r="G1215" s="171"/>
      <c r="H1215" s="172" t="s">
        <v>92</v>
      </c>
      <c r="I1215" s="172"/>
      <c r="J1215" s="174"/>
      <c r="K1215" s="174">
        <v>300000</v>
      </c>
      <c r="L1215" s="174"/>
      <c r="M1215" s="174"/>
      <c r="N1215" s="176"/>
    </row>
    <row r="1216" spans="1:14" x14ac:dyDescent="0.25">
      <c r="A1216" s="165">
        <v>45534</v>
      </c>
      <c r="B1216" s="166">
        <f t="shared" si="41"/>
        <v>8</v>
      </c>
      <c r="C1216" s="25">
        <f t="shared" si="42"/>
        <v>2024</v>
      </c>
      <c r="D1216" s="169" t="s">
        <v>124</v>
      </c>
      <c r="E1216" s="170" t="s">
        <v>93</v>
      </c>
      <c r="F1216" s="171" t="s">
        <v>1063</v>
      </c>
      <c r="G1216" s="171"/>
      <c r="H1216" s="172" t="s">
        <v>130</v>
      </c>
      <c r="I1216" s="172"/>
      <c r="J1216" s="174"/>
      <c r="K1216" s="174">
        <v>651470.18000000005</v>
      </c>
      <c r="L1216" s="174"/>
      <c r="M1216" s="174"/>
      <c r="N1216" s="176"/>
    </row>
    <row r="1217" spans="1:19" x14ac:dyDescent="0.25">
      <c r="A1217" s="165">
        <v>45534</v>
      </c>
      <c r="B1217" s="166">
        <f t="shared" si="41"/>
        <v>8</v>
      </c>
      <c r="C1217" s="25">
        <f t="shared" si="42"/>
        <v>2024</v>
      </c>
      <c r="D1217" s="169" t="s">
        <v>352</v>
      </c>
      <c r="E1217" s="170" t="s">
        <v>93</v>
      </c>
      <c r="F1217" s="171" t="s">
        <v>430</v>
      </c>
      <c r="G1217" s="171"/>
      <c r="H1217" s="172" t="s">
        <v>545</v>
      </c>
      <c r="I1217" s="172"/>
      <c r="J1217" s="174">
        <v>387800</v>
      </c>
      <c r="K1217" s="174"/>
      <c r="L1217" s="174"/>
      <c r="M1217" s="174"/>
      <c r="N1217" s="176"/>
    </row>
    <row r="1218" spans="1:19" x14ac:dyDescent="0.25">
      <c r="A1218" s="165">
        <v>45534</v>
      </c>
      <c r="B1218" s="166">
        <f t="shared" si="41"/>
        <v>8</v>
      </c>
      <c r="C1218" s="25">
        <f t="shared" si="42"/>
        <v>2024</v>
      </c>
      <c r="D1218" s="169" t="s">
        <v>352</v>
      </c>
      <c r="E1218" s="170" t="s">
        <v>93</v>
      </c>
      <c r="F1218" s="171" t="s">
        <v>1065</v>
      </c>
      <c r="G1218" s="171"/>
      <c r="H1218" s="172" t="s">
        <v>545</v>
      </c>
      <c r="I1218" s="172"/>
      <c r="J1218" s="174">
        <v>193000</v>
      </c>
      <c r="K1218" s="174"/>
      <c r="L1218" s="174"/>
      <c r="M1218" s="174"/>
      <c r="N1218" s="176"/>
    </row>
    <row r="1219" spans="1:19" x14ac:dyDescent="0.25">
      <c r="A1219" s="165">
        <v>45534</v>
      </c>
      <c r="B1219" s="166">
        <f t="shared" ref="B1219:B1282" si="43">MONTH(A1219)</f>
        <v>8</v>
      </c>
      <c r="C1219" s="25">
        <f t="shared" si="42"/>
        <v>2024</v>
      </c>
      <c r="D1219" s="169" t="s">
        <v>626</v>
      </c>
      <c r="E1219" s="170" t="s">
        <v>93</v>
      </c>
      <c r="F1219" s="171"/>
      <c r="G1219" s="171"/>
      <c r="H1219" s="172" t="s">
        <v>130</v>
      </c>
      <c r="I1219" s="172"/>
      <c r="J1219" s="174"/>
      <c r="K1219" s="174">
        <v>125000</v>
      </c>
      <c r="L1219" s="174"/>
      <c r="M1219" s="174"/>
      <c r="N1219" s="176"/>
    </row>
    <row r="1220" spans="1:19" x14ac:dyDescent="0.25">
      <c r="A1220" s="165">
        <v>45535</v>
      </c>
      <c r="B1220" s="166">
        <f t="shared" si="43"/>
        <v>8</v>
      </c>
      <c r="C1220" s="25">
        <f t="shared" si="42"/>
        <v>2024</v>
      </c>
      <c r="D1220" s="169" t="s">
        <v>646</v>
      </c>
      <c r="E1220" s="170" t="s">
        <v>92</v>
      </c>
      <c r="F1220" s="171" t="s">
        <v>1073</v>
      </c>
      <c r="G1220" s="171"/>
      <c r="H1220" s="172" t="s">
        <v>130</v>
      </c>
      <c r="I1220" s="172"/>
      <c r="J1220" s="174"/>
      <c r="K1220" s="174">
        <v>1368</v>
      </c>
      <c r="L1220" s="174"/>
      <c r="M1220" s="174"/>
      <c r="N1220" s="176"/>
    </row>
    <row r="1221" spans="1:19" x14ac:dyDescent="0.25">
      <c r="A1221" s="165">
        <v>45535</v>
      </c>
      <c r="B1221" s="166">
        <f t="shared" si="43"/>
        <v>8</v>
      </c>
      <c r="C1221" s="25">
        <f t="shared" si="42"/>
        <v>2024</v>
      </c>
      <c r="D1221" s="169" t="s">
        <v>646</v>
      </c>
      <c r="E1221" s="170" t="s">
        <v>92</v>
      </c>
      <c r="F1221" s="171" t="s">
        <v>1074</v>
      </c>
      <c r="G1221" s="171"/>
      <c r="H1221" s="172" t="s">
        <v>130</v>
      </c>
      <c r="I1221" s="172"/>
      <c r="J1221" s="174"/>
      <c r="K1221" s="174">
        <v>132000</v>
      </c>
      <c r="L1221" s="174"/>
      <c r="M1221" s="174"/>
      <c r="N1221" s="176"/>
    </row>
    <row r="1222" spans="1:19" x14ac:dyDescent="0.25">
      <c r="A1222" s="165">
        <v>45535</v>
      </c>
      <c r="B1222" s="166">
        <f t="shared" si="43"/>
        <v>8</v>
      </c>
      <c r="C1222" s="25">
        <f t="shared" si="42"/>
        <v>2024</v>
      </c>
      <c r="D1222" s="169" t="s">
        <v>646</v>
      </c>
      <c r="E1222" s="170" t="s">
        <v>92</v>
      </c>
      <c r="F1222" s="171" t="s">
        <v>1075</v>
      </c>
      <c r="G1222" s="171"/>
      <c r="H1222" s="172" t="s">
        <v>130</v>
      </c>
      <c r="I1222" s="172"/>
      <c r="J1222" s="174"/>
      <c r="K1222" s="174">
        <v>48000</v>
      </c>
      <c r="L1222" s="174"/>
      <c r="M1222" s="174"/>
      <c r="N1222" s="176"/>
    </row>
    <row r="1223" spans="1:19" s="92" customFormat="1" x14ac:dyDescent="0.25">
      <c r="A1223" s="178">
        <v>45536</v>
      </c>
      <c r="B1223" s="180">
        <f t="shared" si="43"/>
        <v>9</v>
      </c>
      <c r="C1223" s="87">
        <f t="shared" si="42"/>
        <v>2024</v>
      </c>
      <c r="D1223" s="182" t="s">
        <v>92</v>
      </c>
      <c r="E1223" s="184" t="s">
        <v>92</v>
      </c>
      <c r="F1223" s="184" t="s">
        <v>1117</v>
      </c>
      <c r="G1223" s="184"/>
      <c r="H1223" s="186" t="s">
        <v>92</v>
      </c>
      <c r="I1223" s="186"/>
      <c r="J1223" s="188"/>
      <c r="K1223" s="188">
        <v>316434.86</v>
      </c>
      <c r="L1223" s="188"/>
      <c r="M1223" s="188"/>
      <c r="N1223" s="190"/>
      <c r="O1223" s="91"/>
    </row>
    <row r="1224" spans="1:19" x14ac:dyDescent="0.25">
      <c r="A1224" s="177">
        <v>45536</v>
      </c>
      <c r="B1224" s="179">
        <f t="shared" si="43"/>
        <v>9</v>
      </c>
      <c r="C1224" s="160">
        <f t="shared" si="42"/>
        <v>2024</v>
      </c>
      <c r="D1224" s="181" t="s">
        <v>92</v>
      </c>
      <c r="E1224" s="183" t="s">
        <v>92</v>
      </c>
      <c r="F1224" s="183"/>
      <c r="G1224" s="183"/>
      <c r="H1224" s="185" t="s">
        <v>92</v>
      </c>
      <c r="I1224" s="185"/>
      <c r="J1224" s="187"/>
      <c r="K1224" s="187">
        <v>91250</v>
      </c>
      <c r="L1224" s="187"/>
      <c r="M1224" s="187"/>
      <c r="N1224" s="189"/>
      <c r="O1224" s="162"/>
      <c r="P1224" s="161"/>
      <c r="Q1224" s="161"/>
      <c r="R1224" s="161"/>
      <c r="S1224" s="161"/>
    </row>
    <row r="1225" spans="1:19" x14ac:dyDescent="0.25">
      <c r="A1225" s="165">
        <v>45537</v>
      </c>
      <c r="B1225" s="166">
        <f t="shared" si="43"/>
        <v>9</v>
      </c>
      <c r="C1225" s="25">
        <f t="shared" si="42"/>
        <v>2024</v>
      </c>
      <c r="D1225" s="169" t="s">
        <v>352</v>
      </c>
      <c r="E1225" s="170" t="s">
        <v>93</v>
      </c>
      <c r="F1225" s="171" t="s">
        <v>666</v>
      </c>
      <c r="G1225" s="171"/>
      <c r="H1225" s="172" t="s">
        <v>130</v>
      </c>
      <c r="I1225" s="172"/>
      <c r="J1225" s="174">
        <v>25000</v>
      </c>
      <c r="K1225" s="174"/>
      <c r="L1225" s="174"/>
      <c r="M1225" s="174"/>
      <c r="N1225" s="176"/>
    </row>
    <row r="1226" spans="1:19" x14ac:dyDescent="0.25">
      <c r="A1226" s="165">
        <v>45537</v>
      </c>
      <c r="B1226" s="166">
        <f t="shared" si="43"/>
        <v>9</v>
      </c>
      <c r="C1226" s="25">
        <f t="shared" si="42"/>
        <v>2024</v>
      </c>
      <c r="D1226" s="169" t="s">
        <v>352</v>
      </c>
      <c r="E1226" s="170" t="s">
        <v>93</v>
      </c>
      <c r="F1226" s="171" t="s">
        <v>551</v>
      </c>
      <c r="G1226" s="171"/>
      <c r="H1226" s="172" t="s">
        <v>130</v>
      </c>
      <c r="I1226" s="172"/>
      <c r="J1226" s="174">
        <v>850000</v>
      </c>
      <c r="K1226" s="174"/>
      <c r="L1226" s="174"/>
      <c r="M1226" s="174"/>
      <c r="N1226" s="176"/>
    </row>
    <row r="1227" spans="1:19" s="92" customFormat="1" x14ac:dyDescent="0.25">
      <c r="A1227" s="165">
        <v>45537</v>
      </c>
      <c r="B1227" s="166">
        <f t="shared" si="43"/>
        <v>9</v>
      </c>
      <c r="C1227" s="25">
        <f t="shared" si="42"/>
        <v>2024</v>
      </c>
      <c r="D1227" s="169" t="s">
        <v>352</v>
      </c>
      <c r="E1227" s="170" t="s">
        <v>93</v>
      </c>
      <c r="F1227" s="171"/>
      <c r="G1227" s="171"/>
      <c r="H1227" s="172" t="s">
        <v>130</v>
      </c>
      <c r="I1227" s="172"/>
      <c r="J1227" s="174">
        <v>150000</v>
      </c>
      <c r="K1227" s="174"/>
      <c r="L1227" s="174"/>
      <c r="M1227" s="174"/>
      <c r="N1227" s="176"/>
      <c r="O1227" s="19"/>
      <c r="P1227"/>
      <c r="Q1227"/>
      <c r="R1227"/>
      <c r="S1227"/>
    </row>
    <row r="1228" spans="1:19" x14ac:dyDescent="0.25">
      <c r="A1228" s="178">
        <v>45537</v>
      </c>
      <c r="B1228" s="180">
        <f t="shared" si="43"/>
        <v>9</v>
      </c>
      <c r="C1228" s="87">
        <f t="shared" si="42"/>
        <v>2024</v>
      </c>
      <c r="D1228" s="182" t="s">
        <v>92</v>
      </c>
      <c r="E1228" s="184" t="s">
        <v>92</v>
      </c>
      <c r="F1228" s="184" t="s">
        <v>1060</v>
      </c>
      <c r="G1228" s="184"/>
      <c r="H1228" s="186" t="s">
        <v>92</v>
      </c>
      <c r="I1228" s="186"/>
      <c r="J1228" s="188"/>
      <c r="K1228" s="188">
        <v>266975</v>
      </c>
      <c r="L1228" s="188"/>
      <c r="M1228" s="188"/>
      <c r="N1228" s="190"/>
      <c r="O1228" s="91"/>
      <c r="P1228" s="92"/>
      <c r="Q1228" s="92"/>
      <c r="R1228" s="92"/>
      <c r="S1228" s="92"/>
    </row>
    <row r="1229" spans="1:19" x14ac:dyDescent="0.25">
      <c r="A1229" s="165">
        <v>45538</v>
      </c>
      <c r="B1229" s="166">
        <f t="shared" si="43"/>
        <v>9</v>
      </c>
      <c r="C1229" s="25">
        <f t="shared" si="42"/>
        <v>2024</v>
      </c>
      <c r="D1229" s="169" t="s">
        <v>352</v>
      </c>
      <c r="E1229" s="170" t="s">
        <v>93</v>
      </c>
      <c r="F1229" s="171" t="s">
        <v>529</v>
      </c>
      <c r="G1229" s="171"/>
      <c r="H1229" s="172" t="s">
        <v>130</v>
      </c>
      <c r="I1229" s="172"/>
      <c r="J1229" s="174">
        <v>100800</v>
      </c>
      <c r="K1229" s="174"/>
      <c r="L1229" s="174"/>
      <c r="M1229" s="174"/>
      <c r="N1229" s="176"/>
    </row>
    <row r="1230" spans="1:19" x14ac:dyDescent="0.25">
      <c r="A1230" s="165">
        <v>45538</v>
      </c>
      <c r="B1230" s="166">
        <f t="shared" si="43"/>
        <v>9</v>
      </c>
      <c r="C1230" s="25">
        <f t="shared" si="42"/>
        <v>2024</v>
      </c>
      <c r="D1230" s="169" t="s">
        <v>352</v>
      </c>
      <c r="E1230" s="170" t="s">
        <v>93</v>
      </c>
      <c r="F1230" s="171" t="s">
        <v>1067</v>
      </c>
      <c r="G1230" s="171"/>
      <c r="H1230" s="172" t="s">
        <v>130</v>
      </c>
      <c r="I1230" s="172"/>
      <c r="J1230" s="174">
        <v>100000</v>
      </c>
      <c r="K1230" s="174"/>
      <c r="L1230" s="174"/>
      <c r="M1230" s="174"/>
      <c r="N1230" s="176"/>
    </row>
    <row r="1231" spans="1:19" x14ac:dyDescent="0.25">
      <c r="A1231" s="165">
        <v>45538</v>
      </c>
      <c r="B1231" s="166">
        <f t="shared" si="43"/>
        <v>9</v>
      </c>
      <c r="C1231" s="25">
        <f t="shared" si="42"/>
        <v>2024</v>
      </c>
      <c r="D1231" s="169" t="s">
        <v>124</v>
      </c>
      <c r="E1231" s="170" t="s">
        <v>93</v>
      </c>
      <c r="F1231" s="171" t="s">
        <v>1068</v>
      </c>
      <c r="G1231" s="171"/>
      <c r="H1231" s="172" t="s">
        <v>130</v>
      </c>
      <c r="I1231" s="172"/>
      <c r="J1231" s="174"/>
      <c r="K1231" s="174">
        <v>65878</v>
      </c>
      <c r="L1231" s="174"/>
      <c r="M1231" s="174"/>
      <c r="N1231" s="176"/>
    </row>
    <row r="1232" spans="1:19" x14ac:dyDescent="0.25">
      <c r="A1232" s="165">
        <v>45538</v>
      </c>
      <c r="B1232" s="166">
        <f t="shared" si="43"/>
        <v>9</v>
      </c>
      <c r="C1232" s="25">
        <f t="shared" si="42"/>
        <v>2024</v>
      </c>
      <c r="D1232" s="169" t="s">
        <v>92</v>
      </c>
      <c r="E1232" s="170" t="s">
        <v>92</v>
      </c>
      <c r="F1232" s="171" t="s">
        <v>841</v>
      </c>
      <c r="G1232" s="171"/>
      <c r="H1232" s="172" t="s">
        <v>92</v>
      </c>
      <c r="I1232" s="172"/>
      <c r="J1232" s="174"/>
      <c r="K1232" s="174">
        <v>55000</v>
      </c>
      <c r="L1232" s="174"/>
      <c r="M1232" s="174"/>
      <c r="N1232" s="176"/>
    </row>
    <row r="1233" spans="1:19" x14ac:dyDescent="0.25">
      <c r="A1233" s="165">
        <v>45538</v>
      </c>
      <c r="B1233" s="166">
        <f t="shared" si="43"/>
        <v>9</v>
      </c>
      <c r="C1233" s="25">
        <f t="shared" si="42"/>
        <v>2024</v>
      </c>
      <c r="D1233" s="169" t="s">
        <v>352</v>
      </c>
      <c r="E1233" s="170" t="s">
        <v>93</v>
      </c>
      <c r="F1233" s="171" t="s">
        <v>1066</v>
      </c>
      <c r="G1233" s="171"/>
      <c r="H1233" s="172" t="s">
        <v>130</v>
      </c>
      <c r="I1233" s="172"/>
      <c r="J1233" s="174">
        <v>100000</v>
      </c>
      <c r="K1233" s="174"/>
      <c r="L1233" s="174"/>
      <c r="M1233" s="174"/>
      <c r="N1233" s="176"/>
    </row>
    <row r="1234" spans="1:19" s="92" customFormat="1" x14ac:dyDescent="0.25">
      <c r="A1234" s="165">
        <v>45538</v>
      </c>
      <c r="B1234" s="166">
        <f t="shared" si="43"/>
        <v>9</v>
      </c>
      <c r="C1234" s="25">
        <f t="shared" si="42"/>
        <v>2024</v>
      </c>
      <c r="D1234" s="169" t="s">
        <v>92</v>
      </c>
      <c r="E1234" s="170" t="s">
        <v>92</v>
      </c>
      <c r="F1234" s="171" t="s">
        <v>1112</v>
      </c>
      <c r="G1234" s="171"/>
      <c r="H1234" s="172" t="s">
        <v>92</v>
      </c>
      <c r="I1234" s="172"/>
      <c r="J1234" s="174"/>
      <c r="K1234" s="174">
        <v>532360.01</v>
      </c>
      <c r="L1234" s="174"/>
      <c r="M1234" s="174"/>
      <c r="N1234" s="176"/>
      <c r="O1234" s="19"/>
      <c r="P1234"/>
      <c r="Q1234"/>
      <c r="R1234"/>
      <c r="S1234"/>
    </row>
    <row r="1235" spans="1:19" x14ac:dyDescent="0.25">
      <c r="A1235" s="178">
        <v>45539</v>
      </c>
      <c r="B1235" s="180">
        <f t="shared" si="43"/>
        <v>9</v>
      </c>
      <c r="C1235" s="87">
        <f t="shared" si="42"/>
        <v>2024</v>
      </c>
      <c r="D1235" s="182" t="s">
        <v>92</v>
      </c>
      <c r="E1235" s="184" t="s">
        <v>92</v>
      </c>
      <c r="F1235" s="184" t="s">
        <v>796</v>
      </c>
      <c r="G1235" s="184"/>
      <c r="H1235" s="186" t="s">
        <v>92</v>
      </c>
      <c r="I1235" s="186"/>
      <c r="J1235" s="188"/>
      <c r="K1235" s="188">
        <v>335888.1</v>
      </c>
      <c r="L1235" s="188"/>
      <c r="M1235" s="188"/>
      <c r="N1235" s="190"/>
      <c r="O1235" s="91"/>
      <c r="P1235" s="92"/>
      <c r="Q1235" s="92"/>
      <c r="R1235" s="92"/>
      <c r="S1235" s="92"/>
    </row>
    <row r="1236" spans="1:19" x14ac:dyDescent="0.25">
      <c r="A1236" s="165">
        <v>45539</v>
      </c>
      <c r="B1236" s="166">
        <f t="shared" si="43"/>
        <v>9</v>
      </c>
      <c r="C1236" s="25">
        <f t="shared" si="42"/>
        <v>2024</v>
      </c>
      <c r="D1236" s="169" t="s">
        <v>352</v>
      </c>
      <c r="E1236" s="170" t="s">
        <v>93</v>
      </c>
      <c r="F1236" s="171" t="s">
        <v>935</v>
      </c>
      <c r="G1236" s="171"/>
      <c r="H1236" s="172" t="s">
        <v>130</v>
      </c>
      <c r="I1236" s="172"/>
      <c r="J1236" s="174">
        <v>606000</v>
      </c>
      <c r="K1236" s="174"/>
      <c r="L1236" s="174"/>
      <c r="M1236" s="174"/>
      <c r="N1236" s="176"/>
    </row>
    <row r="1237" spans="1:19" x14ac:dyDescent="0.25">
      <c r="A1237" s="165">
        <v>45539</v>
      </c>
      <c r="B1237" s="166">
        <f t="shared" si="43"/>
        <v>9</v>
      </c>
      <c r="C1237" s="25">
        <f t="shared" si="42"/>
        <v>2024</v>
      </c>
      <c r="D1237" s="169" t="s">
        <v>92</v>
      </c>
      <c r="E1237" s="170" t="s">
        <v>92</v>
      </c>
      <c r="F1237" s="171" t="s">
        <v>1060</v>
      </c>
      <c r="G1237" s="171"/>
      <c r="H1237" s="172" t="s">
        <v>92</v>
      </c>
      <c r="I1237" s="172"/>
      <c r="J1237" s="174"/>
      <c r="K1237" s="174">
        <v>306466</v>
      </c>
      <c r="L1237" s="174"/>
      <c r="M1237" s="174"/>
      <c r="N1237" s="176"/>
    </row>
    <row r="1238" spans="1:19" x14ac:dyDescent="0.25">
      <c r="A1238" s="165">
        <v>45539</v>
      </c>
      <c r="B1238" s="166">
        <f t="shared" si="43"/>
        <v>9</v>
      </c>
      <c r="C1238" s="25">
        <f t="shared" si="42"/>
        <v>2024</v>
      </c>
      <c r="D1238" s="169" t="s">
        <v>124</v>
      </c>
      <c r="E1238" s="170" t="s">
        <v>93</v>
      </c>
      <c r="F1238" s="171" t="s">
        <v>903</v>
      </c>
      <c r="G1238" s="171"/>
      <c r="H1238" s="172" t="s">
        <v>130</v>
      </c>
      <c r="I1238" s="172"/>
      <c r="J1238" s="174"/>
      <c r="K1238" s="174">
        <v>20000</v>
      </c>
      <c r="L1238" s="174"/>
      <c r="M1238" s="174"/>
      <c r="N1238" s="176"/>
    </row>
    <row r="1239" spans="1:19" x14ac:dyDescent="0.25">
      <c r="A1239" s="165">
        <v>45539</v>
      </c>
      <c r="B1239" s="166">
        <f t="shared" si="43"/>
        <v>9</v>
      </c>
      <c r="C1239" s="25">
        <f t="shared" si="42"/>
        <v>2024</v>
      </c>
      <c r="D1239" s="169" t="s">
        <v>124</v>
      </c>
      <c r="E1239" s="170" t="s">
        <v>93</v>
      </c>
      <c r="F1239" s="171"/>
      <c r="G1239" s="171" t="s">
        <v>553</v>
      </c>
      <c r="H1239" s="172" t="s">
        <v>131</v>
      </c>
      <c r="I1239" s="172"/>
      <c r="J1239" s="174"/>
      <c r="K1239" s="174">
        <v>558269.75</v>
      </c>
      <c r="L1239" s="174"/>
      <c r="M1239" s="174"/>
      <c r="N1239" s="176"/>
    </row>
    <row r="1240" spans="1:19" x14ac:dyDescent="0.25">
      <c r="A1240" s="165">
        <v>45539</v>
      </c>
      <c r="B1240" s="166">
        <f t="shared" si="43"/>
        <v>9</v>
      </c>
      <c r="C1240" s="25">
        <f t="shared" si="42"/>
        <v>2024</v>
      </c>
      <c r="D1240" s="169" t="s">
        <v>124</v>
      </c>
      <c r="E1240" s="170" t="s">
        <v>93</v>
      </c>
      <c r="F1240" s="171"/>
      <c r="G1240" s="171" t="s">
        <v>553</v>
      </c>
      <c r="H1240" s="172" t="s">
        <v>131</v>
      </c>
      <c r="I1240" s="172"/>
      <c r="J1240" s="174"/>
      <c r="K1240" s="174">
        <v>104186.51</v>
      </c>
      <c r="L1240" s="174"/>
      <c r="M1240" s="174"/>
      <c r="N1240" s="176"/>
    </row>
    <row r="1241" spans="1:19" x14ac:dyDescent="0.25">
      <c r="A1241" s="165">
        <v>45540</v>
      </c>
      <c r="B1241" s="166">
        <f t="shared" si="43"/>
        <v>9</v>
      </c>
      <c r="C1241" s="25">
        <f t="shared" si="42"/>
        <v>2024</v>
      </c>
      <c r="D1241" s="169" t="s">
        <v>352</v>
      </c>
      <c r="E1241" s="170" t="s">
        <v>93</v>
      </c>
      <c r="F1241" s="171" t="s">
        <v>1071</v>
      </c>
      <c r="G1241" s="171"/>
      <c r="H1241" s="172" t="s">
        <v>130</v>
      </c>
      <c r="I1241" s="172"/>
      <c r="J1241" s="174">
        <v>125000</v>
      </c>
      <c r="K1241" s="174"/>
      <c r="L1241" s="174"/>
      <c r="M1241" s="174"/>
      <c r="N1241" s="176"/>
    </row>
    <row r="1242" spans="1:19" x14ac:dyDescent="0.25">
      <c r="A1242" s="165">
        <v>45540</v>
      </c>
      <c r="B1242" s="166">
        <f t="shared" si="43"/>
        <v>9</v>
      </c>
      <c r="C1242" s="25">
        <f t="shared" si="42"/>
        <v>2024</v>
      </c>
      <c r="D1242" s="169" t="s">
        <v>352</v>
      </c>
      <c r="E1242" s="170" t="s">
        <v>93</v>
      </c>
      <c r="F1242" s="171" t="s">
        <v>1072</v>
      </c>
      <c r="G1242" s="171"/>
      <c r="H1242" s="172" t="s">
        <v>545</v>
      </c>
      <c r="I1242" s="172"/>
      <c r="J1242" s="174">
        <v>192800</v>
      </c>
      <c r="K1242" s="174"/>
      <c r="L1242" s="174"/>
      <c r="M1242" s="174"/>
      <c r="N1242" s="176"/>
    </row>
    <row r="1243" spans="1:19" x14ac:dyDescent="0.25">
      <c r="A1243" s="165">
        <v>45540</v>
      </c>
      <c r="B1243" s="166">
        <f t="shared" si="43"/>
        <v>9</v>
      </c>
      <c r="C1243" s="25">
        <f t="shared" si="42"/>
        <v>2024</v>
      </c>
      <c r="D1243" s="169" t="s">
        <v>352</v>
      </c>
      <c r="E1243" s="170" t="s">
        <v>93</v>
      </c>
      <c r="F1243" s="171" t="s">
        <v>446</v>
      </c>
      <c r="G1243" s="171"/>
      <c r="H1243" s="172" t="s">
        <v>130</v>
      </c>
      <c r="I1243" s="172"/>
      <c r="J1243" s="174">
        <v>733100</v>
      </c>
      <c r="K1243" s="174"/>
      <c r="L1243" s="174"/>
      <c r="M1243" s="174"/>
      <c r="N1243" s="176"/>
    </row>
    <row r="1244" spans="1:19" x14ac:dyDescent="0.25">
      <c r="A1244" s="165">
        <v>45540</v>
      </c>
      <c r="B1244" s="166">
        <f t="shared" si="43"/>
        <v>9</v>
      </c>
      <c r="C1244" s="25">
        <f t="shared" si="42"/>
        <v>2024</v>
      </c>
      <c r="D1244" s="169" t="s">
        <v>92</v>
      </c>
      <c r="E1244" s="170" t="s">
        <v>92</v>
      </c>
      <c r="F1244" s="171" t="s">
        <v>174</v>
      </c>
      <c r="G1244" s="171"/>
      <c r="H1244" s="172" t="s">
        <v>92</v>
      </c>
      <c r="I1244" s="172"/>
      <c r="J1244" s="174"/>
      <c r="K1244" s="174">
        <v>64414</v>
      </c>
      <c r="L1244" s="174"/>
      <c r="M1244" s="174"/>
      <c r="N1244" s="176"/>
    </row>
    <row r="1245" spans="1:19" x14ac:dyDescent="0.25">
      <c r="A1245" s="165">
        <v>45540</v>
      </c>
      <c r="B1245" s="166">
        <f t="shared" si="43"/>
        <v>9</v>
      </c>
      <c r="C1245" s="25">
        <f t="shared" si="42"/>
        <v>2024</v>
      </c>
      <c r="D1245" s="169" t="s">
        <v>92</v>
      </c>
      <c r="E1245" s="170" t="s">
        <v>92</v>
      </c>
      <c r="F1245" s="171" t="s">
        <v>174</v>
      </c>
      <c r="G1245" s="171"/>
      <c r="H1245" s="172" t="s">
        <v>92</v>
      </c>
      <c r="I1245" s="172"/>
      <c r="J1245" s="174"/>
      <c r="K1245" s="174">
        <v>65214</v>
      </c>
      <c r="L1245" s="174"/>
      <c r="M1245" s="174"/>
      <c r="N1245" s="176"/>
    </row>
    <row r="1246" spans="1:19" x14ac:dyDescent="0.25">
      <c r="A1246" s="165">
        <v>45541</v>
      </c>
      <c r="B1246" s="166">
        <f t="shared" si="43"/>
        <v>9</v>
      </c>
      <c r="C1246" s="25">
        <f t="shared" si="42"/>
        <v>2024</v>
      </c>
      <c r="D1246" s="169" t="s">
        <v>352</v>
      </c>
      <c r="E1246" s="170" t="s">
        <v>93</v>
      </c>
      <c r="F1246" s="171" t="s">
        <v>938</v>
      </c>
      <c r="G1246" s="171"/>
      <c r="H1246" s="172" t="s">
        <v>130</v>
      </c>
      <c r="I1246" s="172"/>
      <c r="J1246" s="174">
        <v>152500</v>
      </c>
      <c r="K1246" s="174"/>
      <c r="L1246" s="174"/>
      <c r="M1246" s="174"/>
      <c r="N1246" s="176"/>
    </row>
    <row r="1247" spans="1:19" x14ac:dyDescent="0.25">
      <c r="A1247" s="165">
        <v>45541</v>
      </c>
      <c r="B1247" s="166">
        <f t="shared" si="43"/>
        <v>9</v>
      </c>
      <c r="C1247" s="25">
        <f t="shared" si="42"/>
        <v>2024</v>
      </c>
      <c r="D1247" s="169" t="s">
        <v>92</v>
      </c>
      <c r="E1247" s="170" t="s">
        <v>92</v>
      </c>
      <c r="F1247" s="171" t="s">
        <v>139</v>
      </c>
      <c r="G1247" s="171"/>
      <c r="H1247" s="172" t="s">
        <v>92</v>
      </c>
      <c r="I1247" s="172"/>
      <c r="J1247" s="174"/>
      <c r="K1247" s="174">
        <v>92313</v>
      </c>
      <c r="L1247" s="174"/>
      <c r="M1247" s="174"/>
      <c r="N1247" s="176"/>
    </row>
    <row r="1248" spans="1:19" x14ac:dyDescent="0.25">
      <c r="A1248" s="165">
        <v>45541</v>
      </c>
      <c r="B1248" s="166">
        <f t="shared" si="43"/>
        <v>9</v>
      </c>
      <c r="C1248" s="25">
        <f t="shared" si="42"/>
        <v>2024</v>
      </c>
      <c r="D1248" s="169" t="s">
        <v>92</v>
      </c>
      <c r="E1248" s="170" t="s">
        <v>92</v>
      </c>
      <c r="F1248" s="171" t="s">
        <v>172</v>
      </c>
      <c r="G1248" s="171"/>
      <c r="H1248" s="172" t="s">
        <v>92</v>
      </c>
      <c r="I1248" s="172"/>
      <c r="J1248" s="174"/>
      <c r="K1248" s="174">
        <v>139400.6</v>
      </c>
      <c r="L1248" s="174"/>
      <c r="M1248" s="174"/>
      <c r="N1248" s="176"/>
    </row>
    <row r="1249" spans="1:14" x14ac:dyDescent="0.25">
      <c r="A1249" s="165">
        <v>45541</v>
      </c>
      <c r="B1249" s="166">
        <f t="shared" si="43"/>
        <v>9</v>
      </c>
      <c r="C1249" s="25">
        <f t="shared" si="42"/>
        <v>2024</v>
      </c>
      <c r="D1249" s="169" t="s">
        <v>92</v>
      </c>
      <c r="E1249" s="170" t="s">
        <v>92</v>
      </c>
      <c r="F1249" s="171" t="s">
        <v>630</v>
      </c>
      <c r="G1249" s="171"/>
      <c r="H1249" s="172" t="s">
        <v>92</v>
      </c>
      <c r="I1249" s="172"/>
      <c r="J1249" s="174"/>
      <c r="K1249" s="174">
        <v>24730</v>
      </c>
      <c r="L1249" s="174"/>
      <c r="M1249" s="174"/>
      <c r="N1249" s="176"/>
    </row>
    <row r="1250" spans="1:14" x14ac:dyDescent="0.25">
      <c r="A1250" s="165">
        <v>45541</v>
      </c>
      <c r="B1250" s="166">
        <f t="shared" si="43"/>
        <v>9</v>
      </c>
      <c r="C1250" s="25">
        <f t="shared" si="42"/>
        <v>2024</v>
      </c>
      <c r="D1250" s="169" t="s">
        <v>92</v>
      </c>
      <c r="E1250" s="170" t="s">
        <v>92</v>
      </c>
      <c r="F1250" s="171" t="s">
        <v>174</v>
      </c>
      <c r="G1250" s="171"/>
      <c r="H1250" s="172" t="s">
        <v>92</v>
      </c>
      <c r="I1250" s="172"/>
      <c r="J1250" s="174"/>
      <c r="K1250" s="174">
        <v>27380</v>
      </c>
      <c r="L1250" s="174"/>
      <c r="M1250" s="174"/>
      <c r="N1250" s="176"/>
    </row>
    <row r="1251" spans="1:14" x14ac:dyDescent="0.25">
      <c r="A1251" s="165">
        <v>45542</v>
      </c>
      <c r="B1251" s="166">
        <f t="shared" si="43"/>
        <v>9</v>
      </c>
      <c r="C1251" s="25">
        <f t="shared" si="42"/>
        <v>2024</v>
      </c>
      <c r="D1251" s="169" t="s">
        <v>626</v>
      </c>
      <c r="E1251" s="170" t="s">
        <v>93</v>
      </c>
      <c r="F1251" s="171"/>
      <c r="G1251" s="171"/>
      <c r="H1251" s="172" t="s">
        <v>130</v>
      </c>
      <c r="I1251" s="172"/>
      <c r="J1251" s="174"/>
      <c r="K1251" s="174">
        <v>150000</v>
      </c>
      <c r="L1251" s="174"/>
      <c r="M1251" s="174"/>
      <c r="N1251" s="176"/>
    </row>
    <row r="1252" spans="1:14" x14ac:dyDescent="0.25">
      <c r="A1252" s="165">
        <v>45544</v>
      </c>
      <c r="B1252" s="166">
        <f t="shared" si="43"/>
        <v>9</v>
      </c>
      <c r="C1252" s="25">
        <f t="shared" si="42"/>
        <v>2024</v>
      </c>
      <c r="D1252" s="169" t="s">
        <v>352</v>
      </c>
      <c r="E1252" s="170" t="s">
        <v>93</v>
      </c>
      <c r="F1252" s="171" t="s">
        <v>531</v>
      </c>
      <c r="G1252" s="171"/>
      <c r="H1252" s="172" t="s">
        <v>130</v>
      </c>
      <c r="I1252" s="172"/>
      <c r="J1252" s="174">
        <v>258000</v>
      </c>
      <c r="K1252" s="174"/>
      <c r="L1252" s="174"/>
      <c r="M1252" s="174"/>
      <c r="N1252" s="176"/>
    </row>
    <row r="1253" spans="1:14" x14ac:dyDescent="0.25">
      <c r="A1253" s="165">
        <v>45544</v>
      </c>
      <c r="B1253" s="166">
        <f t="shared" si="43"/>
        <v>9</v>
      </c>
      <c r="C1253" s="25">
        <f t="shared" si="42"/>
        <v>2024</v>
      </c>
      <c r="D1253" s="169" t="s">
        <v>92</v>
      </c>
      <c r="E1253" s="170" t="s">
        <v>92</v>
      </c>
      <c r="F1253" s="171" t="s">
        <v>1078</v>
      </c>
      <c r="G1253" s="171"/>
      <c r="H1253" s="172" t="s">
        <v>92</v>
      </c>
      <c r="I1253" s="172"/>
      <c r="J1253" s="174"/>
      <c r="K1253" s="174">
        <v>170000</v>
      </c>
      <c r="L1253" s="174"/>
      <c r="M1253" s="174"/>
      <c r="N1253" s="176"/>
    </row>
    <row r="1254" spans="1:14" x14ac:dyDescent="0.25">
      <c r="A1254" s="165">
        <v>45545</v>
      </c>
      <c r="B1254" s="166">
        <f t="shared" si="43"/>
        <v>9</v>
      </c>
      <c r="C1254" s="25">
        <f t="shared" si="42"/>
        <v>2024</v>
      </c>
      <c r="D1254" s="169" t="s">
        <v>352</v>
      </c>
      <c r="E1254" s="170" t="s">
        <v>93</v>
      </c>
      <c r="F1254" s="171" t="s">
        <v>576</v>
      </c>
      <c r="G1254" s="171"/>
      <c r="H1254" s="172" t="s">
        <v>545</v>
      </c>
      <c r="I1254" s="172"/>
      <c r="J1254" s="174">
        <v>86000</v>
      </c>
      <c r="K1254" s="174"/>
      <c r="L1254" s="174"/>
      <c r="M1254" s="174"/>
      <c r="N1254" s="176"/>
    </row>
    <row r="1255" spans="1:14" x14ac:dyDescent="0.25">
      <c r="A1255" s="165">
        <v>45545</v>
      </c>
      <c r="B1255" s="166">
        <f t="shared" si="43"/>
        <v>9</v>
      </c>
      <c r="C1255" s="25">
        <f t="shared" si="42"/>
        <v>2024</v>
      </c>
      <c r="D1255" s="169" t="s">
        <v>92</v>
      </c>
      <c r="E1255" s="170" t="s">
        <v>92</v>
      </c>
      <c r="F1255" s="171" t="s">
        <v>1030</v>
      </c>
      <c r="G1255" s="171"/>
      <c r="H1255" s="172" t="s">
        <v>92</v>
      </c>
      <c r="I1255" s="172"/>
      <c r="J1255" s="174"/>
      <c r="K1255" s="174">
        <v>61620</v>
      </c>
      <c r="L1255" s="174"/>
      <c r="M1255" s="174"/>
      <c r="N1255" s="176"/>
    </row>
    <row r="1256" spans="1:14" x14ac:dyDescent="0.25">
      <c r="A1256" s="165">
        <v>45546</v>
      </c>
      <c r="B1256" s="166">
        <f t="shared" si="43"/>
        <v>9</v>
      </c>
      <c r="C1256" s="25">
        <f t="shared" si="42"/>
        <v>2024</v>
      </c>
      <c r="D1256" s="169" t="s">
        <v>352</v>
      </c>
      <c r="E1256" s="170" t="s">
        <v>93</v>
      </c>
      <c r="F1256" s="171" t="s">
        <v>1049</v>
      </c>
      <c r="G1256" s="171"/>
      <c r="H1256" s="172" t="s">
        <v>130</v>
      </c>
      <c r="I1256" s="172"/>
      <c r="J1256" s="174">
        <v>200000</v>
      </c>
      <c r="K1256" s="174"/>
      <c r="L1256" s="174"/>
      <c r="M1256" s="174"/>
      <c r="N1256" s="176"/>
    </row>
    <row r="1257" spans="1:14" x14ac:dyDescent="0.25">
      <c r="A1257" s="165">
        <v>45546</v>
      </c>
      <c r="B1257" s="166">
        <f t="shared" si="43"/>
        <v>9</v>
      </c>
      <c r="C1257" s="25">
        <f t="shared" si="42"/>
        <v>2024</v>
      </c>
      <c r="D1257" s="169" t="s">
        <v>352</v>
      </c>
      <c r="E1257" s="170" t="s">
        <v>93</v>
      </c>
      <c r="F1257" s="171" t="s">
        <v>1097</v>
      </c>
      <c r="G1257" s="171"/>
      <c r="H1257" s="172" t="s">
        <v>130</v>
      </c>
      <c r="I1257" s="172"/>
      <c r="J1257" s="174">
        <v>186000</v>
      </c>
      <c r="K1257" s="174"/>
      <c r="L1257" s="174"/>
      <c r="M1257" s="174"/>
      <c r="N1257" s="176"/>
    </row>
    <row r="1258" spans="1:14" x14ac:dyDescent="0.25">
      <c r="A1258" s="165">
        <v>45546</v>
      </c>
      <c r="B1258" s="166">
        <f t="shared" si="43"/>
        <v>9</v>
      </c>
      <c r="C1258" s="25">
        <f t="shared" si="42"/>
        <v>2024</v>
      </c>
      <c r="D1258" s="169" t="s">
        <v>92</v>
      </c>
      <c r="E1258" s="170" t="s">
        <v>92</v>
      </c>
      <c r="F1258" s="171" t="s">
        <v>1112</v>
      </c>
      <c r="G1258" s="171"/>
      <c r="H1258" s="172" t="s">
        <v>92</v>
      </c>
      <c r="I1258" s="172"/>
      <c r="J1258" s="174"/>
      <c r="K1258" s="174">
        <v>157303</v>
      </c>
      <c r="L1258" s="174"/>
      <c r="M1258" s="174"/>
      <c r="N1258" s="176"/>
    </row>
    <row r="1259" spans="1:14" x14ac:dyDescent="0.25">
      <c r="A1259" s="165">
        <v>45547</v>
      </c>
      <c r="B1259" s="166">
        <f t="shared" si="43"/>
        <v>9</v>
      </c>
      <c r="C1259" s="25">
        <f t="shared" si="42"/>
        <v>2024</v>
      </c>
      <c r="D1259" s="169" t="s">
        <v>352</v>
      </c>
      <c r="E1259" s="170" t="s">
        <v>93</v>
      </c>
      <c r="F1259" s="171" t="s">
        <v>1081</v>
      </c>
      <c r="G1259" s="171"/>
      <c r="H1259" s="172" t="s">
        <v>130</v>
      </c>
      <c r="I1259" s="172"/>
      <c r="J1259" s="174">
        <v>339500</v>
      </c>
      <c r="K1259" s="174"/>
      <c r="L1259" s="174"/>
      <c r="M1259" s="174"/>
      <c r="N1259" s="176"/>
    </row>
    <row r="1260" spans="1:14" x14ac:dyDescent="0.25">
      <c r="A1260" s="165">
        <v>45547</v>
      </c>
      <c r="B1260" s="166">
        <f t="shared" si="43"/>
        <v>9</v>
      </c>
      <c r="C1260" s="25">
        <f t="shared" si="42"/>
        <v>2024</v>
      </c>
      <c r="D1260" s="169" t="s">
        <v>352</v>
      </c>
      <c r="E1260" s="170" t="s">
        <v>93</v>
      </c>
      <c r="F1260" s="171" t="s">
        <v>1082</v>
      </c>
      <c r="G1260" s="171"/>
      <c r="H1260" s="172" t="s">
        <v>130</v>
      </c>
      <c r="I1260" s="172"/>
      <c r="J1260" s="174">
        <v>144000</v>
      </c>
      <c r="K1260" s="174"/>
      <c r="L1260" s="174"/>
      <c r="M1260" s="174"/>
      <c r="N1260" s="176"/>
    </row>
    <row r="1261" spans="1:14" x14ac:dyDescent="0.25">
      <c r="A1261" s="165">
        <v>45547</v>
      </c>
      <c r="B1261" s="166">
        <f t="shared" si="43"/>
        <v>9</v>
      </c>
      <c r="C1261" s="25">
        <f t="shared" si="42"/>
        <v>2024</v>
      </c>
      <c r="D1261" s="169" t="s">
        <v>352</v>
      </c>
      <c r="E1261" s="170" t="s">
        <v>93</v>
      </c>
      <c r="F1261" s="171" t="s">
        <v>1083</v>
      </c>
      <c r="G1261" s="171"/>
      <c r="H1261" s="172" t="s">
        <v>130</v>
      </c>
      <c r="I1261" s="172"/>
      <c r="J1261" s="174">
        <v>300000</v>
      </c>
      <c r="K1261" s="174"/>
      <c r="L1261" s="174"/>
      <c r="M1261" s="174"/>
      <c r="N1261" s="176"/>
    </row>
    <row r="1262" spans="1:14" x14ac:dyDescent="0.25">
      <c r="A1262" s="165">
        <v>45547</v>
      </c>
      <c r="B1262" s="166">
        <f t="shared" si="43"/>
        <v>9</v>
      </c>
      <c r="C1262" s="25">
        <f t="shared" si="42"/>
        <v>2024</v>
      </c>
      <c r="D1262" s="169" t="s">
        <v>92</v>
      </c>
      <c r="E1262" s="170" t="s">
        <v>92</v>
      </c>
      <c r="F1262" s="171" t="s">
        <v>296</v>
      </c>
      <c r="G1262" s="171"/>
      <c r="H1262" s="172" t="s">
        <v>92</v>
      </c>
      <c r="I1262" s="172"/>
      <c r="J1262" s="174"/>
      <c r="K1262" s="174">
        <v>453557</v>
      </c>
      <c r="L1262" s="174"/>
      <c r="M1262" s="174"/>
      <c r="N1262" s="176"/>
    </row>
    <row r="1263" spans="1:14" x14ac:dyDescent="0.25">
      <c r="A1263" s="165">
        <v>45547</v>
      </c>
      <c r="B1263" s="166">
        <f t="shared" si="43"/>
        <v>9</v>
      </c>
      <c r="C1263" s="25">
        <f t="shared" si="42"/>
        <v>2024</v>
      </c>
      <c r="D1263" s="169" t="s">
        <v>352</v>
      </c>
      <c r="E1263" s="170" t="s">
        <v>93</v>
      </c>
      <c r="F1263" s="171" t="s">
        <v>813</v>
      </c>
      <c r="G1263" s="171"/>
      <c r="H1263" s="172" t="s">
        <v>130</v>
      </c>
      <c r="I1263" s="172"/>
      <c r="J1263" s="174">
        <v>70000</v>
      </c>
      <c r="K1263" s="174"/>
      <c r="L1263" s="174"/>
      <c r="M1263" s="174"/>
      <c r="N1263" s="176"/>
    </row>
    <row r="1264" spans="1:14" x14ac:dyDescent="0.25">
      <c r="A1264" s="165">
        <v>45547</v>
      </c>
      <c r="B1264" s="166">
        <f t="shared" si="43"/>
        <v>9</v>
      </c>
      <c r="C1264" s="25">
        <f t="shared" si="42"/>
        <v>2024</v>
      </c>
      <c r="D1264" s="169" t="s">
        <v>352</v>
      </c>
      <c r="E1264" s="170" t="s">
        <v>93</v>
      </c>
      <c r="F1264" s="171" t="s">
        <v>1022</v>
      </c>
      <c r="G1264" s="171"/>
      <c r="H1264" s="172" t="s">
        <v>130</v>
      </c>
      <c r="I1264" s="172"/>
      <c r="J1264" s="174">
        <v>155500</v>
      </c>
      <c r="K1264" s="174"/>
      <c r="L1264" s="174"/>
      <c r="M1264" s="174"/>
      <c r="N1264" s="176"/>
    </row>
    <row r="1265" spans="1:19" x14ac:dyDescent="0.25">
      <c r="A1265" s="165">
        <v>45547</v>
      </c>
      <c r="B1265" s="166">
        <f t="shared" si="43"/>
        <v>9</v>
      </c>
      <c r="C1265" s="25">
        <f t="shared" si="42"/>
        <v>2024</v>
      </c>
      <c r="D1265" s="169" t="s">
        <v>352</v>
      </c>
      <c r="E1265" s="170" t="s">
        <v>93</v>
      </c>
      <c r="F1265" s="171" t="s">
        <v>1084</v>
      </c>
      <c r="G1265" s="171"/>
      <c r="H1265" s="172" t="s">
        <v>130</v>
      </c>
      <c r="I1265" s="172"/>
      <c r="J1265" s="174">
        <v>5480871</v>
      </c>
      <c r="K1265" s="174"/>
      <c r="L1265" s="174"/>
      <c r="M1265" s="174"/>
      <c r="N1265" s="176"/>
    </row>
    <row r="1266" spans="1:19" x14ac:dyDescent="0.25">
      <c r="A1266" s="165">
        <v>45547</v>
      </c>
      <c r="B1266" s="166">
        <f t="shared" si="43"/>
        <v>9</v>
      </c>
      <c r="C1266" s="25">
        <f t="shared" si="42"/>
        <v>2024</v>
      </c>
      <c r="D1266" s="169" t="s">
        <v>92</v>
      </c>
      <c r="E1266" s="170" t="s">
        <v>92</v>
      </c>
      <c r="F1266" s="171" t="s">
        <v>174</v>
      </c>
      <c r="G1266" s="171"/>
      <c r="H1266" s="172" t="s">
        <v>92</v>
      </c>
      <c r="I1266" s="172"/>
      <c r="J1266" s="174"/>
      <c r="K1266" s="174">
        <v>26595</v>
      </c>
      <c r="L1266" s="174"/>
      <c r="M1266" s="174"/>
      <c r="N1266" s="176"/>
    </row>
    <row r="1267" spans="1:19" x14ac:dyDescent="0.25">
      <c r="A1267" s="165">
        <v>45548</v>
      </c>
      <c r="B1267" s="166">
        <f t="shared" si="43"/>
        <v>9</v>
      </c>
      <c r="C1267" s="25">
        <f t="shared" si="42"/>
        <v>2024</v>
      </c>
      <c r="D1267" s="169" t="s">
        <v>109</v>
      </c>
      <c r="E1267" s="170" t="s">
        <v>93</v>
      </c>
      <c r="F1267" s="171" t="s">
        <v>693</v>
      </c>
      <c r="G1267" s="171"/>
      <c r="H1267" s="172" t="s">
        <v>130</v>
      </c>
      <c r="I1267" s="172"/>
      <c r="J1267" s="174"/>
      <c r="K1267" s="174">
        <v>9400</v>
      </c>
      <c r="L1267" s="174"/>
      <c r="M1267" s="174"/>
      <c r="N1267" s="176"/>
    </row>
    <row r="1268" spans="1:19" x14ac:dyDescent="0.25">
      <c r="A1268" s="165">
        <v>45548</v>
      </c>
      <c r="B1268" s="166">
        <f t="shared" si="43"/>
        <v>9</v>
      </c>
      <c r="C1268" s="25">
        <f t="shared" si="42"/>
        <v>2024</v>
      </c>
      <c r="D1268" s="169" t="s">
        <v>124</v>
      </c>
      <c r="E1268" s="170" t="s">
        <v>93</v>
      </c>
      <c r="F1268" s="171"/>
      <c r="G1268" s="171" t="s">
        <v>554</v>
      </c>
      <c r="H1268" s="172" t="s">
        <v>130</v>
      </c>
      <c r="I1268" s="172"/>
      <c r="J1268" s="174"/>
      <c r="K1268" s="174">
        <v>796432.08</v>
      </c>
      <c r="L1268" s="174"/>
      <c r="M1268" s="174"/>
      <c r="N1268" s="176"/>
    </row>
    <row r="1269" spans="1:19" x14ac:dyDescent="0.25">
      <c r="A1269" s="165">
        <v>45548</v>
      </c>
      <c r="B1269" s="166">
        <f t="shared" si="43"/>
        <v>9</v>
      </c>
      <c r="C1269" s="25">
        <f t="shared" si="42"/>
        <v>2024</v>
      </c>
      <c r="D1269" s="169" t="s">
        <v>124</v>
      </c>
      <c r="E1269" s="170" t="s">
        <v>93</v>
      </c>
      <c r="F1269" s="171" t="s">
        <v>904</v>
      </c>
      <c r="G1269" s="171"/>
      <c r="H1269" s="172" t="s">
        <v>130</v>
      </c>
      <c r="I1269" s="172"/>
      <c r="J1269" s="174"/>
      <c r="K1269" s="174">
        <v>721950</v>
      </c>
      <c r="L1269" s="174"/>
      <c r="M1269" s="174"/>
      <c r="N1269" s="176"/>
    </row>
    <row r="1270" spans="1:19" x14ac:dyDescent="0.25">
      <c r="A1270" s="165">
        <v>45548</v>
      </c>
      <c r="B1270" s="166">
        <f t="shared" si="43"/>
        <v>9</v>
      </c>
      <c r="C1270" s="25">
        <f t="shared" si="42"/>
        <v>2024</v>
      </c>
      <c r="D1270" s="169" t="s">
        <v>124</v>
      </c>
      <c r="E1270" s="170" t="s">
        <v>93</v>
      </c>
      <c r="F1270" s="171"/>
      <c r="G1270" s="171" t="s">
        <v>234</v>
      </c>
      <c r="H1270" s="172" t="s">
        <v>130</v>
      </c>
      <c r="I1270" s="172"/>
      <c r="J1270" s="174"/>
      <c r="K1270" s="174">
        <v>807107</v>
      </c>
      <c r="L1270" s="174"/>
      <c r="M1270" s="174"/>
      <c r="N1270" s="176"/>
    </row>
    <row r="1271" spans="1:19" x14ac:dyDescent="0.25">
      <c r="A1271" s="165">
        <v>45548</v>
      </c>
      <c r="B1271" s="166">
        <f t="shared" si="43"/>
        <v>9</v>
      </c>
      <c r="C1271" s="25">
        <f t="shared" si="42"/>
        <v>2024</v>
      </c>
      <c r="D1271" s="169" t="s">
        <v>352</v>
      </c>
      <c r="E1271" s="170" t="s">
        <v>93</v>
      </c>
      <c r="F1271" s="171" t="s">
        <v>1085</v>
      </c>
      <c r="G1271" s="171"/>
      <c r="H1271" s="172" t="s">
        <v>131</v>
      </c>
      <c r="I1271" s="172"/>
      <c r="J1271" s="174">
        <v>143410</v>
      </c>
      <c r="K1271" s="174"/>
      <c r="L1271" s="174"/>
      <c r="M1271" s="174"/>
      <c r="N1271" s="176"/>
    </row>
    <row r="1272" spans="1:19" x14ac:dyDescent="0.25">
      <c r="A1272" s="165">
        <v>45549</v>
      </c>
      <c r="B1272" s="166">
        <f t="shared" si="43"/>
        <v>9</v>
      </c>
      <c r="C1272" s="25">
        <f t="shared" si="42"/>
        <v>2024</v>
      </c>
      <c r="D1272" s="169" t="s">
        <v>626</v>
      </c>
      <c r="E1272" s="170" t="s">
        <v>93</v>
      </c>
      <c r="F1272" s="171"/>
      <c r="G1272" s="171"/>
      <c r="H1272" s="172" t="s">
        <v>130</v>
      </c>
      <c r="I1272" s="172"/>
      <c r="J1272" s="174"/>
      <c r="K1272" s="174">
        <v>150000</v>
      </c>
      <c r="L1272" s="174"/>
      <c r="M1272" s="174"/>
      <c r="N1272" s="176"/>
    </row>
    <row r="1273" spans="1:19" x14ac:dyDescent="0.25">
      <c r="A1273" s="165">
        <v>45551</v>
      </c>
      <c r="B1273" s="166">
        <f t="shared" si="43"/>
        <v>9</v>
      </c>
      <c r="C1273" s="25">
        <f t="shared" si="42"/>
        <v>2024</v>
      </c>
      <c r="D1273" s="169" t="s">
        <v>124</v>
      </c>
      <c r="E1273" s="170" t="s">
        <v>93</v>
      </c>
      <c r="F1273" s="171"/>
      <c r="G1273" s="171" t="s">
        <v>553</v>
      </c>
      <c r="H1273" s="172" t="s">
        <v>130</v>
      </c>
      <c r="I1273" s="172"/>
      <c r="J1273" s="174"/>
      <c r="K1273" s="174">
        <v>1700000</v>
      </c>
      <c r="L1273" s="174"/>
      <c r="M1273" s="174"/>
      <c r="N1273" s="176"/>
    </row>
    <row r="1274" spans="1:19" x14ac:dyDescent="0.25">
      <c r="A1274" s="165">
        <v>45551</v>
      </c>
      <c r="B1274" s="166">
        <f t="shared" si="43"/>
        <v>9</v>
      </c>
      <c r="C1274" s="25">
        <f t="shared" si="42"/>
        <v>2024</v>
      </c>
      <c r="D1274" s="169" t="s">
        <v>352</v>
      </c>
      <c r="E1274" s="170" t="s">
        <v>93</v>
      </c>
      <c r="F1274" s="171" t="s">
        <v>722</v>
      </c>
      <c r="G1274" s="171"/>
      <c r="H1274" s="172" t="s">
        <v>130</v>
      </c>
      <c r="I1274" s="172"/>
      <c r="J1274" s="174">
        <v>126000</v>
      </c>
      <c r="K1274" s="174"/>
      <c r="L1274" s="174"/>
      <c r="M1274" s="174"/>
      <c r="N1274" s="176"/>
    </row>
    <row r="1275" spans="1:19" x14ac:dyDescent="0.25">
      <c r="A1275" s="165">
        <v>45551</v>
      </c>
      <c r="B1275" s="166">
        <f t="shared" si="43"/>
        <v>9</v>
      </c>
      <c r="C1275" s="25">
        <f t="shared" si="42"/>
        <v>2024</v>
      </c>
      <c r="D1275" s="169" t="s">
        <v>92</v>
      </c>
      <c r="E1275" s="170" t="s">
        <v>92</v>
      </c>
      <c r="F1275" s="171" t="s">
        <v>1114</v>
      </c>
      <c r="G1275" s="171"/>
      <c r="H1275" s="172" t="s">
        <v>92</v>
      </c>
      <c r="I1275" s="172"/>
      <c r="J1275" s="174"/>
      <c r="K1275" s="174">
        <v>160382.70000000001</v>
      </c>
      <c r="L1275" s="174"/>
      <c r="M1275" s="174"/>
      <c r="N1275" s="176"/>
    </row>
    <row r="1276" spans="1:19" x14ac:dyDescent="0.25">
      <c r="A1276" s="177">
        <v>45551</v>
      </c>
      <c r="B1276" s="179">
        <f t="shared" si="43"/>
        <v>9</v>
      </c>
      <c r="C1276" s="160">
        <f t="shared" si="42"/>
        <v>2024</v>
      </c>
      <c r="D1276" s="181" t="s">
        <v>124</v>
      </c>
      <c r="E1276" s="183" t="s">
        <v>93</v>
      </c>
      <c r="F1276" s="183" t="s">
        <v>1126</v>
      </c>
      <c r="G1276" s="183"/>
      <c r="H1276" s="185" t="s">
        <v>130</v>
      </c>
      <c r="I1276" s="185"/>
      <c r="J1276" s="187"/>
      <c r="K1276" s="187">
        <v>321300</v>
      </c>
      <c r="L1276" s="187"/>
      <c r="M1276" s="187"/>
      <c r="N1276" s="189"/>
      <c r="O1276" s="162"/>
      <c r="P1276" s="161"/>
      <c r="Q1276" s="161"/>
      <c r="R1276" s="161"/>
      <c r="S1276" s="161"/>
    </row>
    <row r="1277" spans="1:19" x14ac:dyDescent="0.25">
      <c r="A1277" s="165">
        <v>45553</v>
      </c>
      <c r="B1277" s="166">
        <f t="shared" si="43"/>
        <v>9</v>
      </c>
      <c r="C1277" s="25">
        <f t="shared" si="42"/>
        <v>2024</v>
      </c>
      <c r="D1277" s="169" t="s">
        <v>352</v>
      </c>
      <c r="E1277" s="170" t="s">
        <v>93</v>
      </c>
      <c r="F1277" s="171" t="s">
        <v>1088</v>
      </c>
      <c r="G1277" s="171"/>
      <c r="H1277" s="172" t="s">
        <v>130</v>
      </c>
      <c r="I1277" s="172"/>
      <c r="J1277" s="174">
        <v>146000</v>
      </c>
      <c r="K1277" s="174"/>
      <c r="L1277" s="174"/>
      <c r="M1277" s="174"/>
      <c r="N1277" s="176"/>
    </row>
    <row r="1278" spans="1:19" x14ac:dyDescent="0.25">
      <c r="A1278" s="165">
        <v>45553</v>
      </c>
      <c r="B1278" s="166">
        <f t="shared" si="43"/>
        <v>9</v>
      </c>
      <c r="C1278" s="25">
        <f t="shared" si="42"/>
        <v>2024</v>
      </c>
      <c r="D1278" s="169" t="s">
        <v>352</v>
      </c>
      <c r="E1278" s="170" t="s">
        <v>93</v>
      </c>
      <c r="F1278" s="171" t="s">
        <v>1089</v>
      </c>
      <c r="G1278" s="171"/>
      <c r="H1278" s="172" t="s">
        <v>130</v>
      </c>
      <c r="I1278" s="172"/>
      <c r="J1278" s="174">
        <v>109800</v>
      </c>
      <c r="K1278" s="174"/>
      <c r="L1278" s="174"/>
      <c r="M1278" s="174"/>
      <c r="N1278" s="176"/>
    </row>
    <row r="1279" spans="1:19" x14ac:dyDescent="0.25">
      <c r="A1279" s="165">
        <v>45553</v>
      </c>
      <c r="B1279" s="166">
        <f t="shared" si="43"/>
        <v>9</v>
      </c>
      <c r="C1279" s="25">
        <f t="shared" ref="C1279:C1342" si="44">YEAR((A1279))</f>
        <v>2024</v>
      </c>
      <c r="D1279" s="169" t="s">
        <v>352</v>
      </c>
      <c r="E1279" s="170" t="s">
        <v>93</v>
      </c>
      <c r="F1279" s="171" t="s">
        <v>613</v>
      </c>
      <c r="G1279" s="171"/>
      <c r="H1279" s="172" t="s">
        <v>545</v>
      </c>
      <c r="I1279" s="172"/>
      <c r="J1279" s="174">
        <v>293000</v>
      </c>
      <c r="K1279" s="174"/>
      <c r="L1279" s="174"/>
      <c r="M1279" s="174"/>
      <c r="N1279" s="176"/>
    </row>
    <row r="1280" spans="1:19" x14ac:dyDescent="0.25">
      <c r="A1280" s="165">
        <v>45554</v>
      </c>
      <c r="B1280" s="166">
        <f t="shared" si="43"/>
        <v>9</v>
      </c>
      <c r="C1280" s="25">
        <f t="shared" si="44"/>
        <v>2024</v>
      </c>
      <c r="D1280" s="169" t="s">
        <v>352</v>
      </c>
      <c r="E1280" s="170" t="s">
        <v>93</v>
      </c>
      <c r="F1280" s="171" t="s">
        <v>935</v>
      </c>
      <c r="G1280" s="171"/>
      <c r="H1280" s="172" t="s">
        <v>130</v>
      </c>
      <c r="I1280" s="172"/>
      <c r="J1280" s="174">
        <v>210000</v>
      </c>
      <c r="K1280" s="174"/>
      <c r="L1280" s="174"/>
      <c r="M1280" s="174"/>
      <c r="N1280" s="176"/>
    </row>
    <row r="1281" spans="1:14" x14ac:dyDescent="0.25">
      <c r="A1281" s="165">
        <v>45554</v>
      </c>
      <c r="B1281" s="166">
        <f t="shared" si="43"/>
        <v>9</v>
      </c>
      <c r="C1281" s="25">
        <f t="shared" si="44"/>
        <v>2024</v>
      </c>
      <c r="D1281" s="169" t="s">
        <v>352</v>
      </c>
      <c r="E1281" s="170" t="s">
        <v>93</v>
      </c>
      <c r="F1281" s="171" t="s">
        <v>828</v>
      </c>
      <c r="G1281" s="171"/>
      <c r="H1281" s="172" t="s">
        <v>130</v>
      </c>
      <c r="I1281" s="172"/>
      <c r="J1281" s="174">
        <v>388000</v>
      </c>
      <c r="K1281" s="174"/>
      <c r="L1281" s="174"/>
      <c r="M1281" s="174"/>
      <c r="N1281" s="176"/>
    </row>
    <row r="1282" spans="1:14" x14ac:dyDescent="0.25">
      <c r="A1282" s="165">
        <v>45554</v>
      </c>
      <c r="B1282" s="166">
        <f t="shared" si="43"/>
        <v>9</v>
      </c>
      <c r="C1282" s="25">
        <f t="shared" si="44"/>
        <v>2024</v>
      </c>
      <c r="D1282" s="169" t="s">
        <v>352</v>
      </c>
      <c r="E1282" s="170" t="s">
        <v>93</v>
      </c>
      <c r="F1282" s="171" t="s">
        <v>828</v>
      </c>
      <c r="G1282" s="171"/>
      <c r="H1282" s="172" t="s">
        <v>130</v>
      </c>
      <c r="I1282" s="172"/>
      <c r="J1282" s="174">
        <v>168000</v>
      </c>
      <c r="K1282" s="174"/>
      <c r="L1282" s="174"/>
      <c r="M1282" s="174"/>
      <c r="N1282" s="176"/>
    </row>
    <row r="1283" spans="1:14" x14ac:dyDescent="0.25">
      <c r="A1283" s="165">
        <v>45554</v>
      </c>
      <c r="B1283" s="166">
        <f t="shared" ref="B1283:B1346" si="45">MONTH(A1283)</f>
        <v>9</v>
      </c>
      <c r="C1283" s="25">
        <f t="shared" si="44"/>
        <v>2024</v>
      </c>
      <c r="D1283" s="169" t="s">
        <v>352</v>
      </c>
      <c r="E1283" s="170" t="s">
        <v>93</v>
      </c>
      <c r="F1283" s="171" t="s">
        <v>636</v>
      </c>
      <c r="G1283" s="171"/>
      <c r="H1283" s="172" t="s">
        <v>545</v>
      </c>
      <c r="I1283" s="172"/>
      <c r="J1283" s="174">
        <v>396500</v>
      </c>
      <c r="K1283" s="174"/>
      <c r="L1283" s="174"/>
      <c r="M1283" s="174"/>
      <c r="N1283" s="176"/>
    </row>
    <row r="1284" spans="1:14" x14ac:dyDescent="0.25">
      <c r="A1284" s="165">
        <v>45555</v>
      </c>
      <c r="B1284" s="166">
        <f t="shared" si="45"/>
        <v>9</v>
      </c>
      <c r="C1284" s="25">
        <f t="shared" si="44"/>
        <v>2024</v>
      </c>
      <c r="D1284" s="169" t="s">
        <v>149</v>
      </c>
      <c r="E1284" s="170" t="s">
        <v>92</v>
      </c>
      <c r="F1284" s="171" t="s">
        <v>593</v>
      </c>
      <c r="G1284" s="171"/>
      <c r="H1284" s="172" t="s">
        <v>92</v>
      </c>
      <c r="I1284" s="172"/>
      <c r="J1284" s="174"/>
      <c r="K1284" s="174">
        <v>220000</v>
      </c>
      <c r="L1284" s="174"/>
      <c r="M1284" s="174"/>
      <c r="N1284" s="176"/>
    </row>
    <row r="1285" spans="1:14" x14ac:dyDescent="0.25">
      <c r="A1285" s="165">
        <v>45555</v>
      </c>
      <c r="B1285" s="166">
        <f t="shared" si="45"/>
        <v>9</v>
      </c>
      <c r="C1285" s="25">
        <f t="shared" si="44"/>
        <v>2024</v>
      </c>
      <c r="D1285" s="169" t="s">
        <v>352</v>
      </c>
      <c r="E1285" s="170" t="s">
        <v>93</v>
      </c>
      <c r="F1285" s="171" t="s">
        <v>144</v>
      </c>
      <c r="G1285" s="171"/>
      <c r="H1285" s="172" t="s">
        <v>545</v>
      </c>
      <c r="I1285" s="172"/>
      <c r="J1285" s="174">
        <v>224000</v>
      </c>
      <c r="K1285" s="174"/>
      <c r="L1285" s="174"/>
      <c r="M1285" s="174"/>
      <c r="N1285" s="176"/>
    </row>
    <row r="1286" spans="1:14" x14ac:dyDescent="0.25">
      <c r="A1286" s="165">
        <v>45555</v>
      </c>
      <c r="B1286" s="166">
        <f t="shared" si="45"/>
        <v>9</v>
      </c>
      <c r="C1286" s="25">
        <f t="shared" si="44"/>
        <v>2024</v>
      </c>
      <c r="D1286" s="169" t="s">
        <v>352</v>
      </c>
      <c r="E1286" s="170" t="s">
        <v>93</v>
      </c>
      <c r="F1286" s="171" t="s">
        <v>1091</v>
      </c>
      <c r="G1286" s="171"/>
      <c r="H1286" s="172" t="s">
        <v>130</v>
      </c>
      <c r="I1286" s="172"/>
      <c r="J1286" s="174">
        <v>165000</v>
      </c>
      <c r="K1286" s="174"/>
      <c r="L1286" s="174"/>
      <c r="M1286" s="174"/>
      <c r="N1286" s="176"/>
    </row>
    <row r="1287" spans="1:14" x14ac:dyDescent="0.25">
      <c r="A1287" s="165">
        <v>45555</v>
      </c>
      <c r="B1287" s="166">
        <f t="shared" si="45"/>
        <v>9</v>
      </c>
      <c r="C1287" s="25">
        <f t="shared" si="44"/>
        <v>2024</v>
      </c>
      <c r="D1287" s="169" t="s">
        <v>505</v>
      </c>
      <c r="E1287" s="170" t="s">
        <v>92</v>
      </c>
      <c r="F1287" s="171" t="s">
        <v>794</v>
      </c>
      <c r="G1287" s="171"/>
      <c r="H1287" s="172" t="s">
        <v>92</v>
      </c>
      <c r="I1287" s="172"/>
      <c r="J1287" s="174"/>
      <c r="K1287" s="174">
        <v>42050</v>
      </c>
      <c r="L1287" s="174"/>
      <c r="M1287" s="174"/>
      <c r="N1287" s="176"/>
    </row>
    <row r="1288" spans="1:14" x14ac:dyDescent="0.25">
      <c r="A1288" s="165">
        <v>45556</v>
      </c>
      <c r="B1288" s="166">
        <f t="shared" si="45"/>
        <v>9</v>
      </c>
      <c r="C1288" s="25">
        <f t="shared" si="44"/>
        <v>2024</v>
      </c>
      <c r="D1288" s="169" t="s">
        <v>626</v>
      </c>
      <c r="E1288" s="170" t="s">
        <v>93</v>
      </c>
      <c r="F1288" s="171"/>
      <c r="G1288" s="171"/>
      <c r="H1288" s="172" t="s">
        <v>130</v>
      </c>
      <c r="I1288" s="172"/>
      <c r="J1288" s="174"/>
      <c r="K1288" s="174">
        <v>150000</v>
      </c>
      <c r="L1288" s="174"/>
      <c r="M1288" s="174"/>
      <c r="N1288" s="176"/>
    </row>
    <row r="1289" spans="1:14" x14ac:dyDescent="0.25">
      <c r="A1289" s="165">
        <v>45556</v>
      </c>
      <c r="B1289" s="166">
        <f t="shared" si="45"/>
        <v>9</v>
      </c>
      <c r="C1289" s="25">
        <f t="shared" si="44"/>
        <v>2024</v>
      </c>
      <c r="D1289" s="169" t="s">
        <v>352</v>
      </c>
      <c r="E1289" s="170" t="s">
        <v>93</v>
      </c>
      <c r="F1289" s="171" t="s">
        <v>1093</v>
      </c>
      <c r="G1289" s="171"/>
      <c r="H1289" s="172" t="s">
        <v>130</v>
      </c>
      <c r="I1289" s="172"/>
      <c r="J1289" s="174">
        <v>164000</v>
      </c>
      <c r="K1289" s="174"/>
      <c r="L1289" s="174"/>
      <c r="M1289" s="174"/>
      <c r="N1289" s="176"/>
    </row>
    <row r="1290" spans="1:14" x14ac:dyDescent="0.25">
      <c r="A1290" s="165">
        <v>45558</v>
      </c>
      <c r="B1290" s="166">
        <f t="shared" si="45"/>
        <v>9</v>
      </c>
      <c r="C1290" s="25">
        <f t="shared" si="44"/>
        <v>2024</v>
      </c>
      <c r="D1290" s="169" t="s">
        <v>92</v>
      </c>
      <c r="E1290" s="170" t="s">
        <v>92</v>
      </c>
      <c r="F1290" s="171"/>
      <c r="G1290" s="171"/>
      <c r="H1290" s="172" t="s">
        <v>92</v>
      </c>
      <c r="I1290" s="172"/>
      <c r="J1290" s="174"/>
      <c r="K1290" s="174">
        <v>116000</v>
      </c>
      <c r="L1290" s="174"/>
      <c r="M1290" s="174"/>
      <c r="N1290" s="176"/>
    </row>
    <row r="1291" spans="1:14" x14ac:dyDescent="0.25">
      <c r="A1291" s="165">
        <v>45558</v>
      </c>
      <c r="B1291" s="166">
        <f t="shared" si="45"/>
        <v>9</v>
      </c>
      <c r="C1291" s="25">
        <f t="shared" si="44"/>
        <v>2024</v>
      </c>
      <c r="D1291" s="169" t="s">
        <v>352</v>
      </c>
      <c r="E1291" s="170" t="s">
        <v>93</v>
      </c>
      <c r="F1291" s="171" t="s">
        <v>462</v>
      </c>
      <c r="G1291" s="171"/>
      <c r="H1291" s="172" t="s">
        <v>130</v>
      </c>
      <c r="I1291" s="172"/>
      <c r="J1291" s="174">
        <v>166800</v>
      </c>
      <c r="K1291" s="174"/>
      <c r="L1291" s="174"/>
      <c r="M1291" s="174"/>
      <c r="N1291" s="176"/>
    </row>
    <row r="1292" spans="1:14" x14ac:dyDescent="0.25">
      <c r="A1292" s="165">
        <v>45559</v>
      </c>
      <c r="B1292" s="166">
        <f t="shared" si="45"/>
        <v>9</v>
      </c>
      <c r="C1292" s="25">
        <f t="shared" si="44"/>
        <v>2024</v>
      </c>
      <c r="D1292" s="169" t="s">
        <v>352</v>
      </c>
      <c r="E1292" s="170" t="s">
        <v>93</v>
      </c>
      <c r="F1292" s="171" t="s">
        <v>1094</v>
      </c>
      <c r="G1292" s="171"/>
      <c r="H1292" s="172" t="s">
        <v>545</v>
      </c>
      <c r="I1292" s="172"/>
      <c r="J1292" s="174">
        <v>146000</v>
      </c>
      <c r="K1292" s="174"/>
      <c r="L1292" s="174"/>
      <c r="M1292" s="174"/>
      <c r="N1292" s="176"/>
    </row>
    <row r="1293" spans="1:14" x14ac:dyDescent="0.25">
      <c r="A1293" s="165">
        <v>45559</v>
      </c>
      <c r="B1293" s="166">
        <f t="shared" si="45"/>
        <v>9</v>
      </c>
      <c r="C1293" s="25">
        <f t="shared" si="44"/>
        <v>2024</v>
      </c>
      <c r="D1293" s="169" t="s">
        <v>109</v>
      </c>
      <c r="E1293" s="170" t="s">
        <v>93</v>
      </c>
      <c r="F1293" s="171" t="s">
        <v>145</v>
      </c>
      <c r="G1293" s="171"/>
      <c r="H1293" s="172" t="s">
        <v>130</v>
      </c>
      <c r="I1293" s="172"/>
      <c r="J1293" s="174"/>
      <c r="K1293" s="174">
        <v>112150</v>
      </c>
      <c r="L1293" s="174"/>
      <c r="M1293" s="174"/>
      <c r="N1293" s="176"/>
    </row>
    <row r="1294" spans="1:14" x14ac:dyDescent="0.25">
      <c r="A1294" s="165">
        <v>45560</v>
      </c>
      <c r="B1294" s="166">
        <f t="shared" si="45"/>
        <v>9</v>
      </c>
      <c r="C1294" s="25">
        <f t="shared" si="44"/>
        <v>2024</v>
      </c>
      <c r="D1294" s="169" t="s">
        <v>352</v>
      </c>
      <c r="E1294" s="170" t="s">
        <v>93</v>
      </c>
      <c r="F1294" s="171" t="s">
        <v>516</v>
      </c>
      <c r="G1294" s="171"/>
      <c r="H1294" s="172" t="s">
        <v>131</v>
      </c>
      <c r="I1294" s="172"/>
      <c r="J1294" s="174">
        <v>562650</v>
      </c>
      <c r="K1294" s="174"/>
      <c r="L1294" s="174"/>
      <c r="M1294" s="174"/>
      <c r="N1294" s="176"/>
    </row>
    <row r="1295" spans="1:14" x14ac:dyDescent="0.25">
      <c r="A1295" s="165">
        <v>45560</v>
      </c>
      <c r="B1295" s="166">
        <f t="shared" si="45"/>
        <v>9</v>
      </c>
      <c r="C1295" s="25">
        <f t="shared" si="44"/>
        <v>2024</v>
      </c>
      <c r="D1295" s="169" t="s">
        <v>352</v>
      </c>
      <c r="E1295" s="170" t="s">
        <v>93</v>
      </c>
      <c r="F1295" s="171" t="s">
        <v>772</v>
      </c>
      <c r="G1295" s="171"/>
      <c r="H1295" s="172" t="s">
        <v>130</v>
      </c>
      <c r="I1295" s="172"/>
      <c r="J1295" s="174">
        <v>178000</v>
      </c>
      <c r="K1295" s="174"/>
      <c r="L1295" s="174"/>
      <c r="M1295" s="174"/>
      <c r="N1295" s="176"/>
    </row>
    <row r="1296" spans="1:14" x14ac:dyDescent="0.25">
      <c r="A1296" s="165">
        <v>45560</v>
      </c>
      <c r="B1296" s="166">
        <f t="shared" si="45"/>
        <v>9</v>
      </c>
      <c r="C1296" s="25">
        <f t="shared" si="44"/>
        <v>2024</v>
      </c>
      <c r="D1296" s="169" t="s">
        <v>92</v>
      </c>
      <c r="E1296" s="170" t="s">
        <v>92</v>
      </c>
      <c r="F1296" s="171" t="s">
        <v>1112</v>
      </c>
      <c r="G1296" s="171"/>
      <c r="H1296" s="172" t="s">
        <v>92</v>
      </c>
      <c r="I1296" s="172"/>
      <c r="J1296" s="174"/>
      <c r="K1296" s="174">
        <v>22000</v>
      </c>
      <c r="L1296" s="174"/>
      <c r="M1296" s="174"/>
      <c r="N1296" s="176"/>
    </row>
    <row r="1297" spans="1:14" x14ac:dyDescent="0.25">
      <c r="A1297" s="165">
        <v>45561</v>
      </c>
      <c r="B1297" s="166">
        <f t="shared" si="45"/>
        <v>9</v>
      </c>
      <c r="C1297" s="25">
        <f t="shared" si="44"/>
        <v>2024</v>
      </c>
      <c r="D1297" s="169" t="s">
        <v>124</v>
      </c>
      <c r="E1297" s="170" t="s">
        <v>93</v>
      </c>
      <c r="F1297" s="171"/>
      <c r="G1297" s="171" t="s">
        <v>553</v>
      </c>
      <c r="H1297" s="172" t="s">
        <v>131</v>
      </c>
      <c r="I1297" s="172"/>
      <c r="J1297" s="174"/>
      <c r="K1297" s="174">
        <v>562650</v>
      </c>
      <c r="L1297" s="174"/>
      <c r="M1297" s="174"/>
      <c r="N1297" s="176"/>
    </row>
    <row r="1298" spans="1:14" x14ac:dyDescent="0.25">
      <c r="A1298" s="165">
        <v>45561</v>
      </c>
      <c r="B1298" s="166">
        <f t="shared" si="45"/>
        <v>9</v>
      </c>
      <c r="C1298" s="25">
        <f t="shared" si="44"/>
        <v>2024</v>
      </c>
      <c r="D1298" s="169" t="s">
        <v>352</v>
      </c>
      <c r="E1298" s="170" t="s">
        <v>93</v>
      </c>
      <c r="F1298" s="171" t="s">
        <v>1018</v>
      </c>
      <c r="G1298" s="171"/>
      <c r="H1298" s="172" t="s">
        <v>130</v>
      </c>
      <c r="I1298" s="172"/>
      <c r="J1298" s="174">
        <v>540000</v>
      </c>
      <c r="K1298" s="174"/>
      <c r="L1298" s="174"/>
      <c r="M1298" s="174"/>
      <c r="N1298" s="176"/>
    </row>
    <row r="1299" spans="1:14" x14ac:dyDescent="0.25">
      <c r="A1299" s="165">
        <v>45562</v>
      </c>
      <c r="B1299" s="166">
        <f t="shared" si="45"/>
        <v>9</v>
      </c>
      <c r="C1299" s="25">
        <f t="shared" si="44"/>
        <v>2024</v>
      </c>
      <c r="D1299" s="169" t="s">
        <v>352</v>
      </c>
      <c r="E1299" s="170" t="s">
        <v>93</v>
      </c>
      <c r="F1299" s="171" t="s">
        <v>1066</v>
      </c>
      <c r="G1299" s="171"/>
      <c r="H1299" s="172" t="s">
        <v>130</v>
      </c>
      <c r="I1299" s="172"/>
      <c r="J1299" s="174">
        <v>66800</v>
      </c>
      <c r="K1299" s="174"/>
      <c r="L1299" s="174"/>
      <c r="M1299" s="174"/>
      <c r="N1299" s="176"/>
    </row>
    <row r="1300" spans="1:14" x14ac:dyDescent="0.25">
      <c r="A1300" s="165">
        <v>45562</v>
      </c>
      <c r="B1300" s="166">
        <f t="shared" si="45"/>
        <v>9</v>
      </c>
      <c r="C1300" s="25">
        <f t="shared" si="44"/>
        <v>2024</v>
      </c>
      <c r="D1300" s="169" t="s">
        <v>352</v>
      </c>
      <c r="E1300" s="170" t="s">
        <v>93</v>
      </c>
      <c r="F1300" s="171" t="s">
        <v>1099</v>
      </c>
      <c r="G1300" s="171"/>
      <c r="H1300" s="172" t="s">
        <v>545</v>
      </c>
      <c r="I1300" s="172"/>
      <c r="J1300" s="174">
        <v>200000</v>
      </c>
      <c r="K1300" s="174"/>
      <c r="L1300" s="174"/>
      <c r="M1300" s="174"/>
      <c r="N1300" s="176"/>
    </row>
    <row r="1301" spans="1:14" x14ac:dyDescent="0.25">
      <c r="A1301" s="165">
        <v>45562</v>
      </c>
      <c r="B1301" s="166">
        <f t="shared" si="45"/>
        <v>9</v>
      </c>
      <c r="C1301" s="25">
        <f t="shared" si="44"/>
        <v>2024</v>
      </c>
      <c r="D1301" s="169" t="s">
        <v>352</v>
      </c>
      <c r="E1301" s="170" t="s">
        <v>93</v>
      </c>
      <c r="F1301" s="171" t="s">
        <v>1099</v>
      </c>
      <c r="G1301" s="171"/>
      <c r="H1301" s="172" t="s">
        <v>130</v>
      </c>
      <c r="I1301" s="172"/>
      <c r="J1301" s="174">
        <v>55800</v>
      </c>
      <c r="K1301" s="174"/>
      <c r="L1301" s="174"/>
      <c r="M1301" s="174"/>
      <c r="N1301" s="176"/>
    </row>
    <row r="1302" spans="1:14" x14ac:dyDescent="0.25">
      <c r="A1302" s="165">
        <v>45563</v>
      </c>
      <c r="B1302" s="166">
        <f t="shared" si="45"/>
        <v>9</v>
      </c>
      <c r="C1302" s="25">
        <f t="shared" si="44"/>
        <v>2024</v>
      </c>
      <c r="D1302" s="169" t="s">
        <v>352</v>
      </c>
      <c r="E1302" s="170" t="s">
        <v>93</v>
      </c>
      <c r="F1302" s="171" t="s">
        <v>1101</v>
      </c>
      <c r="G1302" s="171"/>
      <c r="H1302" s="172" t="s">
        <v>130</v>
      </c>
      <c r="I1302" s="172"/>
      <c r="J1302" s="174">
        <v>225300</v>
      </c>
      <c r="K1302" s="174"/>
      <c r="L1302" s="174"/>
      <c r="M1302" s="174"/>
      <c r="N1302" s="176"/>
    </row>
    <row r="1303" spans="1:14" x14ac:dyDescent="0.25">
      <c r="A1303" s="165">
        <v>45563</v>
      </c>
      <c r="B1303" s="166">
        <f t="shared" si="45"/>
        <v>9</v>
      </c>
      <c r="C1303" s="25">
        <f t="shared" si="44"/>
        <v>2024</v>
      </c>
      <c r="D1303" s="169" t="s">
        <v>626</v>
      </c>
      <c r="E1303" s="170" t="s">
        <v>93</v>
      </c>
      <c r="F1303" s="171"/>
      <c r="G1303" s="171"/>
      <c r="H1303" s="172" t="s">
        <v>130</v>
      </c>
      <c r="I1303" s="172"/>
      <c r="J1303" s="174"/>
      <c r="K1303" s="174">
        <v>150000</v>
      </c>
      <c r="L1303" s="174"/>
      <c r="M1303" s="174"/>
      <c r="N1303" s="176"/>
    </row>
    <row r="1304" spans="1:14" x14ac:dyDescent="0.25">
      <c r="A1304" s="165">
        <v>45565</v>
      </c>
      <c r="B1304" s="166">
        <f t="shared" si="45"/>
        <v>9</v>
      </c>
      <c r="C1304" s="25">
        <f t="shared" si="44"/>
        <v>2024</v>
      </c>
      <c r="D1304" s="169" t="s">
        <v>352</v>
      </c>
      <c r="E1304" s="170" t="s">
        <v>93</v>
      </c>
      <c r="F1304" s="171" t="s">
        <v>1102</v>
      </c>
      <c r="G1304" s="171"/>
      <c r="H1304" s="172" t="s">
        <v>131</v>
      </c>
      <c r="I1304" s="172"/>
      <c r="J1304" s="174">
        <v>59000</v>
      </c>
      <c r="K1304" s="174"/>
      <c r="L1304" s="174"/>
      <c r="M1304" s="174"/>
      <c r="N1304" s="176"/>
    </row>
    <row r="1305" spans="1:14" x14ac:dyDescent="0.25">
      <c r="A1305" s="165">
        <v>45565</v>
      </c>
      <c r="B1305" s="166">
        <f t="shared" si="45"/>
        <v>9</v>
      </c>
      <c r="C1305" s="25">
        <f t="shared" si="44"/>
        <v>2024</v>
      </c>
      <c r="D1305" s="169" t="s">
        <v>352</v>
      </c>
      <c r="E1305" s="170" t="s">
        <v>93</v>
      </c>
      <c r="F1305" s="171" t="s">
        <v>1102</v>
      </c>
      <c r="G1305" s="171"/>
      <c r="H1305" s="172" t="s">
        <v>131</v>
      </c>
      <c r="I1305" s="172"/>
      <c r="J1305" s="174">
        <v>59000</v>
      </c>
      <c r="K1305" s="174"/>
      <c r="L1305" s="174"/>
      <c r="M1305" s="174"/>
      <c r="N1305" s="176"/>
    </row>
    <row r="1306" spans="1:14" x14ac:dyDescent="0.25">
      <c r="A1306" s="165">
        <v>45565</v>
      </c>
      <c r="B1306" s="166">
        <f t="shared" si="45"/>
        <v>9</v>
      </c>
      <c r="C1306" s="25">
        <f t="shared" si="44"/>
        <v>2024</v>
      </c>
      <c r="D1306" s="169" t="s">
        <v>352</v>
      </c>
      <c r="E1306" s="170" t="s">
        <v>93</v>
      </c>
      <c r="F1306" s="171" t="s">
        <v>1106</v>
      </c>
      <c r="G1306" s="171"/>
      <c r="H1306" s="172" t="s">
        <v>130</v>
      </c>
      <c r="I1306" s="172"/>
      <c r="J1306" s="174">
        <v>500000</v>
      </c>
      <c r="K1306" s="174"/>
      <c r="L1306" s="174"/>
      <c r="M1306" s="174"/>
      <c r="N1306" s="176"/>
    </row>
    <row r="1307" spans="1:14" x14ac:dyDescent="0.25">
      <c r="A1307" s="165">
        <v>45565</v>
      </c>
      <c r="B1307" s="166">
        <f t="shared" si="45"/>
        <v>9</v>
      </c>
      <c r="C1307" s="25">
        <f t="shared" si="44"/>
        <v>2024</v>
      </c>
      <c r="D1307" s="169" t="s">
        <v>646</v>
      </c>
      <c r="E1307" s="170" t="s">
        <v>92</v>
      </c>
      <c r="F1307" s="171" t="s">
        <v>1113</v>
      </c>
      <c r="G1307" s="171"/>
      <c r="H1307" s="172" t="s">
        <v>92</v>
      </c>
      <c r="I1307" s="172"/>
      <c r="J1307" s="174"/>
      <c r="K1307" s="174">
        <v>153207.54999999999</v>
      </c>
      <c r="L1307" s="174"/>
      <c r="M1307" s="174"/>
      <c r="N1307" s="176"/>
    </row>
    <row r="1308" spans="1:14" x14ac:dyDescent="0.25">
      <c r="A1308" s="165">
        <v>45565</v>
      </c>
      <c r="B1308" s="166">
        <f t="shared" si="45"/>
        <v>9</v>
      </c>
      <c r="C1308" s="25">
        <f t="shared" si="44"/>
        <v>2024</v>
      </c>
      <c r="D1308" s="169" t="s">
        <v>646</v>
      </c>
      <c r="E1308" s="170" t="s">
        <v>92</v>
      </c>
      <c r="F1308" s="171" t="s">
        <v>1073</v>
      </c>
      <c r="G1308" s="171"/>
      <c r="H1308" s="172" t="s">
        <v>92</v>
      </c>
      <c r="I1308" s="172"/>
      <c r="J1308" s="174"/>
      <c r="K1308" s="174">
        <v>986.15</v>
      </c>
      <c r="L1308" s="174"/>
      <c r="M1308" s="174"/>
      <c r="N1308" s="176"/>
    </row>
    <row r="1309" spans="1:14" x14ac:dyDescent="0.25">
      <c r="A1309" s="165">
        <v>45565</v>
      </c>
      <c r="B1309" s="166">
        <f t="shared" si="45"/>
        <v>9</v>
      </c>
      <c r="C1309" s="25">
        <f t="shared" si="44"/>
        <v>2024</v>
      </c>
      <c r="D1309" s="169" t="s">
        <v>646</v>
      </c>
      <c r="E1309" s="170" t="s">
        <v>92</v>
      </c>
      <c r="F1309" s="171" t="s">
        <v>1075</v>
      </c>
      <c r="G1309" s="171"/>
      <c r="H1309" s="172" t="s">
        <v>92</v>
      </c>
      <c r="I1309" s="172"/>
      <c r="J1309" s="174"/>
      <c r="K1309" s="174">
        <v>133053</v>
      </c>
      <c r="L1309" s="174"/>
      <c r="M1309" s="174"/>
      <c r="N1309" s="176"/>
    </row>
    <row r="1310" spans="1:14" x14ac:dyDescent="0.25">
      <c r="A1310" s="165">
        <v>45566</v>
      </c>
      <c r="B1310" s="166">
        <f t="shared" si="45"/>
        <v>10</v>
      </c>
      <c r="C1310" s="25">
        <f t="shared" si="44"/>
        <v>2024</v>
      </c>
      <c r="D1310" s="169" t="s">
        <v>352</v>
      </c>
      <c r="E1310" s="170" t="s">
        <v>93</v>
      </c>
      <c r="F1310" s="171" t="s">
        <v>485</v>
      </c>
      <c r="G1310" s="171"/>
      <c r="H1310" s="172" t="s">
        <v>131</v>
      </c>
      <c r="I1310" s="172"/>
      <c r="J1310" s="174">
        <v>280000</v>
      </c>
      <c r="K1310" s="174"/>
      <c r="L1310" s="174"/>
      <c r="M1310" s="174"/>
      <c r="N1310" s="176"/>
    </row>
    <row r="1311" spans="1:14" x14ac:dyDescent="0.25">
      <c r="A1311" s="165">
        <v>45566</v>
      </c>
      <c r="B1311" s="166">
        <f t="shared" si="45"/>
        <v>10</v>
      </c>
      <c r="C1311" s="25">
        <f t="shared" si="44"/>
        <v>2024</v>
      </c>
      <c r="D1311" s="169" t="s">
        <v>352</v>
      </c>
      <c r="E1311" s="170" t="s">
        <v>93</v>
      </c>
      <c r="F1311" s="171" t="s">
        <v>485</v>
      </c>
      <c r="G1311" s="171"/>
      <c r="H1311" s="172" t="s">
        <v>131</v>
      </c>
      <c r="I1311" s="172"/>
      <c r="J1311" s="174">
        <v>100000</v>
      </c>
      <c r="K1311" s="174"/>
      <c r="L1311" s="174"/>
      <c r="M1311" s="174"/>
      <c r="N1311" s="176"/>
    </row>
    <row r="1312" spans="1:14" x14ac:dyDescent="0.25">
      <c r="A1312" s="165">
        <v>45566</v>
      </c>
      <c r="B1312" s="166">
        <f t="shared" si="45"/>
        <v>10</v>
      </c>
      <c r="C1312" s="25">
        <f t="shared" si="44"/>
        <v>2024</v>
      </c>
      <c r="D1312" s="169" t="s">
        <v>352</v>
      </c>
      <c r="E1312" s="170" t="s">
        <v>93</v>
      </c>
      <c r="F1312" s="171" t="s">
        <v>485</v>
      </c>
      <c r="G1312" s="171"/>
      <c r="H1312" s="172" t="s">
        <v>131</v>
      </c>
      <c r="I1312" s="172"/>
      <c r="J1312" s="174">
        <v>253250</v>
      </c>
      <c r="K1312" s="174"/>
      <c r="L1312" s="174"/>
      <c r="M1312" s="174"/>
      <c r="N1312" s="176"/>
    </row>
    <row r="1313" spans="1:14" x14ac:dyDescent="0.25">
      <c r="A1313" s="165">
        <v>45566</v>
      </c>
      <c r="B1313" s="166">
        <f t="shared" si="45"/>
        <v>10</v>
      </c>
      <c r="C1313" s="25">
        <f t="shared" si="44"/>
        <v>2024</v>
      </c>
      <c r="D1313" s="169" t="s">
        <v>124</v>
      </c>
      <c r="E1313" s="170" t="s">
        <v>93</v>
      </c>
      <c r="F1313" s="171"/>
      <c r="G1313" s="171" t="s">
        <v>553</v>
      </c>
      <c r="H1313" s="172" t="s">
        <v>131</v>
      </c>
      <c r="I1313" s="172"/>
      <c r="J1313" s="174"/>
      <c r="K1313" s="174">
        <v>59000</v>
      </c>
      <c r="L1313" s="174"/>
      <c r="M1313" s="174"/>
      <c r="N1313" s="176"/>
    </row>
    <row r="1314" spans="1:14" x14ac:dyDescent="0.25">
      <c r="A1314" s="165">
        <v>45566</v>
      </c>
      <c r="B1314" s="166">
        <f t="shared" si="45"/>
        <v>10</v>
      </c>
      <c r="C1314" s="25">
        <f t="shared" si="44"/>
        <v>2024</v>
      </c>
      <c r="D1314" s="169" t="s">
        <v>124</v>
      </c>
      <c r="E1314" s="170" t="s">
        <v>93</v>
      </c>
      <c r="F1314" s="171"/>
      <c r="G1314" s="171" t="s">
        <v>553</v>
      </c>
      <c r="H1314" s="172" t="s">
        <v>131</v>
      </c>
      <c r="I1314" s="172"/>
      <c r="J1314" s="174"/>
      <c r="K1314" s="174">
        <v>59000</v>
      </c>
      <c r="L1314" s="174"/>
      <c r="M1314" s="174"/>
      <c r="N1314" s="176"/>
    </row>
    <row r="1315" spans="1:14" x14ac:dyDescent="0.25">
      <c r="A1315" s="165">
        <v>45566</v>
      </c>
      <c r="B1315" s="166">
        <f t="shared" si="45"/>
        <v>10</v>
      </c>
      <c r="C1315" s="25">
        <f t="shared" si="44"/>
        <v>2024</v>
      </c>
      <c r="D1315" s="169" t="s">
        <v>124</v>
      </c>
      <c r="E1315" s="170" t="s">
        <v>93</v>
      </c>
      <c r="F1315" s="171"/>
      <c r="G1315" s="171" t="s">
        <v>553</v>
      </c>
      <c r="H1315" s="172" t="s">
        <v>131</v>
      </c>
      <c r="I1315" s="172"/>
      <c r="J1315" s="174"/>
      <c r="K1315" s="174">
        <v>280000</v>
      </c>
      <c r="L1315" s="174"/>
      <c r="M1315" s="174"/>
      <c r="N1315" s="176"/>
    </row>
    <row r="1316" spans="1:14" x14ac:dyDescent="0.25">
      <c r="A1316" s="165">
        <v>45566</v>
      </c>
      <c r="B1316" s="166">
        <f t="shared" si="45"/>
        <v>10</v>
      </c>
      <c r="C1316" s="25">
        <f t="shared" si="44"/>
        <v>2024</v>
      </c>
      <c r="D1316" s="169" t="s">
        <v>124</v>
      </c>
      <c r="E1316" s="170" t="s">
        <v>93</v>
      </c>
      <c r="F1316" s="171"/>
      <c r="G1316" s="171" t="s">
        <v>553</v>
      </c>
      <c r="H1316" s="172" t="s">
        <v>131</v>
      </c>
      <c r="I1316" s="172"/>
      <c r="J1316" s="174"/>
      <c r="K1316" s="174">
        <v>100000</v>
      </c>
      <c r="L1316" s="174"/>
      <c r="M1316" s="174"/>
      <c r="N1316" s="176"/>
    </row>
    <row r="1317" spans="1:14" x14ac:dyDescent="0.25">
      <c r="A1317" s="165">
        <v>45566</v>
      </c>
      <c r="B1317" s="166">
        <f t="shared" si="45"/>
        <v>10</v>
      </c>
      <c r="C1317" s="25">
        <f t="shared" si="44"/>
        <v>2024</v>
      </c>
      <c r="D1317" s="169" t="s">
        <v>124</v>
      </c>
      <c r="E1317" s="170" t="s">
        <v>93</v>
      </c>
      <c r="F1317" s="171"/>
      <c r="G1317" s="171" t="s">
        <v>553</v>
      </c>
      <c r="H1317" s="172" t="s">
        <v>131</v>
      </c>
      <c r="I1317" s="172"/>
      <c r="J1317" s="174"/>
      <c r="K1317" s="174">
        <v>253250</v>
      </c>
      <c r="L1317" s="174"/>
      <c r="M1317" s="174"/>
      <c r="N1317" s="176"/>
    </row>
    <row r="1318" spans="1:14" x14ac:dyDescent="0.25">
      <c r="A1318" s="165">
        <v>45566</v>
      </c>
      <c r="B1318" s="166">
        <f t="shared" si="45"/>
        <v>10</v>
      </c>
      <c r="C1318" s="25">
        <f t="shared" si="44"/>
        <v>2024</v>
      </c>
      <c r="D1318" s="169" t="s">
        <v>52</v>
      </c>
      <c r="E1318" s="170" t="s">
        <v>92</v>
      </c>
      <c r="F1318" s="171" t="s">
        <v>1163</v>
      </c>
      <c r="G1318" s="171"/>
      <c r="H1318" s="172" t="s">
        <v>92</v>
      </c>
      <c r="I1318" s="172"/>
      <c r="J1318" s="174"/>
      <c r="K1318" s="174">
        <v>182240</v>
      </c>
      <c r="L1318" s="174"/>
      <c r="M1318" s="174"/>
      <c r="N1318" s="176"/>
    </row>
    <row r="1319" spans="1:14" x14ac:dyDescent="0.25">
      <c r="A1319" s="165">
        <v>45566</v>
      </c>
      <c r="B1319" s="166">
        <f t="shared" si="45"/>
        <v>10</v>
      </c>
      <c r="C1319" s="25">
        <f t="shared" si="44"/>
        <v>2024</v>
      </c>
      <c r="D1319" s="169" t="s">
        <v>92</v>
      </c>
      <c r="E1319" s="170" t="s">
        <v>92</v>
      </c>
      <c r="F1319" s="171" t="s">
        <v>174</v>
      </c>
      <c r="G1319" s="171"/>
      <c r="H1319" s="172" t="s">
        <v>92</v>
      </c>
      <c r="I1319" s="172"/>
      <c r="J1319" s="174"/>
      <c r="K1319" s="174">
        <v>144649.5</v>
      </c>
      <c r="L1319" s="174"/>
      <c r="M1319" s="174"/>
      <c r="N1319" s="176"/>
    </row>
    <row r="1320" spans="1:14" x14ac:dyDescent="0.25">
      <c r="A1320" s="165">
        <v>45566</v>
      </c>
      <c r="B1320" s="166">
        <f t="shared" si="45"/>
        <v>10</v>
      </c>
      <c r="C1320" s="25">
        <f t="shared" si="44"/>
        <v>2024</v>
      </c>
      <c r="D1320" s="169" t="s">
        <v>92</v>
      </c>
      <c r="E1320" s="170" t="s">
        <v>92</v>
      </c>
      <c r="F1320" s="171" t="s">
        <v>795</v>
      </c>
      <c r="G1320" s="171"/>
      <c r="H1320" s="172" t="s">
        <v>92</v>
      </c>
      <c r="I1320" s="172"/>
      <c r="J1320" s="174"/>
      <c r="K1320" s="174">
        <v>42050</v>
      </c>
      <c r="L1320" s="174"/>
      <c r="M1320" s="174"/>
      <c r="N1320" s="176"/>
    </row>
    <row r="1321" spans="1:14" x14ac:dyDescent="0.25">
      <c r="A1321" s="68">
        <v>45566</v>
      </c>
      <c r="B1321" s="141">
        <f t="shared" si="45"/>
        <v>10</v>
      </c>
      <c r="C1321" s="25">
        <f t="shared" si="44"/>
        <v>2024</v>
      </c>
      <c r="D1321" s="76" t="s">
        <v>92</v>
      </c>
      <c r="E1321" s="170" t="s">
        <v>92</v>
      </c>
      <c r="F1321" s="191" t="s">
        <v>675</v>
      </c>
      <c r="H1321" s="1" t="s">
        <v>92</v>
      </c>
      <c r="K1321" s="149">
        <v>170136</v>
      </c>
    </row>
    <row r="1322" spans="1:14" x14ac:dyDescent="0.25">
      <c r="A1322" s="68">
        <v>45566</v>
      </c>
      <c r="B1322" s="141">
        <f t="shared" si="45"/>
        <v>10</v>
      </c>
      <c r="C1322" s="25">
        <f t="shared" si="44"/>
        <v>2024</v>
      </c>
      <c r="D1322" s="76" t="s">
        <v>92</v>
      </c>
      <c r="E1322" s="170" t="s">
        <v>92</v>
      </c>
      <c r="H1322" s="1" t="s">
        <v>92</v>
      </c>
      <c r="K1322" s="149">
        <v>250000</v>
      </c>
    </row>
    <row r="1323" spans="1:14" x14ac:dyDescent="0.25">
      <c r="A1323" s="68">
        <v>45566</v>
      </c>
      <c r="B1323" s="141">
        <f t="shared" si="45"/>
        <v>10</v>
      </c>
      <c r="C1323" s="25">
        <f t="shared" si="44"/>
        <v>2024</v>
      </c>
      <c r="D1323" s="76" t="s">
        <v>92</v>
      </c>
      <c r="E1323" s="170" t="s">
        <v>92</v>
      </c>
      <c r="H1323" s="1" t="s">
        <v>92</v>
      </c>
      <c r="K1323" s="149">
        <v>52500</v>
      </c>
    </row>
    <row r="1324" spans="1:14" x14ac:dyDescent="0.25">
      <c r="A1324" s="68">
        <v>45566</v>
      </c>
      <c r="B1324" s="141">
        <f t="shared" si="45"/>
        <v>10</v>
      </c>
      <c r="C1324" s="25">
        <f t="shared" si="44"/>
        <v>2024</v>
      </c>
      <c r="D1324" s="76" t="s">
        <v>92</v>
      </c>
      <c r="E1324" s="170" t="s">
        <v>92</v>
      </c>
      <c r="F1324" t="s">
        <v>970</v>
      </c>
      <c r="H1324" s="1" t="s">
        <v>92</v>
      </c>
      <c r="K1324" s="149">
        <v>321700</v>
      </c>
    </row>
    <row r="1325" spans="1:14" x14ac:dyDescent="0.25">
      <c r="A1325" s="68">
        <v>45566</v>
      </c>
      <c r="B1325" s="141">
        <f t="shared" si="45"/>
        <v>10</v>
      </c>
      <c r="C1325" s="25">
        <f t="shared" si="44"/>
        <v>2024</v>
      </c>
      <c r="D1325" s="76" t="s">
        <v>92</v>
      </c>
      <c r="E1325" s="170" t="s">
        <v>92</v>
      </c>
      <c r="H1325" s="1" t="s">
        <v>92</v>
      </c>
      <c r="K1325" s="149">
        <v>270000</v>
      </c>
    </row>
    <row r="1326" spans="1:14" x14ac:dyDescent="0.25">
      <c r="A1326" s="165">
        <v>45567</v>
      </c>
      <c r="B1326" s="166">
        <f t="shared" si="45"/>
        <v>10</v>
      </c>
      <c r="C1326" s="25">
        <f t="shared" si="44"/>
        <v>2024</v>
      </c>
      <c r="D1326" s="169" t="s">
        <v>352</v>
      </c>
      <c r="E1326" s="170" t="s">
        <v>93</v>
      </c>
      <c r="F1326" s="171" t="s">
        <v>1040</v>
      </c>
      <c r="G1326" s="171"/>
      <c r="H1326" s="172" t="s">
        <v>130</v>
      </c>
      <c r="I1326" s="172"/>
      <c r="J1326" s="174">
        <v>423000</v>
      </c>
      <c r="K1326" s="174"/>
      <c r="L1326" s="174"/>
      <c r="M1326" s="174"/>
      <c r="N1326" s="176"/>
    </row>
    <row r="1327" spans="1:14" x14ac:dyDescent="0.25">
      <c r="A1327" s="165">
        <v>45567</v>
      </c>
      <c r="B1327" s="166">
        <f t="shared" si="45"/>
        <v>10</v>
      </c>
      <c r="C1327" s="25">
        <f t="shared" si="44"/>
        <v>2024</v>
      </c>
      <c r="D1327" s="169" t="s">
        <v>124</v>
      </c>
      <c r="E1327" s="170" t="s">
        <v>93</v>
      </c>
      <c r="F1327" s="171" t="s">
        <v>983</v>
      </c>
      <c r="G1327" s="171"/>
      <c r="H1327" s="172" t="s">
        <v>130</v>
      </c>
      <c r="I1327" s="172"/>
      <c r="J1327" s="174"/>
      <c r="K1327" s="174">
        <v>1663400</v>
      </c>
      <c r="L1327" s="174"/>
      <c r="M1327" s="174"/>
      <c r="N1327" s="176"/>
    </row>
    <row r="1328" spans="1:14" x14ac:dyDescent="0.25">
      <c r="A1328" s="165">
        <v>45567</v>
      </c>
      <c r="B1328" s="166">
        <f t="shared" si="45"/>
        <v>10</v>
      </c>
      <c r="C1328" s="25">
        <f t="shared" si="44"/>
        <v>2024</v>
      </c>
      <c r="D1328" s="169" t="s">
        <v>92</v>
      </c>
      <c r="E1328" s="170" t="s">
        <v>92</v>
      </c>
      <c r="F1328" s="171" t="s">
        <v>1112</v>
      </c>
      <c r="G1328" s="171"/>
      <c r="H1328" s="172" t="s">
        <v>92</v>
      </c>
      <c r="I1328" s="172"/>
      <c r="J1328" s="174"/>
      <c r="K1328" s="174">
        <v>1134854.6399999999</v>
      </c>
      <c r="L1328" s="174"/>
      <c r="M1328" s="174"/>
      <c r="N1328" s="176"/>
    </row>
    <row r="1329" spans="1:14" x14ac:dyDescent="0.25">
      <c r="A1329" s="165">
        <v>45568</v>
      </c>
      <c r="B1329" s="166">
        <f t="shared" si="45"/>
        <v>10</v>
      </c>
      <c r="C1329" s="25">
        <f t="shared" si="44"/>
        <v>2024</v>
      </c>
      <c r="D1329" s="169" t="s">
        <v>92</v>
      </c>
      <c r="E1329" s="170" t="s">
        <v>92</v>
      </c>
      <c r="F1329" s="171" t="s">
        <v>172</v>
      </c>
      <c r="G1329" s="171"/>
      <c r="H1329" s="172" t="s">
        <v>92</v>
      </c>
      <c r="I1329" s="172"/>
      <c r="J1329" s="174"/>
      <c r="K1329" s="174">
        <v>158819</v>
      </c>
      <c r="L1329" s="174"/>
      <c r="M1329" s="174"/>
      <c r="N1329" s="176"/>
    </row>
    <row r="1330" spans="1:14" x14ac:dyDescent="0.25">
      <c r="A1330" s="165">
        <v>45568</v>
      </c>
      <c r="B1330" s="166">
        <f t="shared" si="45"/>
        <v>10</v>
      </c>
      <c r="C1330" s="25">
        <f t="shared" si="44"/>
        <v>2024</v>
      </c>
      <c r="D1330" s="169" t="s">
        <v>92</v>
      </c>
      <c r="E1330" s="170" t="s">
        <v>92</v>
      </c>
      <c r="F1330" s="171" t="s">
        <v>139</v>
      </c>
      <c r="G1330" s="171"/>
      <c r="H1330" s="172" t="s">
        <v>92</v>
      </c>
      <c r="I1330" s="172"/>
      <c r="J1330" s="174"/>
      <c r="K1330" s="174">
        <v>94312</v>
      </c>
      <c r="L1330" s="174"/>
      <c r="M1330" s="174"/>
      <c r="N1330" s="176"/>
    </row>
    <row r="1331" spans="1:14" x14ac:dyDescent="0.25">
      <c r="A1331" s="165">
        <v>45568</v>
      </c>
      <c r="B1331" s="166">
        <f t="shared" si="45"/>
        <v>10</v>
      </c>
      <c r="C1331" s="25">
        <f t="shared" si="44"/>
        <v>2024</v>
      </c>
      <c r="D1331" s="169" t="s">
        <v>92</v>
      </c>
      <c r="E1331" s="170" t="s">
        <v>92</v>
      </c>
      <c r="F1331" s="171" t="s">
        <v>630</v>
      </c>
      <c r="G1331" s="171"/>
      <c r="H1331" s="172" t="s">
        <v>92</v>
      </c>
      <c r="I1331" s="172"/>
      <c r="J1331" s="174"/>
      <c r="K1331" s="174">
        <v>23500</v>
      </c>
      <c r="L1331" s="174"/>
      <c r="M1331" s="174"/>
      <c r="N1331" s="176"/>
    </row>
    <row r="1332" spans="1:14" x14ac:dyDescent="0.25">
      <c r="A1332" s="165">
        <v>45568</v>
      </c>
      <c r="B1332" s="166">
        <f t="shared" si="45"/>
        <v>10</v>
      </c>
      <c r="C1332" s="25">
        <f t="shared" si="44"/>
        <v>2024</v>
      </c>
      <c r="D1332" s="169" t="s">
        <v>352</v>
      </c>
      <c r="E1332" s="170" t="s">
        <v>93</v>
      </c>
      <c r="F1332" s="171" t="s">
        <v>828</v>
      </c>
      <c r="G1332" s="171"/>
      <c r="H1332" s="172" t="s">
        <v>130</v>
      </c>
      <c r="I1332" s="172"/>
      <c r="J1332" s="174">
        <v>172000</v>
      </c>
      <c r="K1332" s="174"/>
      <c r="L1332" s="174"/>
      <c r="M1332" s="174"/>
      <c r="N1332" s="176"/>
    </row>
    <row r="1333" spans="1:14" x14ac:dyDescent="0.25">
      <c r="A1333" s="165">
        <v>45568</v>
      </c>
      <c r="B1333" s="166">
        <f t="shared" si="45"/>
        <v>10</v>
      </c>
      <c r="C1333" s="25">
        <f t="shared" si="44"/>
        <v>2024</v>
      </c>
      <c r="D1333" s="169" t="s">
        <v>92</v>
      </c>
      <c r="E1333" s="170" t="s">
        <v>92</v>
      </c>
      <c r="F1333" s="171"/>
      <c r="G1333" s="171"/>
      <c r="H1333" s="172" t="s">
        <v>92</v>
      </c>
      <c r="I1333" s="172"/>
      <c r="J1333" s="174"/>
      <c r="K1333" s="174">
        <v>150000</v>
      </c>
      <c r="L1333" s="174"/>
      <c r="M1333" s="174"/>
      <c r="N1333" s="176"/>
    </row>
    <row r="1334" spans="1:14" x14ac:dyDescent="0.25">
      <c r="A1334" s="165">
        <v>45568</v>
      </c>
      <c r="B1334" s="166">
        <f t="shared" si="45"/>
        <v>10</v>
      </c>
      <c r="C1334" s="25">
        <f t="shared" si="44"/>
        <v>2024</v>
      </c>
      <c r="D1334" s="169" t="s">
        <v>92</v>
      </c>
      <c r="E1334" s="170" t="s">
        <v>92</v>
      </c>
      <c r="F1334" s="171" t="s">
        <v>796</v>
      </c>
      <c r="G1334" s="171"/>
      <c r="H1334" s="172" t="s">
        <v>92</v>
      </c>
      <c r="I1334" s="172"/>
      <c r="J1334" s="174"/>
      <c r="K1334" s="174">
        <v>329602.56</v>
      </c>
      <c r="L1334" s="174"/>
      <c r="M1334" s="174"/>
      <c r="N1334" s="176"/>
    </row>
    <row r="1335" spans="1:14" x14ac:dyDescent="0.25">
      <c r="A1335" s="165">
        <v>45568</v>
      </c>
      <c r="B1335" s="166">
        <f t="shared" si="45"/>
        <v>10</v>
      </c>
      <c r="C1335" s="25">
        <f t="shared" si="44"/>
        <v>2024</v>
      </c>
      <c r="D1335" s="169" t="s">
        <v>92</v>
      </c>
      <c r="E1335" s="170" t="s">
        <v>92</v>
      </c>
      <c r="F1335" s="171" t="s">
        <v>1060</v>
      </c>
      <c r="G1335" s="171"/>
      <c r="H1335" s="172" t="s">
        <v>92</v>
      </c>
      <c r="I1335" s="172"/>
      <c r="J1335" s="174"/>
      <c r="K1335" s="174">
        <v>88000</v>
      </c>
      <c r="L1335" s="174"/>
      <c r="M1335" s="174"/>
      <c r="N1335" s="176"/>
    </row>
    <row r="1336" spans="1:14" x14ac:dyDescent="0.25">
      <c r="A1336" s="165">
        <v>45568</v>
      </c>
      <c r="B1336" s="166">
        <f t="shared" si="45"/>
        <v>10</v>
      </c>
      <c r="C1336" s="25">
        <f t="shared" si="44"/>
        <v>2024</v>
      </c>
      <c r="D1336" s="169" t="s">
        <v>92</v>
      </c>
      <c r="E1336" s="170" t="s">
        <v>92</v>
      </c>
      <c r="F1336" s="171" t="s">
        <v>1060</v>
      </c>
      <c r="G1336" s="171"/>
      <c r="H1336" s="172" t="s">
        <v>92</v>
      </c>
      <c r="I1336" s="172"/>
      <c r="J1336" s="174"/>
      <c r="K1336" s="174">
        <v>150000</v>
      </c>
      <c r="L1336" s="174"/>
      <c r="M1336" s="174"/>
      <c r="N1336" s="176"/>
    </row>
    <row r="1337" spans="1:14" x14ac:dyDescent="0.25">
      <c r="A1337" s="165">
        <v>45570</v>
      </c>
      <c r="B1337" s="166">
        <f t="shared" si="45"/>
        <v>10</v>
      </c>
      <c r="C1337" s="25">
        <f t="shared" si="44"/>
        <v>2024</v>
      </c>
      <c r="D1337" s="169" t="s">
        <v>626</v>
      </c>
      <c r="E1337" s="170" t="s">
        <v>93</v>
      </c>
      <c r="F1337" s="171"/>
      <c r="G1337" s="171"/>
      <c r="H1337" s="172" t="s">
        <v>130</v>
      </c>
      <c r="I1337" s="172"/>
      <c r="J1337" s="174"/>
      <c r="K1337" s="174">
        <v>150000</v>
      </c>
      <c r="L1337" s="174"/>
      <c r="M1337" s="174"/>
      <c r="N1337" s="176"/>
    </row>
    <row r="1338" spans="1:14" x14ac:dyDescent="0.25">
      <c r="A1338" s="165">
        <v>45572</v>
      </c>
      <c r="B1338" s="166">
        <f t="shared" si="45"/>
        <v>10</v>
      </c>
      <c r="C1338" s="25">
        <f t="shared" si="44"/>
        <v>2024</v>
      </c>
      <c r="D1338" s="169" t="s">
        <v>352</v>
      </c>
      <c r="E1338" s="170" t="s">
        <v>93</v>
      </c>
      <c r="F1338" s="171" t="s">
        <v>1106</v>
      </c>
      <c r="G1338" s="171"/>
      <c r="H1338" s="172" t="s">
        <v>130</v>
      </c>
      <c r="I1338" s="172"/>
      <c r="J1338" s="174">
        <v>137000</v>
      </c>
      <c r="K1338" s="174"/>
      <c r="L1338" s="174"/>
      <c r="M1338" s="174"/>
      <c r="N1338" s="176"/>
    </row>
    <row r="1339" spans="1:14" x14ac:dyDescent="0.25">
      <c r="A1339" s="165">
        <v>45572</v>
      </c>
      <c r="B1339" s="166">
        <f t="shared" si="45"/>
        <v>10</v>
      </c>
      <c r="C1339" s="25">
        <f t="shared" si="44"/>
        <v>2024</v>
      </c>
      <c r="D1339" s="169" t="s">
        <v>92</v>
      </c>
      <c r="E1339" s="170" t="s">
        <v>92</v>
      </c>
      <c r="F1339" s="171"/>
      <c r="G1339" s="171"/>
      <c r="H1339" s="172" t="s">
        <v>92</v>
      </c>
      <c r="I1339" s="172"/>
      <c r="J1339" s="174"/>
      <c r="K1339" s="174"/>
      <c r="L1339" s="174"/>
      <c r="M1339" s="174"/>
      <c r="N1339" s="176"/>
    </row>
    <row r="1340" spans="1:14" x14ac:dyDescent="0.25">
      <c r="A1340" s="68">
        <v>45572</v>
      </c>
      <c r="B1340" s="141">
        <f t="shared" si="45"/>
        <v>10</v>
      </c>
      <c r="C1340" s="25">
        <f t="shared" si="44"/>
        <v>2024</v>
      </c>
      <c r="D1340" s="76" t="s">
        <v>124</v>
      </c>
      <c r="E1340" s="170" t="s">
        <v>93</v>
      </c>
      <c r="F1340" s="191" t="s">
        <v>1176</v>
      </c>
      <c r="H1340" s="1" t="s">
        <v>130</v>
      </c>
      <c r="K1340" s="149">
        <v>243500</v>
      </c>
    </row>
    <row r="1341" spans="1:14" x14ac:dyDescent="0.25">
      <c r="A1341" s="165">
        <v>45573</v>
      </c>
      <c r="B1341" s="166">
        <f t="shared" si="45"/>
        <v>10</v>
      </c>
      <c r="C1341" s="25">
        <f t="shared" si="44"/>
        <v>2024</v>
      </c>
      <c r="D1341" s="169" t="s">
        <v>124</v>
      </c>
      <c r="E1341" s="170" t="s">
        <v>93</v>
      </c>
      <c r="F1341" s="171" t="s">
        <v>983</v>
      </c>
      <c r="G1341" s="171"/>
      <c r="H1341" s="172" t="s">
        <v>130</v>
      </c>
      <c r="I1341" s="172"/>
      <c r="J1341" s="174"/>
      <c r="K1341" s="174">
        <v>70785</v>
      </c>
      <c r="L1341" s="174"/>
      <c r="M1341" s="174"/>
      <c r="N1341" s="176"/>
    </row>
    <row r="1342" spans="1:14" x14ac:dyDescent="0.25">
      <c r="A1342" s="165">
        <v>45574</v>
      </c>
      <c r="B1342" s="166">
        <f t="shared" si="45"/>
        <v>10</v>
      </c>
      <c r="C1342" s="25">
        <f t="shared" si="44"/>
        <v>2024</v>
      </c>
      <c r="D1342" s="169" t="s">
        <v>352</v>
      </c>
      <c r="E1342" s="170" t="s">
        <v>93</v>
      </c>
      <c r="F1342" s="171" t="s">
        <v>1110</v>
      </c>
      <c r="G1342" s="171"/>
      <c r="H1342" s="172" t="s">
        <v>545</v>
      </c>
      <c r="I1342" s="172"/>
      <c r="J1342" s="174">
        <v>129200</v>
      </c>
      <c r="K1342" s="174"/>
      <c r="L1342" s="174"/>
      <c r="M1342" s="174"/>
      <c r="N1342" s="176"/>
    </row>
    <row r="1343" spans="1:14" x14ac:dyDescent="0.25">
      <c r="A1343" s="165">
        <v>45574</v>
      </c>
      <c r="B1343" s="166">
        <f t="shared" si="45"/>
        <v>10</v>
      </c>
      <c r="C1343" s="25">
        <f t="shared" ref="C1343:C1406" si="46">YEAR((A1343))</f>
        <v>2024</v>
      </c>
      <c r="D1343" s="169" t="s">
        <v>352</v>
      </c>
      <c r="E1343" s="170" t="s">
        <v>93</v>
      </c>
      <c r="F1343" s="171" t="s">
        <v>1111</v>
      </c>
      <c r="G1343" s="171"/>
      <c r="H1343" s="172" t="s">
        <v>130</v>
      </c>
      <c r="I1343" s="172"/>
      <c r="J1343" s="174">
        <v>150000</v>
      </c>
      <c r="K1343" s="174"/>
      <c r="L1343" s="174"/>
      <c r="M1343" s="174"/>
      <c r="N1343" s="176"/>
    </row>
    <row r="1344" spans="1:14" x14ac:dyDescent="0.25">
      <c r="A1344" s="165">
        <v>45574</v>
      </c>
      <c r="B1344" s="166">
        <f t="shared" si="45"/>
        <v>10</v>
      </c>
      <c r="C1344" s="25">
        <f t="shared" si="46"/>
        <v>2024</v>
      </c>
      <c r="D1344" s="169" t="s">
        <v>124</v>
      </c>
      <c r="E1344" s="170" t="s">
        <v>93</v>
      </c>
      <c r="F1344" s="171"/>
      <c r="G1344" s="171" t="s">
        <v>333</v>
      </c>
      <c r="H1344" s="172" t="s">
        <v>131</v>
      </c>
      <c r="I1344" s="172"/>
      <c r="J1344" s="174"/>
      <c r="K1344" s="174">
        <v>76088.850000000006</v>
      </c>
      <c r="L1344" s="174"/>
      <c r="M1344" s="174"/>
      <c r="N1344" s="176"/>
    </row>
    <row r="1345" spans="1:19" x14ac:dyDescent="0.25">
      <c r="A1345" s="165">
        <v>45574</v>
      </c>
      <c r="B1345" s="166">
        <f t="shared" si="45"/>
        <v>10</v>
      </c>
      <c r="C1345" s="25">
        <f t="shared" si="46"/>
        <v>2024</v>
      </c>
      <c r="D1345" s="169" t="s">
        <v>92</v>
      </c>
      <c r="E1345" s="170" t="s">
        <v>92</v>
      </c>
      <c r="F1345" s="171"/>
      <c r="G1345" s="171"/>
      <c r="H1345" s="172" t="s">
        <v>92</v>
      </c>
      <c r="I1345" s="172"/>
      <c r="J1345" s="174"/>
      <c r="K1345" s="174">
        <v>25000</v>
      </c>
      <c r="L1345" s="174"/>
      <c r="M1345" s="174"/>
      <c r="N1345" s="176"/>
    </row>
    <row r="1346" spans="1:19" x14ac:dyDescent="0.25">
      <c r="A1346" s="165">
        <v>45574</v>
      </c>
      <c r="B1346" s="166">
        <f t="shared" si="45"/>
        <v>10</v>
      </c>
      <c r="C1346" s="25">
        <f t="shared" si="46"/>
        <v>2024</v>
      </c>
      <c r="D1346" s="169" t="s">
        <v>352</v>
      </c>
      <c r="E1346" s="170" t="s">
        <v>93</v>
      </c>
      <c r="F1346" s="171" t="s">
        <v>1009</v>
      </c>
      <c r="G1346" s="171"/>
      <c r="H1346" s="172" t="s">
        <v>545</v>
      </c>
      <c r="I1346" s="172"/>
      <c r="J1346" s="174">
        <v>67000</v>
      </c>
      <c r="K1346" s="174"/>
      <c r="L1346" s="174"/>
      <c r="M1346" s="174"/>
      <c r="N1346" s="176"/>
    </row>
    <row r="1347" spans="1:19" x14ac:dyDescent="0.25">
      <c r="A1347" s="165">
        <v>45575</v>
      </c>
      <c r="B1347" s="166">
        <f t="shared" ref="B1347:B1410" si="47">MONTH(A1347)</f>
        <v>10</v>
      </c>
      <c r="C1347" s="25">
        <f t="shared" si="46"/>
        <v>2024</v>
      </c>
      <c r="D1347" s="169" t="s">
        <v>352</v>
      </c>
      <c r="E1347" s="170" t="s">
        <v>93</v>
      </c>
      <c r="F1347" t="s">
        <v>1115</v>
      </c>
      <c r="G1347" s="171"/>
      <c r="H1347" s="172" t="s">
        <v>130</v>
      </c>
      <c r="I1347" s="172"/>
      <c r="J1347" s="174">
        <v>181000</v>
      </c>
      <c r="K1347" s="174"/>
      <c r="L1347" s="174"/>
      <c r="M1347" s="174"/>
      <c r="N1347" s="176"/>
    </row>
    <row r="1348" spans="1:19" x14ac:dyDescent="0.25">
      <c r="A1348" s="165">
        <v>45575</v>
      </c>
      <c r="B1348" s="166">
        <f t="shared" si="47"/>
        <v>10</v>
      </c>
      <c r="C1348" s="25">
        <f t="shared" si="46"/>
        <v>2024</v>
      </c>
      <c r="D1348" s="169" t="s">
        <v>352</v>
      </c>
      <c r="E1348" s="170" t="s">
        <v>93</v>
      </c>
      <c r="F1348" s="171" t="s">
        <v>1116</v>
      </c>
      <c r="G1348" s="171"/>
      <c r="H1348" s="172" t="s">
        <v>545</v>
      </c>
      <c r="I1348" s="172"/>
      <c r="J1348" s="174">
        <v>152000</v>
      </c>
      <c r="K1348" s="174"/>
      <c r="L1348" s="174"/>
      <c r="M1348" s="174"/>
      <c r="N1348" s="176"/>
    </row>
    <row r="1349" spans="1:19" x14ac:dyDescent="0.25">
      <c r="A1349" s="165">
        <v>45575</v>
      </c>
      <c r="B1349" s="166">
        <f t="shared" si="47"/>
        <v>10</v>
      </c>
      <c r="C1349" s="25">
        <f t="shared" si="46"/>
        <v>2024</v>
      </c>
      <c r="D1349" s="169" t="s">
        <v>92</v>
      </c>
      <c r="E1349" s="170" t="s">
        <v>92</v>
      </c>
      <c r="F1349" s="171" t="s">
        <v>1030</v>
      </c>
      <c r="G1349" s="171"/>
      <c r="H1349" s="172" t="s">
        <v>92</v>
      </c>
      <c r="I1349" s="172"/>
      <c r="J1349" s="174"/>
      <c r="K1349" s="174">
        <v>62130</v>
      </c>
      <c r="L1349" s="174"/>
      <c r="M1349" s="174"/>
      <c r="N1349" s="176"/>
    </row>
    <row r="1350" spans="1:19" x14ac:dyDescent="0.25">
      <c r="A1350" s="165">
        <v>45576</v>
      </c>
      <c r="B1350" s="166">
        <f t="shared" si="47"/>
        <v>10</v>
      </c>
      <c r="C1350" s="25">
        <f t="shared" si="46"/>
        <v>2024</v>
      </c>
      <c r="D1350" s="169" t="s">
        <v>352</v>
      </c>
      <c r="E1350" s="170" t="s">
        <v>93</v>
      </c>
      <c r="F1350" s="171" t="s">
        <v>1118</v>
      </c>
      <c r="G1350" s="171"/>
      <c r="H1350" s="172" t="s">
        <v>131</v>
      </c>
      <c r="I1350" s="172"/>
      <c r="J1350" s="174">
        <v>181666</v>
      </c>
      <c r="K1350" s="174"/>
      <c r="L1350" s="174"/>
      <c r="M1350" s="174"/>
      <c r="N1350" s="176"/>
    </row>
    <row r="1351" spans="1:19" x14ac:dyDescent="0.25">
      <c r="A1351" s="68">
        <v>45577</v>
      </c>
      <c r="B1351" s="141">
        <f t="shared" si="47"/>
        <v>10</v>
      </c>
      <c r="C1351" s="25">
        <f t="shared" si="46"/>
        <v>2024</v>
      </c>
      <c r="D1351" s="76" t="s">
        <v>626</v>
      </c>
      <c r="E1351" s="170" t="s">
        <v>93</v>
      </c>
      <c r="H1351" s="1" t="s">
        <v>130</v>
      </c>
      <c r="K1351" s="149">
        <v>150000</v>
      </c>
    </row>
    <row r="1352" spans="1:19" x14ac:dyDescent="0.25">
      <c r="A1352" s="165">
        <v>45579</v>
      </c>
      <c r="B1352" s="166">
        <f t="shared" si="47"/>
        <v>10</v>
      </c>
      <c r="C1352" s="25">
        <f t="shared" si="46"/>
        <v>2024</v>
      </c>
      <c r="D1352" s="169" t="s">
        <v>352</v>
      </c>
      <c r="E1352" s="170" t="s">
        <v>93</v>
      </c>
      <c r="F1352" s="171" t="s">
        <v>551</v>
      </c>
      <c r="G1352" s="171"/>
      <c r="H1352" s="172" t="s">
        <v>130</v>
      </c>
      <c r="I1352" s="172"/>
      <c r="J1352" s="174">
        <v>460000</v>
      </c>
      <c r="K1352" s="174"/>
      <c r="L1352" s="174"/>
      <c r="M1352" s="174"/>
      <c r="N1352" s="176"/>
    </row>
    <row r="1353" spans="1:19" x14ac:dyDescent="0.25">
      <c r="A1353" s="165">
        <v>45579</v>
      </c>
      <c r="B1353" s="166">
        <f t="shared" si="47"/>
        <v>10</v>
      </c>
      <c r="C1353" s="25">
        <f t="shared" si="46"/>
        <v>2024</v>
      </c>
      <c r="D1353" s="169" t="s">
        <v>352</v>
      </c>
      <c r="E1353" s="170" t="s">
        <v>93</v>
      </c>
      <c r="F1353" s="171" t="s">
        <v>531</v>
      </c>
      <c r="G1353" s="171"/>
      <c r="H1353" s="172" t="s">
        <v>130</v>
      </c>
      <c r="I1353" s="172"/>
      <c r="J1353" s="174">
        <v>200000</v>
      </c>
      <c r="K1353" s="174"/>
      <c r="L1353" s="174"/>
      <c r="M1353" s="174"/>
      <c r="N1353" s="176"/>
    </row>
    <row r="1354" spans="1:19" x14ac:dyDescent="0.25">
      <c r="A1354" s="165">
        <v>45579</v>
      </c>
      <c r="B1354" s="166">
        <f t="shared" si="47"/>
        <v>10</v>
      </c>
      <c r="C1354" s="25">
        <f t="shared" si="46"/>
        <v>2024</v>
      </c>
      <c r="D1354" s="169" t="s">
        <v>124</v>
      </c>
      <c r="E1354" s="170" t="s">
        <v>93</v>
      </c>
      <c r="F1354" s="171" t="s">
        <v>1119</v>
      </c>
      <c r="G1354" s="171"/>
      <c r="H1354" s="172" t="s">
        <v>130</v>
      </c>
      <c r="I1354" s="172"/>
      <c r="J1354" s="174"/>
      <c r="K1354" s="174">
        <v>550000</v>
      </c>
      <c r="L1354" s="174"/>
      <c r="M1354" s="174"/>
      <c r="N1354" s="176"/>
    </row>
    <row r="1355" spans="1:19" x14ac:dyDescent="0.25">
      <c r="A1355" s="165">
        <v>45579</v>
      </c>
      <c r="B1355" s="166">
        <f t="shared" si="47"/>
        <v>10</v>
      </c>
      <c r="C1355" s="25">
        <f t="shared" si="46"/>
        <v>2024</v>
      </c>
      <c r="D1355" s="169" t="s">
        <v>352</v>
      </c>
      <c r="E1355" s="170" t="s">
        <v>93</v>
      </c>
      <c r="F1355" s="171" t="s">
        <v>1121</v>
      </c>
      <c r="G1355" s="171"/>
      <c r="H1355" s="172" t="s">
        <v>130</v>
      </c>
      <c r="I1355" s="172"/>
      <c r="J1355" s="174">
        <v>389000</v>
      </c>
      <c r="K1355" s="174"/>
      <c r="L1355" s="174"/>
      <c r="M1355" s="174"/>
      <c r="N1355" s="176"/>
    </row>
    <row r="1356" spans="1:19" x14ac:dyDescent="0.25">
      <c r="A1356" s="165">
        <v>45579</v>
      </c>
      <c r="B1356" s="166">
        <f t="shared" si="47"/>
        <v>10</v>
      </c>
      <c r="C1356" s="25">
        <f t="shared" si="46"/>
        <v>2024</v>
      </c>
      <c r="D1356" s="169" t="s">
        <v>92</v>
      </c>
      <c r="E1356" s="170" t="s">
        <v>92</v>
      </c>
      <c r="F1356" s="171" t="s">
        <v>1060</v>
      </c>
      <c r="G1356" s="171"/>
      <c r="H1356" s="172" t="s">
        <v>92</v>
      </c>
      <c r="I1356" s="172"/>
      <c r="J1356" s="174"/>
      <c r="K1356" s="174">
        <v>180000</v>
      </c>
      <c r="L1356" s="174"/>
      <c r="M1356" s="174"/>
      <c r="N1356" s="176"/>
    </row>
    <row r="1357" spans="1:19" x14ac:dyDescent="0.25">
      <c r="A1357" s="68">
        <v>45579</v>
      </c>
      <c r="B1357" s="141">
        <f t="shared" si="47"/>
        <v>10</v>
      </c>
      <c r="C1357" s="25">
        <f t="shared" si="46"/>
        <v>2024</v>
      </c>
      <c r="D1357" s="76" t="s">
        <v>92</v>
      </c>
      <c r="E1357" s="170" t="s">
        <v>92</v>
      </c>
      <c r="F1357" t="s">
        <v>1060</v>
      </c>
      <c r="H1357" s="1" t="s">
        <v>92</v>
      </c>
      <c r="K1357" s="149">
        <v>180000</v>
      </c>
    </row>
    <row r="1358" spans="1:19" x14ac:dyDescent="0.25">
      <c r="A1358" s="165">
        <v>45580</v>
      </c>
      <c r="B1358" s="166">
        <f t="shared" si="47"/>
        <v>10</v>
      </c>
      <c r="C1358" s="25">
        <f t="shared" si="46"/>
        <v>2024</v>
      </c>
      <c r="D1358" s="169" t="s">
        <v>352</v>
      </c>
      <c r="E1358" s="170" t="s">
        <v>93</v>
      </c>
      <c r="F1358" s="171" t="s">
        <v>1120</v>
      </c>
      <c r="G1358" s="171"/>
      <c r="H1358" s="172" t="s">
        <v>545</v>
      </c>
      <c r="I1358" s="172"/>
      <c r="J1358" s="174">
        <v>421000</v>
      </c>
      <c r="K1358" s="174"/>
      <c r="L1358" s="174"/>
      <c r="M1358" s="174"/>
      <c r="N1358" s="176"/>
    </row>
    <row r="1359" spans="1:19" s="161" customFormat="1" x14ac:dyDescent="0.25">
      <c r="A1359" s="165">
        <v>45580</v>
      </c>
      <c r="B1359" s="166">
        <f t="shared" si="47"/>
        <v>10</v>
      </c>
      <c r="C1359" s="25">
        <f t="shared" si="46"/>
        <v>2024</v>
      </c>
      <c r="D1359" s="169" t="s">
        <v>352</v>
      </c>
      <c r="E1359" s="170" t="s">
        <v>93</v>
      </c>
      <c r="F1359" s="171" t="s">
        <v>1048</v>
      </c>
      <c r="G1359" s="171"/>
      <c r="H1359" s="172" t="s">
        <v>545</v>
      </c>
      <c r="I1359" s="172"/>
      <c r="J1359" s="174">
        <v>288000</v>
      </c>
      <c r="K1359" s="174"/>
      <c r="L1359" s="174"/>
      <c r="M1359" s="174"/>
      <c r="N1359" s="176"/>
      <c r="O1359" s="19"/>
      <c r="P1359"/>
      <c r="Q1359"/>
      <c r="R1359"/>
      <c r="S1359"/>
    </row>
    <row r="1360" spans="1:19" s="161" customFormat="1" x14ac:dyDescent="0.25">
      <c r="A1360" s="165">
        <v>45580</v>
      </c>
      <c r="B1360" s="166">
        <f t="shared" si="47"/>
        <v>10</v>
      </c>
      <c r="C1360" s="25">
        <f t="shared" si="46"/>
        <v>2024</v>
      </c>
      <c r="D1360" s="169" t="s">
        <v>92</v>
      </c>
      <c r="E1360" s="170" t="s">
        <v>92</v>
      </c>
      <c r="F1360" s="171" t="s">
        <v>296</v>
      </c>
      <c r="G1360" s="171"/>
      <c r="H1360" s="172" t="s">
        <v>92</v>
      </c>
      <c r="I1360" s="172"/>
      <c r="J1360" s="174"/>
      <c r="K1360" s="174">
        <v>479087</v>
      </c>
      <c r="L1360" s="174"/>
      <c r="M1360" s="174"/>
      <c r="N1360" s="176"/>
      <c r="O1360" s="19"/>
      <c r="P1360"/>
      <c r="Q1360"/>
      <c r="R1360"/>
      <c r="S1360"/>
    </row>
    <row r="1361" spans="1:14" x14ac:dyDescent="0.25">
      <c r="A1361" s="165">
        <v>45580</v>
      </c>
      <c r="B1361" s="166">
        <f t="shared" si="47"/>
        <v>10</v>
      </c>
      <c r="C1361" s="25">
        <f t="shared" si="46"/>
        <v>2024</v>
      </c>
      <c r="D1361" s="169" t="s">
        <v>352</v>
      </c>
      <c r="E1361" s="170" t="s">
        <v>93</v>
      </c>
      <c r="F1361" s="171" t="s">
        <v>1122</v>
      </c>
      <c r="G1361" s="171"/>
      <c r="H1361" s="172" t="s">
        <v>131</v>
      </c>
      <c r="I1361" s="172"/>
      <c r="J1361" s="174">
        <v>70000</v>
      </c>
      <c r="K1361" s="174"/>
      <c r="L1361" s="174"/>
      <c r="M1361" s="174"/>
      <c r="N1361" s="176"/>
    </row>
    <row r="1362" spans="1:14" x14ac:dyDescent="0.25">
      <c r="A1362" s="165">
        <v>45580</v>
      </c>
      <c r="B1362" s="166">
        <f t="shared" si="47"/>
        <v>10</v>
      </c>
      <c r="C1362" s="25">
        <f t="shared" si="46"/>
        <v>2024</v>
      </c>
      <c r="D1362" s="169" t="s">
        <v>352</v>
      </c>
      <c r="E1362" s="170" t="s">
        <v>93</v>
      </c>
      <c r="F1362" s="171" t="s">
        <v>1122</v>
      </c>
      <c r="G1362" s="171"/>
      <c r="H1362" s="172" t="s">
        <v>131</v>
      </c>
      <c r="I1362" s="172"/>
      <c r="J1362" s="174">
        <v>65000</v>
      </c>
      <c r="K1362" s="174"/>
      <c r="L1362" s="174"/>
      <c r="M1362" s="174"/>
      <c r="N1362" s="176"/>
    </row>
    <row r="1363" spans="1:14" x14ac:dyDescent="0.25">
      <c r="A1363" s="165">
        <v>45580</v>
      </c>
      <c r="B1363" s="166">
        <f t="shared" si="47"/>
        <v>10</v>
      </c>
      <c r="C1363" s="25">
        <f t="shared" si="46"/>
        <v>2024</v>
      </c>
      <c r="D1363" s="169" t="s">
        <v>124</v>
      </c>
      <c r="E1363" s="170" t="s">
        <v>93</v>
      </c>
      <c r="F1363" s="171"/>
      <c r="G1363" s="171" t="s">
        <v>553</v>
      </c>
      <c r="H1363" s="172" t="s">
        <v>131</v>
      </c>
      <c r="I1363" s="172"/>
      <c r="J1363" s="174"/>
      <c r="K1363" s="174">
        <v>70000</v>
      </c>
      <c r="L1363" s="174"/>
      <c r="M1363" s="174"/>
      <c r="N1363" s="176"/>
    </row>
    <row r="1364" spans="1:14" x14ac:dyDescent="0.25">
      <c r="A1364" s="165">
        <v>45580</v>
      </c>
      <c r="B1364" s="166">
        <f t="shared" si="47"/>
        <v>10</v>
      </c>
      <c r="C1364" s="25">
        <f t="shared" si="46"/>
        <v>2024</v>
      </c>
      <c r="D1364" s="169" t="s">
        <v>124</v>
      </c>
      <c r="E1364" s="170" t="s">
        <v>93</v>
      </c>
      <c r="F1364" s="171"/>
      <c r="G1364" s="171" t="s">
        <v>553</v>
      </c>
      <c r="H1364" s="172" t="s">
        <v>131</v>
      </c>
      <c r="I1364" s="172"/>
      <c r="J1364" s="174"/>
      <c r="K1364" s="174">
        <v>65000</v>
      </c>
      <c r="L1364" s="174"/>
      <c r="M1364" s="174"/>
      <c r="N1364" s="176"/>
    </row>
    <row r="1365" spans="1:14" x14ac:dyDescent="0.25">
      <c r="A1365" s="165">
        <v>45580</v>
      </c>
      <c r="B1365" s="166">
        <f t="shared" si="47"/>
        <v>10</v>
      </c>
      <c r="C1365" s="25">
        <f t="shared" si="46"/>
        <v>2024</v>
      </c>
      <c r="D1365" s="169" t="s">
        <v>352</v>
      </c>
      <c r="E1365" s="170" t="s">
        <v>93</v>
      </c>
      <c r="F1365" s="171" t="s">
        <v>516</v>
      </c>
      <c r="G1365" s="171"/>
      <c r="H1365" s="172" t="s">
        <v>131</v>
      </c>
      <c r="I1365" s="172"/>
      <c r="J1365" s="174">
        <v>137333.32999999999</v>
      </c>
      <c r="K1365" s="174"/>
      <c r="L1365" s="174"/>
      <c r="M1365" s="174"/>
      <c r="N1365" s="176"/>
    </row>
    <row r="1366" spans="1:14" x14ac:dyDescent="0.25">
      <c r="A1366" s="165">
        <v>45580</v>
      </c>
      <c r="B1366" s="166">
        <f t="shared" si="47"/>
        <v>10</v>
      </c>
      <c r="C1366" s="25">
        <f t="shared" si="46"/>
        <v>2024</v>
      </c>
      <c r="D1366" s="169" t="s">
        <v>352</v>
      </c>
      <c r="E1366" s="170" t="s">
        <v>93</v>
      </c>
      <c r="F1366" s="171" t="s">
        <v>516</v>
      </c>
      <c r="G1366" s="171"/>
      <c r="H1366" s="172" t="s">
        <v>131</v>
      </c>
      <c r="I1366" s="172"/>
      <c r="J1366" s="174">
        <v>120000</v>
      </c>
      <c r="K1366" s="174"/>
      <c r="L1366" s="174"/>
      <c r="M1366" s="174"/>
      <c r="N1366" s="176"/>
    </row>
    <row r="1367" spans="1:14" x14ac:dyDescent="0.25">
      <c r="A1367" s="165">
        <v>45580</v>
      </c>
      <c r="B1367" s="166">
        <f t="shared" si="47"/>
        <v>10</v>
      </c>
      <c r="C1367" s="25">
        <f t="shared" si="46"/>
        <v>2024</v>
      </c>
      <c r="D1367" s="169" t="s">
        <v>352</v>
      </c>
      <c r="E1367" s="170" t="s">
        <v>93</v>
      </c>
      <c r="F1367" s="171" t="s">
        <v>516</v>
      </c>
      <c r="G1367" s="171"/>
      <c r="H1367" s="172" t="s">
        <v>131</v>
      </c>
      <c r="I1367" s="172"/>
      <c r="J1367" s="174">
        <v>80000</v>
      </c>
      <c r="K1367" s="174"/>
      <c r="L1367" s="174"/>
      <c r="M1367" s="174"/>
      <c r="N1367" s="176"/>
    </row>
    <row r="1368" spans="1:14" x14ac:dyDescent="0.25">
      <c r="A1368" s="165">
        <v>45580</v>
      </c>
      <c r="B1368" s="166">
        <f t="shared" si="47"/>
        <v>10</v>
      </c>
      <c r="C1368" s="25">
        <f t="shared" si="46"/>
        <v>2024</v>
      </c>
      <c r="D1368" s="169" t="s">
        <v>352</v>
      </c>
      <c r="E1368" s="170" t="s">
        <v>93</v>
      </c>
      <c r="F1368" s="171" t="s">
        <v>516</v>
      </c>
      <c r="G1368" s="171"/>
      <c r="H1368" s="172" t="s">
        <v>131</v>
      </c>
      <c r="I1368" s="172"/>
      <c r="J1368" s="174">
        <v>233658.5</v>
      </c>
      <c r="K1368" s="174"/>
      <c r="L1368" s="174"/>
      <c r="M1368" s="174"/>
      <c r="N1368" s="176"/>
    </row>
    <row r="1369" spans="1:14" x14ac:dyDescent="0.25">
      <c r="A1369" s="165">
        <v>45580</v>
      </c>
      <c r="B1369" s="166">
        <f t="shared" si="47"/>
        <v>10</v>
      </c>
      <c r="C1369" s="25">
        <f t="shared" si="46"/>
        <v>2024</v>
      </c>
      <c r="D1369" s="169" t="s">
        <v>352</v>
      </c>
      <c r="E1369" s="170" t="s">
        <v>93</v>
      </c>
      <c r="F1369" s="171" t="s">
        <v>516</v>
      </c>
      <c r="G1369" s="171"/>
      <c r="H1369" s="172" t="s">
        <v>131</v>
      </c>
      <c r="I1369" s="172"/>
      <c r="J1369" s="174">
        <v>233658.5</v>
      </c>
      <c r="K1369" s="174"/>
      <c r="L1369" s="174"/>
      <c r="M1369" s="174"/>
      <c r="N1369" s="176"/>
    </row>
    <row r="1370" spans="1:14" x14ac:dyDescent="0.25">
      <c r="A1370" s="165">
        <v>45580</v>
      </c>
      <c r="B1370" s="166">
        <f t="shared" si="47"/>
        <v>10</v>
      </c>
      <c r="C1370" s="25">
        <f t="shared" si="46"/>
        <v>2024</v>
      </c>
      <c r="D1370" s="169" t="s">
        <v>92</v>
      </c>
      <c r="E1370" s="170" t="s">
        <v>92</v>
      </c>
      <c r="F1370" s="171" t="s">
        <v>1114</v>
      </c>
      <c r="G1370" s="171"/>
      <c r="H1370" s="172" t="s">
        <v>92</v>
      </c>
      <c r="I1370" s="172"/>
      <c r="J1370" s="174"/>
      <c r="K1370" s="174">
        <v>196774</v>
      </c>
      <c r="L1370" s="174"/>
      <c r="M1370" s="174"/>
      <c r="N1370" s="176"/>
    </row>
    <row r="1371" spans="1:14" x14ac:dyDescent="0.25">
      <c r="A1371" s="165">
        <v>45581</v>
      </c>
      <c r="B1371" s="166">
        <f t="shared" si="47"/>
        <v>10</v>
      </c>
      <c r="C1371" s="25">
        <f t="shared" si="46"/>
        <v>2024</v>
      </c>
      <c r="D1371" s="169" t="s">
        <v>352</v>
      </c>
      <c r="E1371" s="170" t="s">
        <v>93</v>
      </c>
      <c r="F1371" s="171" t="s">
        <v>637</v>
      </c>
      <c r="G1371" s="171"/>
      <c r="H1371" s="172" t="s">
        <v>130</v>
      </c>
      <c r="I1371" s="172"/>
      <c r="J1371" s="174">
        <v>482000</v>
      </c>
      <c r="K1371" s="174"/>
      <c r="L1371" s="174"/>
      <c r="M1371" s="174"/>
      <c r="N1371" s="176"/>
    </row>
    <row r="1372" spans="1:14" x14ac:dyDescent="0.25">
      <c r="A1372" s="165">
        <v>45581</v>
      </c>
      <c r="B1372" s="166">
        <f t="shared" si="47"/>
        <v>10</v>
      </c>
      <c r="C1372" s="25">
        <f t="shared" si="46"/>
        <v>2024</v>
      </c>
      <c r="D1372" s="169" t="s">
        <v>124</v>
      </c>
      <c r="E1372" s="170" t="s">
        <v>93</v>
      </c>
      <c r="F1372" s="171"/>
      <c r="G1372" s="171" t="s">
        <v>234</v>
      </c>
      <c r="H1372" s="172" t="s">
        <v>131</v>
      </c>
      <c r="I1372" s="172"/>
      <c r="J1372" s="174"/>
      <c r="K1372" s="174">
        <v>137333</v>
      </c>
      <c r="L1372" s="174"/>
      <c r="M1372" s="174"/>
      <c r="N1372" s="176"/>
    </row>
    <row r="1373" spans="1:14" x14ac:dyDescent="0.25">
      <c r="A1373" s="165">
        <v>45581</v>
      </c>
      <c r="B1373" s="166">
        <f t="shared" si="47"/>
        <v>10</v>
      </c>
      <c r="C1373" s="25">
        <f t="shared" si="46"/>
        <v>2024</v>
      </c>
      <c r="D1373" s="169" t="s">
        <v>124</v>
      </c>
      <c r="E1373" s="170" t="s">
        <v>93</v>
      </c>
      <c r="F1373" s="171"/>
      <c r="G1373" s="171" t="s">
        <v>234</v>
      </c>
      <c r="H1373" s="172" t="s">
        <v>131</v>
      </c>
      <c r="I1373" s="172"/>
      <c r="J1373" s="174"/>
      <c r="K1373" s="174">
        <v>120000</v>
      </c>
      <c r="L1373" s="174"/>
      <c r="M1373" s="174"/>
      <c r="N1373" s="176"/>
    </row>
    <row r="1374" spans="1:14" x14ac:dyDescent="0.25">
      <c r="A1374" s="165">
        <v>45581</v>
      </c>
      <c r="B1374" s="166">
        <f t="shared" si="47"/>
        <v>10</v>
      </c>
      <c r="C1374" s="25">
        <f t="shared" si="46"/>
        <v>2024</v>
      </c>
      <c r="D1374" s="169" t="s">
        <v>124</v>
      </c>
      <c r="E1374" s="170" t="s">
        <v>93</v>
      </c>
      <c r="F1374" s="171"/>
      <c r="G1374" s="171" t="s">
        <v>234</v>
      </c>
      <c r="H1374" s="172" t="s">
        <v>131</v>
      </c>
      <c r="I1374" s="172"/>
      <c r="J1374" s="174"/>
      <c r="K1374" s="174">
        <v>80000</v>
      </c>
      <c r="L1374" s="174"/>
      <c r="M1374" s="174"/>
      <c r="N1374" s="176"/>
    </row>
    <row r="1375" spans="1:14" x14ac:dyDescent="0.25">
      <c r="A1375" s="165">
        <v>45581</v>
      </c>
      <c r="B1375" s="166">
        <f t="shared" si="47"/>
        <v>10</v>
      </c>
      <c r="C1375" s="25">
        <f t="shared" si="46"/>
        <v>2024</v>
      </c>
      <c r="D1375" s="169" t="s">
        <v>124</v>
      </c>
      <c r="E1375" s="170" t="s">
        <v>93</v>
      </c>
      <c r="F1375" s="171"/>
      <c r="G1375" s="171" t="s">
        <v>234</v>
      </c>
      <c r="H1375" s="172" t="s">
        <v>131</v>
      </c>
      <c r="I1375" s="172"/>
      <c r="J1375" s="174"/>
      <c r="K1375" s="174">
        <v>233658.5</v>
      </c>
      <c r="L1375" s="174"/>
      <c r="M1375" s="174"/>
      <c r="N1375" s="176"/>
    </row>
    <row r="1376" spans="1:14" x14ac:dyDescent="0.25">
      <c r="A1376" s="165">
        <v>45581</v>
      </c>
      <c r="B1376" s="166">
        <f t="shared" si="47"/>
        <v>10</v>
      </c>
      <c r="C1376" s="25">
        <f t="shared" si="46"/>
        <v>2024</v>
      </c>
      <c r="D1376" s="169" t="s">
        <v>124</v>
      </c>
      <c r="E1376" s="170" t="s">
        <v>93</v>
      </c>
      <c r="F1376" s="171"/>
      <c r="G1376" s="171" t="s">
        <v>234</v>
      </c>
      <c r="H1376" s="172" t="s">
        <v>131</v>
      </c>
      <c r="I1376" s="172"/>
      <c r="J1376" s="174"/>
      <c r="K1376" s="174">
        <v>233658.5</v>
      </c>
      <c r="L1376" s="174"/>
      <c r="M1376" s="174"/>
      <c r="N1376" s="176"/>
    </row>
    <row r="1377" spans="1:14" x14ac:dyDescent="0.25">
      <c r="A1377" s="165">
        <v>45581</v>
      </c>
      <c r="B1377" s="166">
        <f t="shared" si="47"/>
        <v>10</v>
      </c>
      <c r="C1377" s="25">
        <f t="shared" si="46"/>
        <v>2024</v>
      </c>
      <c r="D1377" s="169" t="s">
        <v>352</v>
      </c>
      <c r="E1377" s="170" t="s">
        <v>93</v>
      </c>
      <c r="F1377" s="171" t="s">
        <v>1123</v>
      </c>
      <c r="G1377" s="171"/>
      <c r="H1377" s="172" t="s">
        <v>130</v>
      </c>
      <c r="I1377" s="172"/>
      <c r="J1377" s="174">
        <v>490000</v>
      </c>
      <c r="K1377" s="174"/>
      <c r="L1377" s="174"/>
      <c r="M1377" s="174"/>
      <c r="N1377" s="176"/>
    </row>
    <row r="1378" spans="1:14" x14ac:dyDescent="0.25">
      <c r="A1378" s="165">
        <v>45581</v>
      </c>
      <c r="B1378" s="166">
        <f t="shared" si="47"/>
        <v>10</v>
      </c>
      <c r="C1378" s="25">
        <f t="shared" si="46"/>
        <v>2024</v>
      </c>
      <c r="D1378" s="169" t="s">
        <v>352</v>
      </c>
      <c r="E1378" s="170" t="s">
        <v>93</v>
      </c>
      <c r="F1378" s="171" t="s">
        <v>1124</v>
      </c>
      <c r="G1378" s="171"/>
      <c r="H1378" s="172" t="s">
        <v>130</v>
      </c>
      <c r="I1378" s="172"/>
      <c r="J1378" s="174">
        <v>39000</v>
      </c>
      <c r="K1378" s="174"/>
      <c r="L1378" s="174"/>
      <c r="M1378" s="174"/>
      <c r="N1378" s="176"/>
    </row>
    <row r="1379" spans="1:14" x14ac:dyDescent="0.25">
      <c r="A1379" s="165">
        <v>45581</v>
      </c>
      <c r="B1379" s="166">
        <f t="shared" si="47"/>
        <v>10</v>
      </c>
      <c r="C1379" s="25">
        <f t="shared" si="46"/>
        <v>2024</v>
      </c>
      <c r="D1379" s="169" t="s">
        <v>92</v>
      </c>
      <c r="E1379" s="170" t="s">
        <v>92</v>
      </c>
      <c r="F1379" s="171"/>
      <c r="G1379" s="171"/>
      <c r="H1379" s="172" t="s">
        <v>92</v>
      </c>
      <c r="I1379" s="172"/>
      <c r="J1379" s="174"/>
      <c r="K1379" s="174">
        <v>62000</v>
      </c>
      <c r="L1379" s="174"/>
      <c r="M1379" s="174"/>
      <c r="N1379" s="176"/>
    </row>
    <row r="1380" spans="1:14" x14ac:dyDescent="0.25">
      <c r="A1380" s="165">
        <v>45582</v>
      </c>
      <c r="B1380" s="166">
        <f t="shared" si="47"/>
        <v>10</v>
      </c>
      <c r="C1380" s="25">
        <f t="shared" si="46"/>
        <v>2024</v>
      </c>
      <c r="D1380" s="169" t="s">
        <v>352</v>
      </c>
      <c r="E1380" s="170" t="s">
        <v>93</v>
      </c>
      <c r="F1380" s="171" t="s">
        <v>1111</v>
      </c>
      <c r="G1380" s="171"/>
      <c r="H1380" s="172" t="s">
        <v>130</v>
      </c>
      <c r="I1380" s="172"/>
      <c r="J1380" s="174">
        <v>68000</v>
      </c>
      <c r="K1380" s="174"/>
      <c r="L1380" s="174"/>
      <c r="M1380" s="174"/>
      <c r="N1380" s="176"/>
    </row>
    <row r="1381" spans="1:14" x14ac:dyDescent="0.25">
      <c r="A1381" s="165">
        <v>45584</v>
      </c>
      <c r="B1381" s="166">
        <f t="shared" si="47"/>
        <v>10</v>
      </c>
      <c r="C1381" s="25">
        <f t="shared" si="46"/>
        <v>2024</v>
      </c>
      <c r="D1381" s="169" t="s">
        <v>626</v>
      </c>
      <c r="E1381" s="170" t="s">
        <v>93</v>
      </c>
      <c r="F1381" s="171"/>
      <c r="G1381" s="171"/>
      <c r="H1381" s="172" t="s">
        <v>130</v>
      </c>
      <c r="I1381" s="172"/>
      <c r="J1381" s="174"/>
      <c r="K1381" s="174">
        <v>150000</v>
      </c>
      <c r="L1381" s="174"/>
      <c r="M1381" s="174"/>
      <c r="N1381" s="176"/>
    </row>
    <row r="1382" spans="1:14" x14ac:dyDescent="0.25">
      <c r="A1382" s="165">
        <v>45586</v>
      </c>
      <c r="B1382" s="166">
        <f t="shared" si="47"/>
        <v>10</v>
      </c>
      <c r="C1382" s="25">
        <f t="shared" si="46"/>
        <v>2024</v>
      </c>
      <c r="D1382" s="169" t="s">
        <v>352</v>
      </c>
      <c r="E1382" s="170" t="s">
        <v>93</v>
      </c>
      <c r="F1382" s="171" t="s">
        <v>812</v>
      </c>
      <c r="G1382" s="171"/>
      <c r="H1382" s="172" t="s">
        <v>131</v>
      </c>
      <c r="I1382" s="172"/>
      <c r="J1382" s="174">
        <v>403800</v>
      </c>
      <c r="K1382" s="174"/>
      <c r="L1382" s="174"/>
      <c r="M1382" s="174"/>
      <c r="N1382" s="176"/>
    </row>
    <row r="1383" spans="1:14" x14ac:dyDescent="0.25">
      <c r="A1383" s="68">
        <v>45586</v>
      </c>
      <c r="B1383" s="141">
        <f t="shared" si="47"/>
        <v>10</v>
      </c>
      <c r="C1383" s="25">
        <f t="shared" si="46"/>
        <v>2024</v>
      </c>
      <c r="D1383" s="76" t="s">
        <v>92</v>
      </c>
      <c r="E1383" s="170" t="s">
        <v>92</v>
      </c>
      <c r="H1383" s="1" t="s">
        <v>92</v>
      </c>
      <c r="K1383" s="149">
        <v>168000</v>
      </c>
    </row>
    <row r="1384" spans="1:14" x14ac:dyDescent="0.25">
      <c r="A1384" s="68">
        <v>45586</v>
      </c>
      <c r="B1384" s="141">
        <f t="shared" si="47"/>
        <v>10</v>
      </c>
      <c r="C1384" s="25">
        <f t="shared" si="46"/>
        <v>2024</v>
      </c>
      <c r="D1384" s="76" t="s">
        <v>149</v>
      </c>
      <c r="E1384" s="170" t="s">
        <v>92</v>
      </c>
      <c r="F1384" t="s">
        <v>593</v>
      </c>
      <c r="H1384" s="1" t="s">
        <v>92</v>
      </c>
      <c r="K1384" s="149">
        <v>218000</v>
      </c>
    </row>
    <row r="1385" spans="1:14" x14ac:dyDescent="0.25">
      <c r="A1385" s="68">
        <v>45586</v>
      </c>
      <c r="B1385" s="141">
        <f t="shared" si="47"/>
        <v>10</v>
      </c>
      <c r="C1385" s="25">
        <f t="shared" si="46"/>
        <v>2024</v>
      </c>
      <c r="D1385" s="76" t="s">
        <v>92</v>
      </c>
      <c r="E1385" s="170" t="s">
        <v>92</v>
      </c>
      <c r="H1385" s="1" t="s">
        <v>92</v>
      </c>
      <c r="K1385" s="149">
        <v>20000</v>
      </c>
    </row>
    <row r="1386" spans="1:14" x14ac:dyDescent="0.25">
      <c r="A1386" s="165">
        <v>45587</v>
      </c>
      <c r="B1386" s="166">
        <f t="shared" si="47"/>
        <v>10</v>
      </c>
      <c r="C1386" s="25">
        <f t="shared" si="46"/>
        <v>2024</v>
      </c>
      <c r="D1386" s="169" t="s">
        <v>352</v>
      </c>
      <c r="E1386" s="170" t="s">
        <v>93</v>
      </c>
      <c r="F1386" s="171" t="s">
        <v>1128</v>
      </c>
      <c r="G1386" s="171"/>
      <c r="H1386" s="172" t="s">
        <v>130</v>
      </c>
      <c r="I1386" s="172"/>
      <c r="J1386" s="174">
        <v>100000</v>
      </c>
      <c r="K1386" s="174"/>
      <c r="L1386" s="174"/>
      <c r="M1386" s="174"/>
      <c r="N1386" s="176"/>
    </row>
    <row r="1387" spans="1:14" x14ac:dyDescent="0.25">
      <c r="A1387" s="165">
        <v>45587</v>
      </c>
      <c r="B1387" s="166">
        <f t="shared" si="47"/>
        <v>10</v>
      </c>
      <c r="C1387" s="25">
        <f t="shared" si="46"/>
        <v>2024</v>
      </c>
      <c r="D1387" s="169" t="s">
        <v>352</v>
      </c>
      <c r="E1387" s="170" t="s">
        <v>93</v>
      </c>
      <c r="F1387" s="171" t="s">
        <v>1129</v>
      </c>
      <c r="G1387" s="171"/>
      <c r="H1387" s="172" t="s">
        <v>130</v>
      </c>
      <c r="I1387" s="172"/>
      <c r="J1387" s="174">
        <v>200000</v>
      </c>
      <c r="K1387" s="174"/>
      <c r="L1387" s="174"/>
      <c r="M1387" s="174"/>
      <c r="N1387" s="176"/>
    </row>
    <row r="1388" spans="1:14" x14ac:dyDescent="0.25">
      <c r="A1388" s="165">
        <v>45589</v>
      </c>
      <c r="B1388" s="166">
        <f t="shared" si="47"/>
        <v>10</v>
      </c>
      <c r="C1388" s="25">
        <f t="shared" si="46"/>
        <v>2024</v>
      </c>
      <c r="D1388" s="169" t="s">
        <v>352</v>
      </c>
      <c r="E1388" s="170" t="s">
        <v>93</v>
      </c>
      <c r="F1388" s="171" t="s">
        <v>1130</v>
      </c>
      <c r="G1388" s="171"/>
      <c r="H1388" s="172" t="s">
        <v>130</v>
      </c>
      <c r="I1388" s="172"/>
      <c r="J1388" s="174">
        <v>574200</v>
      </c>
      <c r="K1388" s="174"/>
      <c r="L1388" s="174"/>
      <c r="M1388" s="174"/>
      <c r="N1388" s="176"/>
    </row>
    <row r="1389" spans="1:14" x14ac:dyDescent="0.25">
      <c r="A1389" s="165">
        <v>45589</v>
      </c>
      <c r="B1389" s="166">
        <f t="shared" si="47"/>
        <v>10</v>
      </c>
      <c r="C1389" s="25">
        <f t="shared" si="46"/>
        <v>2024</v>
      </c>
      <c r="D1389" s="169" t="s">
        <v>352</v>
      </c>
      <c r="E1389" s="170" t="s">
        <v>93</v>
      </c>
      <c r="F1389" s="171" t="s">
        <v>1128</v>
      </c>
      <c r="G1389" s="171"/>
      <c r="H1389" s="172" t="s">
        <v>130</v>
      </c>
      <c r="I1389" s="172"/>
      <c r="J1389" s="174">
        <v>15000</v>
      </c>
      <c r="K1389" s="174"/>
      <c r="L1389" s="174"/>
      <c r="M1389" s="174"/>
      <c r="N1389" s="176"/>
    </row>
    <row r="1390" spans="1:14" x14ac:dyDescent="0.25">
      <c r="A1390" s="165">
        <v>45590</v>
      </c>
      <c r="B1390" s="166">
        <f t="shared" si="47"/>
        <v>10</v>
      </c>
      <c r="C1390" s="25">
        <f t="shared" si="46"/>
        <v>2024</v>
      </c>
      <c r="D1390" s="169" t="s">
        <v>352</v>
      </c>
      <c r="E1390" s="170" t="s">
        <v>93</v>
      </c>
      <c r="F1390" s="171" t="s">
        <v>1131</v>
      </c>
      <c r="G1390" s="171"/>
      <c r="H1390" s="172" t="s">
        <v>545</v>
      </c>
      <c r="I1390" s="172"/>
      <c r="J1390" s="174">
        <v>1045750</v>
      </c>
      <c r="K1390" s="174"/>
      <c r="L1390" s="174"/>
      <c r="M1390" s="174"/>
      <c r="N1390" s="176"/>
    </row>
    <row r="1391" spans="1:14" x14ac:dyDescent="0.25">
      <c r="A1391" s="68">
        <v>45590</v>
      </c>
      <c r="B1391" s="141">
        <f t="shared" si="47"/>
        <v>10</v>
      </c>
      <c r="C1391" s="25">
        <f t="shared" si="46"/>
        <v>2024</v>
      </c>
      <c r="D1391" s="76" t="s">
        <v>92</v>
      </c>
      <c r="E1391" s="170" t="s">
        <v>92</v>
      </c>
      <c r="H1391" s="1" t="s">
        <v>92</v>
      </c>
      <c r="K1391" s="149">
        <v>28000</v>
      </c>
    </row>
    <row r="1392" spans="1:14" x14ac:dyDescent="0.25">
      <c r="A1392" s="165">
        <v>45591</v>
      </c>
      <c r="B1392" s="166">
        <f t="shared" si="47"/>
        <v>10</v>
      </c>
      <c r="C1392" s="25">
        <f t="shared" si="46"/>
        <v>2024</v>
      </c>
      <c r="D1392" s="169" t="s">
        <v>124</v>
      </c>
      <c r="E1392" s="170" t="s">
        <v>93</v>
      </c>
      <c r="F1392" s="171"/>
      <c r="G1392" s="171" t="s">
        <v>553</v>
      </c>
      <c r="H1392" s="172" t="s">
        <v>131</v>
      </c>
      <c r="I1392" s="172"/>
      <c r="J1392" s="174"/>
      <c r="K1392" s="174">
        <v>403800</v>
      </c>
      <c r="L1392" s="174"/>
      <c r="M1392" s="174"/>
      <c r="N1392" s="176"/>
    </row>
    <row r="1393" spans="1:14" x14ac:dyDescent="0.25">
      <c r="A1393" s="165">
        <v>45593</v>
      </c>
      <c r="B1393" s="166">
        <f t="shared" si="47"/>
        <v>10</v>
      </c>
      <c r="C1393" s="25">
        <f t="shared" si="46"/>
        <v>2024</v>
      </c>
      <c r="D1393" s="169" t="s">
        <v>352</v>
      </c>
      <c r="E1393" s="170" t="s">
        <v>93</v>
      </c>
      <c r="F1393" s="171" t="s">
        <v>773</v>
      </c>
      <c r="G1393" s="171"/>
      <c r="H1393" s="172" t="s">
        <v>130</v>
      </c>
      <c r="I1393" s="172"/>
      <c r="J1393" s="174">
        <v>182000</v>
      </c>
      <c r="K1393" s="174"/>
      <c r="L1393" s="174"/>
      <c r="M1393" s="174"/>
      <c r="N1393" s="176"/>
    </row>
    <row r="1394" spans="1:14" x14ac:dyDescent="0.25">
      <c r="A1394" s="165">
        <v>45593</v>
      </c>
      <c r="B1394" s="166">
        <f t="shared" si="47"/>
        <v>10</v>
      </c>
      <c r="C1394" s="25">
        <f t="shared" si="46"/>
        <v>2024</v>
      </c>
      <c r="D1394" s="169" t="s">
        <v>124</v>
      </c>
      <c r="E1394" s="170" t="s">
        <v>93</v>
      </c>
      <c r="F1394" s="171" t="s">
        <v>1134</v>
      </c>
      <c r="G1394" s="171"/>
      <c r="H1394" s="172" t="s">
        <v>130</v>
      </c>
      <c r="I1394" s="172"/>
      <c r="J1394" s="174"/>
      <c r="K1394" s="174">
        <v>795154.84</v>
      </c>
      <c r="L1394" s="174"/>
      <c r="M1394" s="174"/>
      <c r="N1394" s="176"/>
    </row>
    <row r="1395" spans="1:14" x14ac:dyDescent="0.25">
      <c r="A1395" s="68">
        <v>45593</v>
      </c>
      <c r="B1395" s="141">
        <f t="shared" si="47"/>
        <v>10</v>
      </c>
      <c r="C1395" s="25">
        <f t="shared" si="46"/>
        <v>2024</v>
      </c>
      <c r="D1395" s="76" t="s">
        <v>124</v>
      </c>
      <c r="E1395" s="170" t="s">
        <v>93</v>
      </c>
      <c r="G1395" t="s">
        <v>321</v>
      </c>
      <c r="H1395" s="1" t="s">
        <v>130</v>
      </c>
      <c r="K1395" s="149">
        <v>232000</v>
      </c>
    </row>
    <row r="1396" spans="1:14" x14ac:dyDescent="0.25">
      <c r="A1396" s="165">
        <v>45594</v>
      </c>
      <c r="B1396" s="166">
        <f t="shared" si="47"/>
        <v>10</v>
      </c>
      <c r="C1396" s="25">
        <f t="shared" si="46"/>
        <v>2024</v>
      </c>
      <c r="D1396" s="169" t="s">
        <v>352</v>
      </c>
      <c r="E1396" s="170" t="s">
        <v>93</v>
      </c>
      <c r="F1396" s="171" t="s">
        <v>1136</v>
      </c>
      <c r="G1396" s="171"/>
      <c r="H1396" s="172" t="s">
        <v>131</v>
      </c>
      <c r="I1396" s="172"/>
      <c r="J1396" s="174">
        <v>90000</v>
      </c>
      <c r="K1396" s="174"/>
      <c r="L1396" s="174"/>
      <c r="M1396" s="174"/>
      <c r="N1396" s="176"/>
    </row>
    <row r="1397" spans="1:14" x14ac:dyDescent="0.25">
      <c r="A1397" s="165">
        <v>45594</v>
      </c>
      <c r="B1397" s="166">
        <f t="shared" si="47"/>
        <v>10</v>
      </c>
      <c r="C1397" s="25">
        <f t="shared" si="46"/>
        <v>2024</v>
      </c>
      <c r="D1397" s="169" t="s">
        <v>352</v>
      </c>
      <c r="E1397" s="170" t="s">
        <v>93</v>
      </c>
      <c r="F1397" s="171" t="s">
        <v>1136</v>
      </c>
      <c r="G1397" s="171"/>
      <c r="H1397" s="172" t="s">
        <v>131</v>
      </c>
      <c r="I1397" s="172"/>
      <c r="J1397" s="174">
        <v>90000</v>
      </c>
      <c r="K1397" s="174"/>
      <c r="L1397" s="174"/>
      <c r="M1397" s="174"/>
      <c r="N1397" s="176"/>
    </row>
    <row r="1398" spans="1:14" x14ac:dyDescent="0.25">
      <c r="A1398" s="165">
        <v>45594</v>
      </c>
      <c r="B1398" s="166">
        <f t="shared" si="47"/>
        <v>10</v>
      </c>
      <c r="C1398" s="25">
        <f t="shared" si="46"/>
        <v>2024</v>
      </c>
      <c r="D1398" s="169" t="s">
        <v>352</v>
      </c>
      <c r="E1398" s="170" t="s">
        <v>93</v>
      </c>
      <c r="F1398" s="171" t="s">
        <v>1136</v>
      </c>
      <c r="G1398" s="171"/>
      <c r="H1398" s="172" t="s">
        <v>131</v>
      </c>
      <c r="I1398" s="172"/>
      <c r="J1398" s="174">
        <v>100000</v>
      </c>
      <c r="K1398" s="174"/>
      <c r="L1398" s="174"/>
      <c r="M1398" s="174"/>
      <c r="N1398" s="176"/>
    </row>
    <row r="1399" spans="1:14" x14ac:dyDescent="0.25">
      <c r="A1399" s="165">
        <v>45594</v>
      </c>
      <c r="B1399" s="166">
        <f t="shared" si="47"/>
        <v>10</v>
      </c>
      <c r="C1399" s="25">
        <f t="shared" si="46"/>
        <v>2024</v>
      </c>
      <c r="D1399" s="169" t="s">
        <v>352</v>
      </c>
      <c r="E1399" s="170" t="s">
        <v>93</v>
      </c>
      <c r="F1399" s="171" t="s">
        <v>1136</v>
      </c>
      <c r="G1399" s="171"/>
      <c r="H1399" s="172" t="s">
        <v>131</v>
      </c>
      <c r="I1399" s="172"/>
      <c r="J1399" s="174">
        <v>120000</v>
      </c>
      <c r="K1399" s="174"/>
      <c r="L1399" s="174"/>
      <c r="M1399" s="174"/>
      <c r="N1399" s="176"/>
    </row>
    <row r="1400" spans="1:14" x14ac:dyDescent="0.25">
      <c r="A1400" s="165">
        <v>45594</v>
      </c>
      <c r="B1400" s="166">
        <f t="shared" si="47"/>
        <v>10</v>
      </c>
      <c r="C1400" s="25">
        <f t="shared" si="46"/>
        <v>2024</v>
      </c>
      <c r="D1400" s="169" t="s">
        <v>352</v>
      </c>
      <c r="E1400" s="170" t="s">
        <v>93</v>
      </c>
      <c r="F1400" s="171" t="s">
        <v>1066</v>
      </c>
      <c r="G1400" s="171"/>
      <c r="H1400" s="172" t="s">
        <v>130</v>
      </c>
      <c r="I1400" s="172"/>
      <c r="J1400" s="174">
        <v>110000</v>
      </c>
      <c r="K1400" s="174"/>
      <c r="L1400" s="174"/>
      <c r="M1400" s="174"/>
      <c r="N1400" s="176"/>
    </row>
    <row r="1401" spans="1:14" x14ac:dyDescent="0.25">
      <c r="A1401" s="165">
        <v>45595</v>
      </c>
      <c r="B1401" s="166">
        <f t="shared" si="47"/>
        <v>10</v>
      </c>
      <c r="C1401" s="25">
        <f t="shared" si="46"/>
        <v>2024</v>
      </c>
      <c r="D1401" s="169" t="s">
        <v>124</v>
      </c>
      <c r="E1401" s="170" t="s">
        <v>93</v>
      </c>
      <c r="F1401" s="171" t="s">
        <v>1126</v>
      </c>
      <c r="G1401" s="171"/>
      <c r="H1401" s="172" t="s">
        <v>130</v>
      </c>
      <c r="I1401" s="172"/>
      <c r="J1401" s="174"/>
      <c r="K1401" s="174">
        <v>64800</v>
      </c>
      <c r="L1401" s="174"/>
      <c r="M1401" s="174"/>
      <c r="N1401" s="176"/>
    </row>
    <row r="1402" spans="1:14" x14ac:dyDescent="0.25">
      <c r="A1402" s="165">
        <v>45595</v>
      </c>
      <c r="B1402" s="166">
        <f t="shared" si="47"/>
        <v>10</v>
      </c>
      <c r="C1402" s="25">
        <f t="shared" si="46"/>
        <v>2024</v>
      </c>
      <c r="D1402" s="169" t="s">
        <v>92</v>
      </c>
      <c r="E1402" s="170" t="s">
        <v>92</v>
      </c>
      <c r="F1402" s="171" t="s">
        <v>1060</v>
      </c>
      <c r="G1402" s="171"/>
      <c r="H1402" s="172" t="s">
        <v>92</v>
      </c>
      <c r="I1402" s="172"/>
      <c r="J1402" s="174"/>
      <c r="K1402" s="174">
        <v>250000</v>
      </c>
      <c r="L1402" s="174"/>
      <c r="M1402" s="174"/>
      <c r="N1402" s="176"/>
    </row>
    <row r="1403" spans="1:14" x14ac:dyDescent="0.25">
      <c r="A1403" s="165">
        <v>45596</v>
      </c>
      <c r="B1403" s="166">
        <f t="shared" si="47"/>
        <v>10</v>
      </c>
      <c r="C1403" s="25">
        <f t="shared" si="46"/>
        <v>2024</v>
      </c>
      <c r="D1403" s="169" t="s">
        <v>352</v>
      </c>
      <c r="E1403" s="170" t="s">
        <v>93</v>
      </c>
      <c r="F1403" s="171" t="s">
        <v>1059</v>
      </c>
      <c r="G1403" s="171"/>
      <c r="H1403" s="172" t="s">
        <v>130</v>
      </c>
      <c r="I1403" s="172"/>
      <c r="J1403" s="174">
        <v>69300</v>
      </c>
      <c r="K1403" s="174"/>
      <c r="L1403" s="174"/>
      <c r="M1403" s="174"/>
      <c r="N1403" s="176"/>
    </row>
    <row r="1404" spans="1:14" x14ac:dyDescent="0.25">
      <c r="A1404" s="165">
        <v>45596</v>
      </c>
      <c r="B1404" s="166">
        <f t="shared" si="47"/>
        <v>10</v>
      </c>
      <c r="C1404" s="25">
        <f t="shared" si="46"/>
        <v>2024</v>
      </c>
      <c r="D1404" s="169" t="s">
        <v>124</v>
      </c>
      <c r="E1404" s="170" t="s">
        <v>93</v>
      </c>
      <c r="F1404" s="171"/>
      <c r="G1404" s="171" t="s">
        <v>333</v>
      </c>
      <c r="H1404" s="172" t="s">
        <v>131</v>
      </c>
      <c r="I1404" s="172"/>
      <c r="J1404" s="174"/>
      <c r="K1404" s="174">
        <v>90000</v>
      </c>
      <c r="L1404" s="174"/>
      <c r="M1404" s="174"/>
      <c r="N1404" s="176"/>
    </row>
    <row r="1405" spans="1:14" x14ac:dyDescent="0.25">
      <c r="A1405" s="165">
        <v>45596</v>
      </c>
      <c r="B1405" s="166">
        <f t="shared" si="47"/>
        <v>10</v>
      </c>
      <c r="C1405" s="25">
        <f t="shared" si="46"/>
        <v>2024</v>
      </c>
      <c r="D1405" s="169" t="s">
        <v>124</v>
      </c>
      <c r="E1405" s="170" t="s">
        <v>93</v>
      </c>
      <c r="F1405" s="171"/>
      <c r="G1405" s="171" t="s">
        <v>333</v>
      </c>
      <c r="H1405" s="172" t="s">
        <v>131</v>
      </c>
      <c r="I1405" s="172"/>
      <c r="J1405" s="174"/>
      <c r="K1405" s="174">
        <v>90000</v>
      </c>
      <c r="L1405" s="174"/>
      <c r="M1405" s="174"/>
      <c r="N1405" s="176"/>
    </row>
    <row r="1406" spans="1:14" x14ac:dyDescent="0.25">
      <c r="A1406" s="165">
        <v>45596</v>
      </c>
      <c r="B1406" s="166">
        <f t="shared" si="47"/>
        <v>10</v>
      </c>
      <c r="C1406" s="25">
        <f t="shared" si="46"/>
        <v>2024</v>
      </c>
      <c r="D1406" s="169" t="s">
        <v>124</v>
      </c>
      <c r="E1406" s="170" t="s">
        <v>93</v>
      </c>
      <c r="F1406" s="171"/>
      <c r="G1406" s="171" t="s">
        <v>333</v>
      </c>
      <c r="H1406" s="172" t="s">
        <v>131</v>
      </c>
      <c r="I1406" s="172"/>
      <c r="J1406" s="174"/>
      <c r="K1406" s="174">
        <v>100000</v>
      </c>
      <c r="L1406" s="174"/>
      <c r="M1406" s="174"/>
      <c r="N1406" s="176"/>
    </row>
    <row r="1407" spans="1:14" x14ac:dyDescent="0.25">
      <c r="A1407" s="165">
        <v>45596</v>
      </c>
      <c r="B1407" s="166">
        <f t="shared" si="47"/>
        <v>10</v>
      </c>
      <c r="C1407" s="25">
        <f t="shared" ref="C1407:C1470" si="48">YEAR((A1407))</f>
        <v>2024</v>
      </c>
      <c r="D1407" s="169" t="s">
        <v>124</v>
      </c>
      <c r="E1407" s="170" t="s">
        <v>93</v>
      </c>
      <c r="F1407" s="171"/>
      <c r="G1407" s="171" t="s">
        <v>333</v>
      </c>
      <c r="H1407" s="172" t="s">
        <v>131</v>
      </c>
      <c r="I1407" s="172"/>
      <c r="J1407" s="174"/>
      <c r="K1407" s="174">
        <v>120000</v>
      </c>
      <c r="L1407" s="174"/>
      <c r="M1407" s="174"/>
      <c r="N1407" s="176"/>
    </row>
    <row r="1408" spans="1:14" x14ac:dyDescent="0.25">
      <c r="A1408" s="165">
        <v>45596</v>
      </c>
      <c r="B1408" s="166">
        <f t="shared" si="47"/>
        <v>10</v>
      </c>
      <c r="C1408" s="25">
        <f t="shared" si="48"/>
        <v>2024</v>
      </c>
      <c r="D1408" s="169" t="s">
        <v>352</v>
      </c>
      <c r="E1408" s="170" t="s">
        <v>93</v>
      </c>
      <c r="F1408" s="171" t="s">
        <v>1139</v>
      </c>
      <c r="G1408" s="171"/>
      <c r="H1408" s="172" t="s">
        <v>131</v>
      </c>
      <c r="I1408" s="172"/>
      <c r="J1408" s="174">
        <v>185000</v>
      </c>
      <c r="K1408" s="174"/>
      <c r="L1408" s="174"/>
      <c r="M1408" s="174"/>
      <c r="N1408" s="176"/>
    </row>
    <row r="1409" spans="1:14" x14ac:dyDescent="0.25">
      <c r="A1409" s="165">
        <v>45597</v>
      </c>
      <c r="B1409" s="166">
        <f t="shared" si="47"/>
        <v>11</v>
      </c>
      <c r="C1409" s="25">
        <f t="shared" si="48"/>
        <v>2024</v>
      </c>
      <c r="D1409" s="169" t="s">
        <v>352</v>
      </c>
      <c r="E1409" s="170" t="s">
        <v>93</v>
      </c>
      <c r="F1409" s="171" t="s">
        <v>1140</v>
      </c>
      <c r="G1409" s="171"/>
      <c r="H1409" s="172" t="s">
        <v>130</v>
      </c>
      <c r="I1409" s="172"/>
      <c r="J1409" s="174">
        <v>74000</v>
      </c>
      <c r="K1409" s="174"/>
      <c r="L1409" s="174"/>
      <c r="M1409" s="174"/>
      <c r="N1409" s="176"/>
    </row>
    <row r="1410" spans="1:14" x14ac:dyDescent="0.25">
      <c r="A1410" s="165">
        <v>45597</v>
      </c>
      <c r="B1410" s="166">
        <f t="shared" si="47"/>
        <v>11</v>
      </c>
      <c r="C1410" s="25">
        <f t="shared" si="48"/>
        <v>2024</v>
      </c>
      <c r="D1410" s="169" t="s">
        <v>352</v>
      </c>
      <c r="E1410" s="170" t="s">
        <v>93</v>
      </c>
      <c r="F1410" s="171" t="s">
        <v>828</v>
      </c>
      <c r="G1410" s="171"/>
      <c r="H1410" s="172" t="s">
        <v>130</v>
      </c>
      <c r="I1410" s="172"/>
      <c r="J1410" s="174">
        <v>197000</v>
      </c>
      <c r="K1410" s="174"/>
      <c r="L1410" s="174"/>
      <c r="M1410" s="174"/>
      <c r="N1410" s="176"/>
    </row>
    <row r="1411" spans="1:14" x14ac:dyDescent="0.25">
      <c r="A1411" s="165">
        <v>45598</v>
      </c>
      <c r="B1411" s="166">
        <f t="shared" ref="B1411:B1474" si="49">MONTH(A1411)</f>
        <v>11</v>
      </c>
      <c r="C1411" s="25">
        <f t="shared" si="48"/>
        <v>2024</v>
      </c>
      <c r="D1411" s="169" t="s">
        <v>626</v>
      </c>
      <c r="E1411" s="170" t="s">
        <v>93</v>
      </c>
      <c r="F1411" s="171"/>
      <c r="G1411" s="171"/>
      <c r="H1411" s="172" t="s">
        <v>130</v>
      </c>
      <c r="I1411" s="172"/>
      <c r="J1411" s="174"/>
      <c r="K1411" s="174">
        <v>160000</v>
      </c>
      <c r="L1411" s="174"/>
      <c r="M1411" s="174"/>
      <c r="N1411" s="176"/>
    </row>
    <row r="1412" spans="1:14" x14ac:dyDescent="0.25">
      <c r="A1412" s="165">
        <v>45600</v>
      </c>
      <c r="B1412" s="166">
        <f t="shared" si="49"/>
        <v>11</v>
      </c>
      <c r="C1412" s="25">
        <f t="shared" si="48"/>
        <v>2024</v>
      </c>
      <c r="D1412" s="169" t="s">
        <v>352</v>
      </c>
      <c r="E1412" s="170" t="s">
        <v>93</v>
      </c>
      <c r="F1412" s="171" t="s">
        <v>1142</v>
      </c>
      <c r="G1412" s="171"/>
      <c r="H1412" s="172" t="s">
        <v>131</v>
      </c>
      <c r="I1412" s="172"/>
      <c r="J1412" s="174">
        <v>195300</v>
      </c>
      <c r="K1412" s="174"/>
      <c r="L1412" s="174"/>
      <c r="M1412" s="174"/>
      <c r="N1412" s="176"/>
    </row>
    <row r="1413" spans="1:14" x14ac:dyDescent="0.25">
      <c r="A1413" s="165">
        <v>45600</v>
      </c>
      <c r="B1413" s="166">
        <f t="shared" si="49"/>
        <v>11</v>
      </c>
      <c r="C1413" s="25">
        <f t="shared" si="48"/>
        <v>2024</v>
      </c>
      <c r="D1413" s="169" t="s">
        <v>352</v>
      </c>
      <c r="E1413" s="170" t="s">
        <v>93</v>
      </c>
      <c r="F1413" s="171" t="s">
        <v>1143</v>
      </c>
      <c r="G1413" s="171"/>
      <c r="H1413" s="172" t="s">
        <v>130</v>
      </c>
      <c r="I1413" s="172"/>
      <c r="J1413" s="174">
        <v>235000</v>
      </c>
      <c r="K1413" s="174"/>
      <c r="L1413" s="174"/>
      <c r="M1413" s="174"/>
      <c r="N1413" s="176"/>
    </row>
    <row r="1414" spans="1:14" x14ac:dyDescent="0.25">
      <c r="A1414" s="165">
        <v>45600</v>
      </c>
      <c r="B1414" s="166">
        <f t="shared" si="49"/>
        <v>11</v>
      </c>
      <c r="C1414" s="25">
        <f t="shared" si="48"/>
        <v>2024</v>
      </c>
      <c r="D1414" s="169" t="s">
        <v>352</v>
      </c>
      <c r="E1414" s="170" t="s">
        <v>93</v>
      </c>
      <c r="F1414" s="171" t="s">
        <v>583</v>
      </c>
      <c r="G1414" s="171"/>
      <c r="H1414" s="172" t="s">
        <v>131</v>
      </c>
      <c r="I1414" s="172"/>
      <c r="J1414" s="174">
        <v>380000</v>
      </c>
      <c r="K1414" s="174"/>
      <c r="L1414" s="174"/>
      <c r="M1414" s="174"/>
      <c r="N1414" s="176"/>
    </row>
    <row r="1415" spans="1:14" x14ac:dyDescent="0.25">
      <c r="A1415" s="165">
        <v>45600</v>
      </c>
      <c r="B1415" s="166">
        <f t="shared" si="49"/>
        <v>11</v>
      </c>
      <c r="C1415" s="25">
        <f t="shared" si="48"/>
        <v>2024</v>
      </c>
      <c r="D1415" s="169" t="s">
        <v>352</v>
      </c>
      <c r="E1415" s="170" t="s">
        <v>93</v>
      </c>
      <c r="F1415" s="171" t="s">
        <v>1146</v>
      </c>
      <c r="G1415" s="171"/>
      <c r="H1415" s="172" t="s">
        <v>130</v>
      </c>
      <c r="I1415" s="172"/>
      <c r="J1415" s="174">
        <v>758800</v>
      </c>
      <c r="K1415" s="174"/>
      <c r="L1415" s="174"/>
      <c r="M1415" s="174"/>
      <c r="N1415" s="176"/>
    </row>
    <row r="1416" spans="1:14" x14ac:dyDescent="0.25">
      <c r="A1416" s="165">
        <v>45601</v>
      </c>
      <c r="B1416" s="166">
        <f t="shared" si="49"/>
        <v>11</v>
      </c>
      <c r="C1416" s="25">
        <f t="shared" si="48"/>
        <v>2024</v>
      </c>
      <c r="D1416" s="169" t="s">
        <v>352</v>
      </c>
      <c r="E1416" s="170" t="s">
        <v>93</v>
      </c>
      <c r="F1416" s="171" t="s">
        <v>204</v>
      </c>
      <c r="G1416" s="171"/>
      <c r="H1416" s="172" t="s">
        <v>131</v>
      </c>
      <c r="I1416" s="172"/>
      <c r="J1416" s="174">
        <v>90000</v>
      </c>
      <c r="K1416" s="174"/>
      <c r="L1416" s="174"/>
      <c r="M1416" s="174"/>
      <c r="N1416" s="176"/>
    </row>
    <row r="1417" spans="1:14" x14ac:dyDescent="0.25">
      <c r="A1417" s="165">
        <v>45601</v>
      </c>
      <c r="B1417" s="166">
        <f t="shared" si="49"/>
        <v>11</v>
      </c>
      <c r="C1417" s="25">
        <f t="shared" si="48"/>
        <v>2024</v>
      </c>
      <c r="D1417" s="169" t="s">
        <v>352</v>
      </c>
      <c r="E1417" s="170" t="s">
        <v>93</v>
      </c>
      <c r="F1417" s="171" t="s">
        <v>204</v>
      </c>
      <c r="G1417" s="171"/>
      <c r="H1417" s="172" t="s">
        <v>131</v>
      </c>
      <c r="I1417" s="172"/>
      <c r="J1417" s="174">
        <v>162500</v>
      </c>
      <c r="K1417" s="174"/>
      <c r="L1417" s="174"/>
      <c r="M1417" s="174"/>
      <c r="N1417" s="176"/>
    </row>
    <row r="1418" spans="1:14" x14ac:dyDescent="0.25">
      <c r="A1418" s="165">
        <v>45601</v>
      </c>
      <c r="B1418" s="166">
        <f t="shared" si="49"/>
        <v>11</v>
      </c>
      <c r="C1418" s="25">
        <f t="shared" si="48"/>
        <v>2024</v>
      </c>
      <c r="D1418" s="169" t="s">
        <v>352</v>
      </c>
      <c r="E1418" s="170" t="s">
        <v>93</v>
      </c>
      <c r="F1418" s="171" t="s">
        <v>1148</v>
      </c>
      <c r="G1418" s="171"/>
      <c r="H1418" s="172" t="s">
        <v>130</v>
      </c>
      <c r="I1418" s="172"/>
      <c r="J1418" s="174">
        <v>242200</v>
      </c>
      <c r="K1418" s="174"/>
      <c r="L1418" s="174"/>
      <c r="M1418" s="174"/>
      <c r="N1418" s="176"/>
    </row>
    <row r="1419" spans="1:14" x14ac:dyDescent="0.25">
      <c r="A1419" s="165">
        <v>45601</v>
      </c>
      <c r="B1419" s="166">
        <f t="shared" si="49"/>
        <v>11</v>
      </c>
      <c r="C1419" s="25">
        <f t="shared" si="48"/>
        <v>2024</v>
      </c>
      <c r="D1419" s="169" t="s">
        <v>352</v>
      </c>
      <c r="E1419" s="170" t="s">
        <v>93</v>
      </c>
      <c r="F1419" s="171" t="s">
        <v>1123</v>
      </c>
      <c r="G1419" s="171"/>
      <c r="H1419" s="172" t="s">
        <v>130</v>
      </c>
      <c r="I1419" s="172"/>
      <c r="J1419" s="174">
        <v>467500</v>
      </c>
      <c r="K1419" s="174"/>
      <c r="L1419" s="174"/>
      <c r="M1419" s="174"/>
      <c r="N1419" s="176"/>
    </row>
    <row r="1420" spans="1:14" x14ac:dyDescent="0.25">
      <c r="A1420" s="165">
        <v>45601</v>
      </c>
      <c r="B1420" s="166">
        <f t="shared" si="49"/>
        <v>11</v>
      </c>
      <c r="C1420" s="25">
        <f t="shared" si="48"/>
        <v>2024</v>
      </c>
      <c r="D1420" s="169" t="s">
        <v>352</v>
      </c>
      <c r="E1420" s="170" t="s">
        <v>93</v>
      </c>
      <c r="F1420" s="171" t="s">
        <v>1149</v>
      </c>
      <c r="G1420" s="171"/>
      <c r="H1420" s="172" t="s">
        <v>545</v>
      </c>
      <c r="I1420" s="172"/>
      <c r="J1420" s="174">
        <v>51500</v>
      </c>
      <c r="K1420" s="174"/>
      <c r="L1420" s="174"/>
      <c r="M1420" s="174"/>
      <c r="N1420" s="176"/>
    </row>
    <row r="1421" spans="1:14" x14ac:dyDescent="0.25">
      <c r="A1421" s="165">
        <v>45602</v>
      </c>
      <c r="B1421" s="166">
        <f t="shared" si="49"/>
        <v>11</v>
      </c>
      <c r="C1421" s="25">
        <f t="shared" si="48"/>
        <v>2024</v>
      </c>
      <c r="D1421" s="169" t="s">
        <v>352</v>
      </c>
      <c r="E1421" s="170" t="s">
        <v>93</v>
      </c>
      <c r="F1421" s="171" t="s">
        <v>1009</v>
      </c>
      <c r="G1421" s="171"/>
      <c r="H1421" s="172" t="s">
        <v>130</v>
      </c>
      <c r="I1421" s="172"/>
      <c r="J1421" s="174">
        <v>310000</v>
      </c>
      <c r="K1421" s="174"/>
      <c r="L1421" s="174"/>
      <c r="M1421" s="174"/>
      <c r="N1421" s="176"/>
    </row>
    <row r="1422" spans="1:14" x14ac:dyDescent="0.25">
      <c r="A1422" s="165">
        <v>45602</v>
      </c>
      <c r="B1422" s="166">
        <f t="shared" si="49"/>
        <v>11</v>
      </c>
      <c r="C1422" s="25">
        <f t="shared" si="48"/>
        <v>2024</v>
      </c>
      <c r="D1422" s="169" t="s">
        <v>352</v>
      </c>
      <c r="E1422" s="170" t="s">
        <v>93</v>
      </c>
      <c r="F1422" s="171" t="s">
        <v>1122</v>
      </c>
      <c r="G1422" s="171"/>
      <c r="H1422" s="172" t="s">
        <v>131</v>
      </c>
      <c r="I1422" s="172"/>
      <c r="J1422" s="174">
        <v>65000</v>
      </c>
      <c r="K1422" s="174"/>
      <c r="L1422" s="174"/>
      <c r="M1422" s="174"/>
      <c r="N1422" s="176"/>
    </row>
    <row r="1423" spans="1:14" x14ac:dyDescent="0.25">
      <c r="A1423" s="165">
        <v>45603</v>
      </c>
      <c r="B1423" s="166">
        <f t="shared" si="49"/>
        <v>11</v>
      </c>
      <c r="C1423" s="25">
        <f t="shared" si="48"/>
        <v>2024</v>
      </c>
      <c r="D1423" s="169" t="s">
        <v>352</v>
      </c>
      <c r="E1423" s="170" t="s">
        <v>93</v>
      </c>
      <c r="F1423" s="171" t="s">
        <v>1152</v>
      </c>
      <c r="G1423" s="171"/>
      <c r="H1423" s="172" t="s">
        <v>130</v>
      </c>
      <c r="I1423" s="172"/>
      <c r="J1423" s="174">
        <v>706500</v>
      </c>
      <c r="K1423" s="174"/>
      <c r="L1423" s="174"/>
      <c r="M1423" s="174"/>
      <c r="N1423" s="176"/>
    </row>
    <row r="1424" spans="1:14" x14ac:dyDescent="0.25">
      <c r="A1424" s="165">
        <v>45603</v>
      </c>
      <c r="B1424" s="166">
        <f t="shared" si="49"/>
        <v>11</v>
      </c>
      <c r="C1424" s="25">
        <f t="shared" si="48"/>
        <v>2024</v>
      </c>
      <c r="D1424" s="169" t="s">
        <v>92</v>
      </c>
      <c r="E1424" s="170" t="s">
        <v>92</v>
      </c>
      <c r="F1424" s="171" t="s">
        <v>838</v>
      </c>
      <c r="G1424" s="171"/>
      <c r="H1424" s="172" t="s">
        <v>130</v>
      </c>
      <c r="I1424" s="172"/>
      <c r="J1424" s="174"/>
      <c r="K1424" s="174">
        <v>27360</v>
      </c>
      <c r="L1424" s="174"/>
      <c r="M1424" s="174"/>
      <c r="N1424" s="176"/>
    </row>
    <row r="1425" spans="1:14" x14ac:dyDescent="0.25">
      <c r="A1425" s="165">
        <v>45603</v>
      </c>
      <c r="B1425" s="166">
        <f t="shared" si="49"/>
        <v>11</v>
      </c>
      <c r="C1425" s="25">
        <f t="shared" si="48"/>
        <v>2024</v>
      </c>
      <c r="D1425" s="169" t="s">
        <v>352</v>
      </c>
      <c r="E1425" s="170" t="s">
        <v>93</v>
      </c>
      <c r="F1425" s="171" t="s">
        <v>1153</v>
      </c>
      <c r="G1425" s="171"/>
      <c r="H1425" s="172" t="s">
        <v>130</v>
      </c>
      <c r="I1425" s="172"/>
      <c r="J1425" s="174">
        <v>288000</v>
      </c>
      <c r="K1425" s="174"/>
      <c r="L1425" s="174"/>
      <c r="M1425" s="174"/>
      <c r="N1425" s="176"/>
    </row>
    <row r="1426" spans="1:14" x14ac:dyDescent="0.25">
      <c r="A1426" s="165">
        <v>45603</v>
      </c>
      <c r="B1426" s="166">
        <f t="shared" si="49"/>
        <v>11</v>
      </c>
      <c r="C1426" s="25">
        <f t="shared" si="48"/>
        <v>2024</v>
      </c>
      <c r="D1426" s="169" t="s">
        <v>352</v>
      </c>
      <c r="E1426" s="170" t="s">
        <v>93</v>
      </c>
      <c r="F1426" s="171" t="s">
        <v>1154</v>
      </c>
      <c r="G1426" s="171"/>
      <c r="H1426" s="172" t="s">
        <v>545</v>
      </c>
      <c r="I1426" s="172"/>
      <c r="J1426" s="174">
        <v>245000</v>
      </c>
      <c r="K1426" s="174"/>
      <c r="L1426" s="174"/>
      <c r="M1426" s="174"/>
      <c r="N1426" s="176"/>
    </row>
    <row r="1427" spans="1:14" x14ac:dyDescent="0.25">
      <c r="A1427" s="165">
        <v>45603</v>
      </c>
      <c r="B1427" s="166">
        <f t="shared" si="49"/>
        <v>11</v>
      </c>
      <c r="C1427" s="25">
        <f t="shared" si="48"/>
        <v>2024</v>
      </c>
      <c r="D1427" s="169" t="s">
        <v>352</v>
      </c>
      <c r="E1427" s="170" t="s">
        <v>93</v>
      </c>
      <c r="F1427" s="171" t="s">
        <v>1155</v>
      </c>
      <c r="G1427" s="171"/>
      <c r="H1427" s="172" t="s">
        <v>545</v>
      </c>
      <c r="I1427" s="172"/>
      <c r="J1427" s="174">
        <v>220000</v>
      </c>
      <c r="K1427" s="174"/>
      <c r="L1427" s="174"/>
      <c r="M1427" s="174"/>
      <c r="N1427" s="176"/>
    </row>
    <row r="1428" spans="1:14" x14ac:dyDescent="0.25">
      <c r="A1428" s="165">
        <v>45603</v>
      </c>
      <c r="B1428" s="166">
        <f t="shared" si="49"/>
        <v>11</v>
      </c>
      <c r="C1428" s="25">
        <f t="shared" si="48"/>
        <v>2024</v>
      </c>
      <c r="D1428" s="169" t="s">
        <v>124</v>
      </c>
      <c r="E1428" s="170" t="s">
        <v>93</v>
      </c>
      <c r="F1428" s="171"/>
      <c r="G1428" s="171" t="s">
        <v>553</v>
      </c>
      <c r="H1428" s="172" t="s">
        <v>131</v>
      </c>
      <c r="I1428" s="172"/>
      <c r="J1428" s="174"/>
      <c r="K1428" s="174">
        <v>65000</v>
      </c>
      <c r="L1428" s="174"/>
      <c r="M1428" s="174"/>
      <c r="N1428" s="176"/>
    </row>
    <row r="1429" spans="1:14" x14ac:dyDescent="0.25">
      <c r="A1429" s="165">
        <v>45603</v>
      </c>
      <c r="B1429" s="166">
        <f t="shared" si="49"/>
        <v>11</v>
      </c>
      <c r="C1429" s="25">
        <f t="shared" si="48"/>
        <v>2024</v>
      </c>
      <c r="D1429" s="169" t="s">
        <v>124</v>
      </c>
      <c r="E1429" s="170" t="s">
        <v>93</v>
      </c>
      <c r="F1429" s="171"/>
      <c r="G1429" s="171" t="s">
        <v>553</v>
      </c>
      <c r="H1429" s="172" t="s">
        <v>131</v>
      </c>
      <c r="I1429" s="172"/>
      <c r="J1429" s="174"/>
      <c r="K1429" s="174">
        <v>90000</v>
      </c>
      <c r="L1429" s="174"/>
      <c r="M1429" s="174"/>
      <c r="N1429" s="176"/>
    </row>
    <row r="1430" spans="1:14" x14ac:dyDescent="0.25">
      <c r="A1430" s="165">
        <v>45603</v>
      </c>
      <c r="B1430" s="166">
        <f t="shared" si="49"/>
        <v>11</v>
      </c>
      <c r="C1430" s="25">
        <f t="shared" si="48"/>
        <v>2024</v>
      </c>
      <c r="D1430" s="169" t="s">
        <v>124</v>
      </c>
      <c r="E1430" s="170" t="s">
        <v>93</v>
      </c>
      <c r="F1430" s="171"/>
      <c r="G1430" s="171" t="s">
        <v>553</v>
      </c>
      <c r="H1430" s="172" t="s">
        <v>131</v>
      </c>
      <c r="I1430" s="172"/>
      <c r="J1430" s="174"/>
      <c r="K1430" s="174">
        <v>162500</v>
      </c>
      <c r="L1430" s="174"/>
      <c r="M1430" s="174"/>
      <c r="N1430" s="176"/>
    </row>
    <row r="1431" spans="1:14" x14ac:dyDescent="0.25">
      <c r="A1431" s="165">
        <v>45603</v>
      </c>
      <c r="B1431" s="166">
        <f t="shared" si="49"/>
        <v>11</v>
      </c>
      <c r="C1431" s="25">
        <f t="shared" si="48"/>
        <v>2024</v>
      </c>
      <c r="D1431" s="169" t="s">
        <v>352</v>
      </c>
      <c r="E1431" s="170" t="s">
        <v>93</v>
      </c>
      <c r="F1431" s="171" t="s">
        <v>1156</v>
      </c>
      <c r="G1431" s="171"/>
      <c r="H1431" s="172" t="s">
        <v>130</v>
      </c>
      <c r="I1431" s="172"/>
      <c r="J1431" s="174">
        <v>256000</v>
      </c>
      <c r="K1431" s="174"/>
      <c r="L1431" s="174"/>
      <c r="M1431" s="174"/>
      <c r="N1431" s="176"/>
    </row>
    <row r="1432" spans="1:14" x14ac:dyDescent="0.25">
      <c r="A1432" s="165">
        <v>45603</v>
      </c>
      <c r="B1432" s="166">
        <f t="shared" si="49"/>
        <v>11</v>
      </c>
      <c r="C1432" s="25">
        <f t="shared" si="48"/>
        <v>2024</v>
      </c>
      <c r="D1432" s="169" t="s">
        <v>124</v>
      </c>
      <c r="E1432" s="170" t="s">
        <v>93</v>
      </c>
      <c r="F1432" s="171"/>
      <c r="G1432" s="171" t="s">
        <v>852</v>
      </c>
      <c r="H1432" s="172" t="s">
        <v>131</v>
      </c>
      <c r="I1432" s="172"/>
      <c r="J1432" s="174"/>
      <c r="K1432" s="174">
        <v>185000</v>
      </c>
      <c r="L1432" s="174"/>
      <c r="M1432" s="174"/>
      <c r="N1432" s="176"/>
    </row>
    <row r="1433" spans="1:14" x14ac:dyDescent="0.25">
      <c r="A1433" s="165">
        <v>45603</v>
      </c>
      <c r="B1433" s="166">
        <f t="shared" si="49"/>
        <v>11</v>
      </c>
      <c r="C1433" s="25">
        <f t="shared" si="48"/>
        <v>2024</v>
      </c>
      <c r="D1433" s="169" t="s">
        <v>92</v>
      </c>
      <c r="E1433" s="170" t="s">
        <v>92</v>
      </c>
      <c r="F1433" s="171" t="s">
        <v>796</v>
      </c>
      <c r="G1433" s="171"/>
      <c r="H1433" s="172" t="s">
        <v>92</v>
      </c>
      <c r="I1433" s="172"/>
      <c r="J1433" s="174"/>
      <c r="K1433" s="174">
        <v>330000</v>
      </c>
      <c r="L1433" s="174"/>
      <c r="M1433" s="174"/>
      <c r="N1433" s="176"/>
    </row>
    <row r="1434" spans="1:14" x14ac:dyDescent="0.25">
      <c r="A1434" s="165">
        <v>45603</v>
      </c>
      <c r="B1434" s="166">
        <f t="shared" si="49"/>
        <v>11</v>
      </c>
      <c r="C1434" s="25">
        <f t="shared" si="48"/>
        <v>2024</v>
      </c>
      <c r="D1434" s="169" t="s">
        <v>352</v>
      </c>
      <c r="E1434" s="170" t="s">
        <v>93</v>
      </c>
      <c r="F1434" s="171" t="s">
        <v>1157</v>
      </c>
      <c r="G1434" s="171"/>
      <c r="H1434" s="172" t="s">
        <v>545</v>
      </c>
      <c r="I1434" s="172"/>
      <c r="J1434" s="174">
        <v>220000</v>
      </c>
      <c r="K1434" s="174"/>
      <c r="L1434" s="174"/>
      <c r="M1434" s="174"/>
      <c r="N1434" s="176"/>
    </row>
    <row r="1435" spans="1:14" x14ac:dyDescent="0.25">
      <c r="A1435" s="165">
        <v>45603</v>
      </c>
      <c r="B1435" s="166">
        <f t="shared" si="49"/>
        <v>11</v>
      </c>
      <c r="C1435" s="25">
        <f t="shared" si="48"/>
        <v>2024</v>
      </c>
      <c r="D1435" s="169" t="s">
        <v>352</v>
      </c>
      <c r="E1435" s="170" t="s">
        <v>93</v>
      </c>
      <c r="F1435" s="171" t="s">
        <v>1158</v>
      </c>
      <c r="G1435" s="171"/>
      <c r="H1435" s="172" t="s">
        <v>130</v>
      </c>
      <c r="I1435" s="172"/>
      <c r="J1435" s="174">
        <v>167000</v>
      </c>
      <c r="K1435" s="174"/>
      <c r="L1435" s="174"/>
      <c r="M1435" s="174"/>
      <c r="N1435" s="176"/>
    </row>
    <row r="1436" spans="1:14" x14ac:dyDescent="0.25">
      <c r="A1436" s="165">
        <v>45603</v>
      </c>
      <c r="B1436" s="166">
        <f t="shared" si="49"/>
        <v>11</v>
      </c>
      <c r="C1436" s="25">
        <f t="shared" si="48"/>
        <v>2024</v>
      </c>
      <c r="D1436" s="169" t="s">
        <v>124</v>
      </c>
      <c r="E1436" s="170" t="s">
        <v>93</v>
      </c>
      <c r="F1436" s="171" t="s">
        <v>904</v>
      </c>
      <c r="G1436" s="171"/>
      <c r="H1436" s="172" t="s">
        <v>130</v>
      </c>
      <c r="I1436" s="172"/>
      <c r="J1436" s="174"/>
      <c r="K1436" s="174">
        <v>585000</v>
      </c>
      <c r="L1436" s="174"/>
      <c r="M1436" s="174"/>
      <c r="N1436" s="176"/>
    </row>
    <row r="1437" spans="1:14" x14ac:dyDescent="0.25">
      <c r="A1437" s="165">
        <v>45603</v>
      </c>
      <c r="B1437" s="166">
        <f t="shared" si="49"/>
        <v>11</v>
      </c>
      <c r="C1437" s="25">
        <f t="shared" si="48"/>
        <v>2024</v>
      </c>
      <c r="D1437" s="169" t="s">
        <v>352</v>
      </c>
      <c r="E1437" s="170" t="s">
        <v>93</v>
      </c>
      <c r="F1437" s="171" t="s">
        <v>150</v>
      </c>
      <c r="G1437" s="171"/>
      <c r="H1437" s="172" t="s">
        <v>131</v>
      </c>
      <c r="I1437" s="172"/>
      <c r="J1437" s="174">
        <v>220000</v>
      </c>
      <c r="K1437" s="174"/>
      <c r="L1437" s="174"/>
      <c r="M1437" s="174"/>
      <c r="N1437" s="176"/>
    </row>
    <row r="1438" spans="1:14" x14ac:dyDescent="0.25">
      <c r="A1438" s="165">
        <v>45603</v>
      </c>
      <c r="B1438" s="166">
        <f t="shared" si="49"/>
        <v>11</v>
      </c>
      <c r="C1438" s="25">
        <f t="shared" si="48"/>
        <v>2024</v>
      </c>
      <c r="D1438" s="169" t="s">
        <v>352</v>
      </c>
      <c r="E1438" s="170" t="s">
        <v>93</v>
      </c>
      <c r="F1438" s="171" t="s">
        <v>150</v>
      </c>
      <c r="G1438" s="171"/>
      <c r="H1438" s="172" t="s">
        <v>131</v>
      </c>
      <c r="I1438" s="172"/>
      <c r="J1438" s="174">
        <v>220000</v>
      </c>
      <c r="K1438" s="174"/>
      <c r="L1438" s="174"/>
      <c r="M1438" s="174"/>
      <c r="N1438" s="176"/>
    </row>
    <row r="1439" spans="1:14" x14ac:dyDescent="0.25">
      <c r="A1439" s="165">
        <v>45603</v>
      </c>
      <c r="B1439" s="166">
        <f t="shared" si="49"/>
        <v>11</v>
      </c>
      <c r="C1439" s="25">
        <f t="shared" si="48"/>
        <v>2024</v>
      </c>
      <c r="D1439" s="169" t="s">
        <v>352</v>
      </c>
      <c r="E1439" s="170" t="s">
        <v>93</v>
      </c>
      <c r="F1439" s="171" t="s">
        <v>150</v>
      </c>
      <c r="G1439" s="171"/>
      <c r="H1439" s="172" t="s">
        <v>131</v>
      </c>
      <c r="I1439" s="172"/>
      <c r="J1439" s="174">
        <v>434434</v>
      </c>
      <c r="K1439" s="174"/>
      <c r="L1439" s="174"/>
      <c r="M1439" s="174"/>
      <c r="N1439" s="176"/>
    </row>
    <row r="1440" spans="1:14" x14ac:dyDescent="0.25">
      <c r="A1440" s="165">
        <v>45604</v>
      </c>
      <c r="B1440" s="166">
        <f t="shared" si="49"/>
        <v>11</v>
      </c>
      <c r="C1440" s="25">
        <f t="shared" si="48"/>
        <v>2024</v>
      </c>
      <c r="D1440" s="169" t="s">
        <v>124</v>
      </c>
      <c r="E1440" s="170" t="s">
        <v>93</v>
      </c>
      <c r="F1440" s="171"/>
      <c r="G1440" s="171" t="s">
        <v>333</v>
      </c>
      <c r="H1440" s="172" t="s">
        <v>131</v>
      </c>
      <c r="I1440" s="172"/>
      <c r="J1440" s="174"/>
      <c r="K1440" s="174">
        <v>195300</v>
      </c>
      <c r="L1440" s="174"/>
      <c r="M1440" s="174"/>
      <c r="N1440" s="176"/>
    </row>
    <row r="1441" spans="1:14" x14ac:dyDescent="0.25">
      <c r="A1441" s="165">
        <v>45604</v>
      </c>
      <c r="B1441" s="166">
        <f t="shared" si="49"/>
        <v>11</v>
      </c>
      <c r="C1441" s="25">
        <f t="shared" si="48"/>
        <v>2024</v>
      </c>
      <c r="D1441" s="169" t="s">
        <v>124</v>
      </c>
      <c r="E1441" s="170" t="s">
        <v>93</v>
      </c>
      <c r="F1441" s="171"/>
      <c r="G1441" s="171" t="s">
        <v>333</v>
      </c>
      <c r="H1441" s="172" t="s">
        <v>131</v>
      </c>
      <c r="I1441" s="172"/>
      <c r="J1441" s="174"/>
      <c r="K1441" s="174">
        <v>380000</v>
      </c>
      <c r="L1441" s="174"/>
      <c r="M1441" s="174"/>
      <c r="N1441" s="176"/>
    </row>
    <row r="1442" spans="1:14" x14ac:dyDescent="0.25">
      <c r="A1442" s="165">
        <v>45604</v>
      </c>
      <c r="B1442" s="166">
        <f t="shared" si="49"/>
        <v>11</v>
      </c>
      <c r="C1442" s="25">
        <f t="shared" si="48"/>
        <v>2024</v>
      </c>
      <c r="D1442" s="169" t="s">
        <v>352</v>
      </c>
      <c r="E1442" s="170" t="s">
        <v>93</v>
      </c>
      <c r="F1442" s="171" t="s">
        <v>1159</v>
      </c>
      <c r="G1442" s="171"/>
      <c r="H1442" s="172" t="s">
        <v>545</v>
      </c>
      <c r="I1442" s="172"/>
      <c r="J1442" s="174">
        <v>471700</v>
      </c>
      <c r="K1442" s="174"/>
      <c r="L1442" s="174"/>
      <c r="M1442" s="174"/>
      <c r="N1442" s="176"/>
    </row>
    <row r="1443" spans="1:14" x14ac:dyDescent="0.25">
      <c r="A1443" s="165">
        <v>45604</v>
      </c>
      <c r="B1443" s="166">
        <f t="shared" si="49"/>
        <v>11</v>
      </c>
      <c r="C1443" s="25">
        <f t="shared" si="48"/>
        <v>2024</v>
      </c>
      <c r="D1443" s="169" t="s">
        <v>124</v>
      </c>
      <c r="E1443" s="170" t="s">
        <v>93</v>
      </c>
      <c r="F1443" s="171" t="s">
        <v>1160</v>
      </c>
      <c r="G1443" s="171"/>
      <c r="H1443" s="172" t="s">
        <v>130</v>
      </c>
      <c r="I1443" s="172"/>
      <c r="J1443" s="174"/>
      <c r="K1443" s="174">
        <v>141900</v>
      </c>
      <c r="L1443" s="174"/>
      <c r="M1443" s="174"/>
      <c r="N1443" s="176"/>
    </row>
    <row r="1444" spans="1:14" x14ac:dyDescent="0.25">
      <c r="A1444" s="165">
        <v>45604</v>
      </c>
      <c r="B1444" s="166">
        <f t="shared" si="49"/>
        <v>11</v>
      </c>
      <c r="C1444" s="25">
        <f t="shared" si="48"/>
        <v>2024</v>
      </c>
      <c r="D1444" s="169" t="s">
        <v>124</v>
      </c>
      <c r="E1444" s="170" t="s">
        <v>93</v>
      </c>
      <c r="F1444" s="171" t="s">
        <v>903</v>
      </c>
      <c r="G1444" s="171"/>
      <c r="H1444" s="172" t="s">
        <v>130</v>
      </c>
      <c r="I1444" s="172"/>
      <c r="J1444" s="174"/>
      <c r="K1444" s="174">
        <v>30000</v>
      </c>
      <c r="L1444" s="174"/>
      <c r="M1444" s="174"/>
      <c r="N1444" s="176"/>
    </row>
    <row r="1445" spans="1:14" x14ac:dyDescent="0.25">
      <c r="A1445" s="165">
        <v>45604</v>
      </c>
      <c r="B1445" s="166">
        <f t="shared" si="49"/>
        <v>11</v>
      </c>
      <c r="C1445" s="25">
        <f t="shared" si="48"/>
        <v>2024</v>
      </c>
      <c r="D1445" s="169" t="s">
        <v>626</v>
      </c>
      <c r="E1445" s="170" t="s">
        <v>93</v>
      </c>
      <c r="F1445" s="171"/>
      <c r="G1445" s="171"/>
      <c r="H1445" s="172" t="s">
        <v>130</v>
      </c>
      <c r="I1445" s="172"/>
      <c r="J1445" s="174"/>
      <c r="K1445" s="174">
        <v>200000</v>
      </c>
      <c r="L1445" s="174"/>
      <c r="M1445" s="174"/>
      <c r="N1445" s="176"/>
    </row>
    <row r="1446" spans="1:14" x14ac:dyDescent="0.25">
      <c r="A1446" s="165">
        <v>45607</v>
      </c>
      <c r="B1446" s="166">
        <f t="shared" si="49"/>
        <v>11</v>
      </c>
      <c r="C1446" s="25">
        <f t="shared" si="48"/>
        <v>2024</v>
      </c>
      <c r="D1446" s="169" t="s">
        <v>352</v>
      </c>
      <c r="E1446" s="170" t="s">
        <v>93</v>
      </c>
      <c r="F1446" s="171" t="s">
        <v>1165</v>
      </c>
      <c r="G1446" s="171"/>
      <c r="H1446" s="172" t="s">
        <v>130</v>
      </c>
      <c r="I1446" s="172"/>
      <c r="J1446" s="174">
        <v>100000</v>
      </c>
      <c r="K1446" s="174"/>
      <c r="L1446" s="174"/>
      <c r="M1446" s="174"/>
      <c r="N1446" s="176"/>
    </row>
    <row r="1447" spans="1:14" x14ac:dyDescent="0.25">
      <c r="A1447" s="165">
        <v>45608</v>
      </c>
      <c r="B1447" s="166">
        <f t="shared" si="49"/>
        <v>11</v>
      </c>
      <c r="C1447" s="25">
        <f t="shared" si="48"/>
        <v>2024</v>
      </c>
      <c r="D1447" s="169" t="s">
        <v>352</v>
      </c>
      <c r="E1447" s="170" t="s">
        <v>93</v>
      </c>
      <c r="F1447" s="171" t="s">
        <v>414</v>
      </c>
      <c r="G1447" s="171"/>
      <c r="H1447" s="172" t="s">
        <v>131</v>
      </c>
      <c r="I1447" s="172"/>
      <c r="J1447" s="174">
        <v>380000</v>
      </c>
      <c r="K1447" s="174"/>
      <c r="L1447" s="174"/>
      <c r="M1447" s="174"/>
      <c r="N1447" s="176"/>
    </row>
    <row r="1448" spans="1:14" x14ac:dyDescent="0.25">
      <c r="A1448" s="165">
        <v>45608</v>
      </c>
      <c r="B1448" s="166">
        <f t="shared" si="49"/>
        <v>11</v>
      </c>
      <c r="C1448" s="25">
        <f t="shared" si="48"/>
        <v>2024</v>
      </c>
      <c r="D1448" s="169" t="s">
        <v>352</v>
      </c>
      <c r="E1448" s="170" t="s">
        <v>93</v>
      </c>
      <c r="F1448" s="171" t="s">
        <v>414</v>
      </c>
      <c r="G1448" s="171"/>
      <c r="H1448" s="172" t="s">
        <v>130</v>
      </c>
      <c r="I1448" s="172"/>
      <c r="J1448" s="174">
        <v>25500</v>
      </c>
      <c r="K1448" s="174"/>
      <c r="L1448" s="174"/>
      <c r="M1448" s="174"/>
      <c r="N1448" s="176"/>
    </row>
    <row r="1449" spans="1:14" x14ac:dyDescent="0.25">
      <c r="A1449" s="165">
        <v>45608</v>
      </c>
      <c r="B1449" s="166">
        <f t="shared" si="49"/>
        <v>11</v>
      </c>
      <c r="C1449" s="25">
        <f t="shared" si="48"/>
        <v>2024</v>
      </c>
      <c r="D1449" s="169" t="s">
        <v>352</v>
      </c>
      <c r="E1449" s="170" t="s">
        <v>93</v>
      </c>
      <c r="F1449" s="171" t="s">
        <v>1141</v>
      </c>
      <c r="G1449" s="171"/>
      <c r="H1449" s="172" t="s">
        <v>131</v>
      </c>
      <c r="I1449" s="172"/>
      <c r="J1449" s="174">
        <v>305000</v>
      </c>
      <c r="K1449" s="174"/>
      <c r="L1449" s="174"/>
      <c r="M1449" s="174"/>
      <c r="N1449" s="176"/>
    </row>
    <row r="1450" spans="1:14" x14ac:dyDescent="0.25">
      <c r="A1450" s="165">
        <v>45609</v>
      </c>
      <c r="B1450" s="166">
        <f t="shared" si="49"/>
        <v>11</v>
      </c>
      <c r="C1450" s="25">
        <f t="shared" si="48"/>
        <v>2024</v>
      </c>
      <c r="D1450" s="169" t="s">
        <v>124</v>
      </c>
      <c r="E1450" s="170" t="s">
        <v>93</v>
      </c>
      <c r="F1450" s="171" t="s">
        <v>1167</v>
      </c>
      <c r="G1450" s="171"/>
      <c r="H1450" s="172" t="s">
        <v>130</v>
      </c>
      <c r="I1450" s="172"/>
      <c r="J1450" s="174"/>
      <c r="K1450" s="174">
        <v>180000</v>
      </c>
      <c r="L1450" s="174"/>
      <c r="M1450" s="174"/>
      <c r="N1450" s="176"/>
    </row>
    <row r="1451" spans="1:14" x14ac:dyDescent="0.25">
      <c r="A1451" s="165">
        <v>45609</v>
      </c>
      <c r="B1451" s="166">
        <f t="shared" si="49"/>
        <v>11</v>
      </c>
      <c r="C1451" s="25">
        <f t="shared" si="48"/>
        <v>2024</v>
      </c>
      <c r="D1451" s="169" t="s">
        <v>92</v>
      </c>
      <c r="E1451" s="170" t="s">
        <v>92</v>
      </c>
      <c r="F1451" s="171" t="s">
        <v>841</v>
      </c>
      <c r="G1451" s="171"/>
      <c r="H1451" s="172" t="s">
        <v>92</v>
      </c>
      <c r="I1451" s="172"/>
      <c r="J1451" s="174"/>
      <c r="K1451" s="174">
        <v>90000</v>
      </c>
      <c r="L1451" s="174"/>
      <c r="M1451" s="174"/>
      <c r="N1451" s="176"/>
    </row>
    <row r="1452" spans="1:14" x14ac:dyDescent="0.25">
      <c r="A1452" s="165">
        <v>45609</v>
      </c>
      <c r="B1452" s="166">
        <f t="shared" si="49"/>
        <v>11</v>
      </c>
      <c r="C1452" s="25">
        <f t="shared" si="48"/>
        <v>2024</v>
      </c>
      <c r="D1452" s="169" t="s">
        <v>92</v>
      </c>
      <c r="E1452" s="170" t="s">
        <v>92</v>
      </c>
      <c r="F1452" s="171" t="s">
        <v>1175</v>
      </c>
      <c r="G1452" s="171"/>
      <c r="H1452" s="172" t="s">
        <v>92</v>
      </c>
      <c r="I1452" s="172"/>
      <c r="J1452" s="174"/>
      <c r="K1452" s="174">
        <v>2682170.7000000002</v>
      </c>
      <c r="L1452" s="174"/>
      <c r="M1452" s="174"/>
      <c r="N1452" s="176"/>
    </row>
    <row r="1453" spans="1:14" x14ac:dyDescent="0.25">
      <c r="A1453" s="165">
        <v>45610</v>
      </c>
      <c r="B1453" s="166">
        <f t="shared" si="49"/>
        <v>11</v>
      </c>
      <c r="C1453" s="25">
        <f t="shared" si="48"/>
        <v>2024</v>
      </c>
      <c r="D1453" s="169" t="s">
        <v>92</v>
      </c>
      <c r="E1453" s="170" t="s">
        <v>92</v>
      </c>
      <c r="F1453" s="171" t="s">
        <v>1114</v>
      </c>
      <c r="G1453" s="171"/>
      <c r="H1453" s="172" t="s">
        <v>92</v>
      </c>
      <c r="I1453" s="172"/>
      <c r="J1453" s="174"/>
      <c r="K1453" s="174">
        <v>190029.47</v>
      </c>
      <c r="L1453" s="174"/>
      <c r="M1453" s="174"/>
      <c r="N1453" s="176"/>
    </row>
    <row r="1454" spans="1:14" x14ac:dyDescent="0.25">
      <c r="A1454" s="165">
        <v>45610</v>
      </c>
      <c r="B1454" s="166">
        <f t="shared" si="49"/>
        <v>11</v>
      </c>
      <c r="C1454" s="25">
        <f t="shared" si="48"/>
        <v>2024</v>
      </c>
      <c r="D1454" s="169" t="s">
        <v>92</v>
      </c>
      <c r="E1454" s="170" t="s">
        <v>92</v>
      </c>
      <c r="F1454" s="171" t="s">
        <v>1168</v>
      </c>
      <c r="G1454" s="171"/>
      <c r="H1454" s="172" t="s">
        <v>92</v>
      </c>
      <c r="I1454" s="172"/>
      <c r="J1454" s="174"/>
      <c r="K1454" s="174">
        <v>273657.53000000003</v>
      </c>
      <c r="L1454" s="174"/>
      <c r="M1454" s="174"/>
      <c r="N1454" s="176"/>
    </row>
    <row r="1455" spans="1:14" x14ac:dyDescent="0.25">
      <c r="A1455" s="165">
        <v>45610</v>
      </c>
      <c r="B1455" s="166">
        <f t="shared" si="49"/>
        <v>11</v>
      </c>
      <c r="C1455" s="25">
        <f t="shared" si="48"/>
        <v>2024</v>
      </c>
      <c r="D1455" s="169" t="s">
        <v>352</v>
      </c>
      <c r="E1455" s="170" t="s">
        <v>93</v>
      </c>
      <c r="F1455" s="171" t="s">
        <v>828</v>
      </c>
      <c r="G1455" s="171"/>
      <c r="H1455" s="172" t="s">
        <v>130</v>
      </c>
      <c r="I1455" s="172"/>
      <c r="J1455" s="174">
        <v>695368.43</v>
      </c>
      <c r="K1455" s="174"/>
      <c r="L1455" s="174"/>
      <c r="M1455" s="174"/>
      <c r="N1455" s="176"/>
    </row>
    <row r="1456" spans="1:14" x14ac:dyDescent="0.25">
      <c r="A1456" s="165">
        <v>45610</v>
      </c>
      <c r="B1456" s="166">
        <f t="shared" si="49"/>
        <v>11</v>
      </c>
      <c r="C1456" s="25">
        <f t="shared" si="48"/>
        <v>2024</v>
      </c>
      <c r="D1456" s="169" t="s">
        <v>352</v>
      </c>
      <c r="E1456" s="170" t="s">
        <v>93</v>
      </c>
      <c r="F1456" s="171" t="s">
        <v>1169</v>
      </c>
      <c r="G1456" s="171"/>
      <c r="H1456" s="172" t="s">
        <v>874</v>
      </c>
      <c r="I1456" s="172"/>
      <c r="J1456" s="174">
        <v>435071.92</v>
      </c>
      <c r="K1456" s="174"/>
      <c r="L1456" s="174"/>
      <c r="M1456" s="174"/>
      <c r="N1456" s="176"/>
    </row>
    <row r="1457" spans="1:14" x14ac:dyDescent="0.25">
      <c r="A1457" s="165">
        <v>45610</v>
      </c>
      <c r="B1457" s="166">
        <f t="shared" si="49"/>
        <v>11</v>
      </c>
      <c r="C1457" s="25">
        <f t="shared" si="48"/>
        <v>2024</v>
      </c>
      <c r="D1457" s="169" t="s">
        <v>352</v>
      </c>
      <c r="E1457" s="170" t="s">
        <v>93</v>
      </c>
      <c r="F1457" s="171" t="s">
        <v>1169</v>
      </c>
      <c r="G1457" s="171"/>
      <c r="H1457" s="172" t="s">
        <v>130</v>
      </c>
      <c r="I1457" s="172"/>
      <c r="J1457" s="174">
        <v>17428.53</v>
      </c>
      <c r="K1457" s="174"/>
      <c r="L1457" s="174"/>
      <c r="M1457" s="174"/>
      <c r="N1457" s="176"/>
    </row>
    <row r="1458" spans="1:14" x14ac:dyDescent="0.25">
      <c r="A1458" s="165">
        <v>45610</v>
      </c>
      <c r="B1458" s="166">
        <f t="shared" si="49"/>
        <v>11</v>
      </c>
      <c r="C1458" s="25">
        <f t="shared" si="48"/>
        <v>2024</v>
      </c>
      <c r="D1458" s="169" t="s">
        <v>352</v>
      </c>
      <c r="E1458" s="170" t="s">
        <v>93</v>
      </c>
      <c r="F1458" s="171" t="s">
        <v>1170</v>
      </c>
      <c r="G1458" s="171"/>
      <c r="H1458" s="172" t="s">
        <v>545</v>
      </c>
      <c r="I1458" s="172"/>
      <c r="J1458" s="174">
        <v>555000</v>
      </c>
      <c r="K1458" s="174"/>
      <c r="L1458" s="174"/>
      <c r="M1458" s="174"/>
      <c r="N1458" s="176"/>
    </row>
    <row r="1459" spans="1:14" x14ac:dyDescent="0.25">
      <c r="A1459" s="165">
        <v>45611</v>
      </c>
      <c r="B1459" s="166">
        <f t="shared" si="49"/>
        <v>11</v>
      </c>
      <c r="C1459" s="25">
        <f t="shared" si="48"/>
        <v>2024</v>
      </c>
      <c r="D1459" s="169" t="s">
        <v>352</v>
      </c>
      <c r="E1459" s="170" t="s">
        <v>93</v>
      </c>
      <c r="F1459" s="171" t="s">
        <v>1136</v>
      </c>
      <c r="G1459" s="171"/>
      <c r="H1459" s="172" t="s">
        <v>130</v>
      </c>
      <c r="I1459" s="172"/>
      <c r="J1459" s="174">
        <v>74500</v>
      </c>
      <c r="K1459" s="174"/>
      <c r="L1459" s="174"/>
      <c r="M1459" s="174"/>
      <c r="N1459" s="176"/>
    </row>
    <row r="1460" spans="1:14" x14ac:dyDescent="0.25">
      <c r="A1460" s="165">
        <v>45611</v>
      </c>
      <c r="B1460" s="166">
        <f t="shared" si="49"/>
        <v>11</v>
      </c>
      <c r="C1460" s="25">
        <f t="shared" si="48"/>
        <v>2024</v>
      </c>
      <c r="D1460" s="169" t="s">
        <v>352</v>
      </c>
      <c r="E1460" s="170" t="s">
        <v>93</v>
      </c>
      <c r="F1460" s="171" t="s">
        <v>637</v>
      </c>
      <c r="G1460" s="171"/>
      <c r="H1460" s="172" t="s">
        <v>130</v>
      </c>
      <c r="I1460" s="172"/>
      <c r="J1460" s="174">
        <v>284000</v>
      </c>
      <c r="K1460" s="174"/>
      <c r="L1460" s="174"/>
      <c r="M1460" s="174"/>
      <c r="N1460" s="176"/>
    </row>
    <row r="1461" spans="1:14" x14ac:dyDescent="0.25">
      <c r="A1461" s="165">
        <v>45611</v>
      </c>
      <c r="B1461" s="166">
        <f t="shared" si="49"/>
        <v>11</v>
      </c>
      <c r="C1461" s="25">
        <f t="shared" si="48"/>
        <v>2024</v>
      </c>
      <c r="D1461" s="169" t="s">
        <v>352</v>
      </c>
      <c r="E1461" s="170" t="s">
        <v>93</v>
      </c>
      <c r="F1461" s="171" t="s">
        <v>1171</v>
      </c>
      <c r="G1461" s="171"/>
      <c r="H1461" s="172" t="s">
        <v>130</v>
      </c>
      <c r="I1461" s="172"/>
      <c r="J1461" s="174">
        <v>350000</v>
      </c>
      <c r="K1461" s="174"/>
      <c r="L1461" s="174"/>
      <c r="M1461" s="174"/>
      <c r="N1461" s="176"/>
    </row>
    <row r="1462" spans="1:14" x14ac:dyDescent="0.25">
      <c r="A1462" s="165">
        <v>45611</v>
      </c>
      <c r="B1462" s="166">
        <f t="shared" si="49"/>
        <v>11</v>
      </c>
      <c r="C1462" s="25">
        <f t="shared" si="48"/>
        <v>2024</v>
      </c>
      <c r="D1462" s="169" t="s">
        <v>124</v>
      </c>
      <c r="E1462" s="170" t="s">
        <v>93</v>
      </c>
      <c r="F1462" s="171"/>
      <c r="G1462" s="171" t="s">
        <v>554</v>
      </c>
      <c r="H1462" s="172" t="s">
        <v>131</v>
      </c>
      <c r="I1462" s="172"/>
      <c r="J1462" s="174"/>
      <c r="K1462" s="174">
        <v>434434</v>
      </c>
      <c r="L1462" s="174"/>
      <c r="M1462" s="174"/>
      <c r="N1462" s="176"/>
    </row>
    <row r="1463" spans="1:14" x14ac:dyDescent="0.25">
      <c r="A1463" s="165">
        <v>45611</v>
      </c>
      <c r="B1463" s="166">
        <f t="shared" si="49"/>
        <v>11</v>
      </c>
      <c r="C1463" s="25">
        <f t="shared" si="48"/>
        <v>2024</v>
      </c>
      <c r="D1463" s="169" t="s">
        <v>124</v>
      </c>
      <c r="E1463" s="170" t="s">
        <v>93</v>
      </c>
      <c r="F1463" s="171"/>
      <c r="G1463" s="171" t="s">
        <v>554</v>
      </c>
      <c r="H1463" s="172" t="s">
        <v>131</v>
      </c>
      <c r="I1463" s="172"/>
      <c r="J1463" s="174"/>
      <c r="K1463" s="174">
        <v>220000</v>
      </c>
      <c r="L1463" s="174"/>
      <c r="M1463" s="174"/>
      <c r="N1463" s="176"/>
    </row>
    <row r="1464" spans="1:14" x14ac:dyDescent="0.25">
      <c r="A1464" s="165">
        <v>45611</v>
      </c>
      <c r="B1464" s="166">
        <f t="shared" si="49"/>
        <v>11</v>
      </c>
      <c r="C1464" s="25">
        <f t="shared" si="48"/>
        <v>2024</v>
      </c>
      <c r="D1464" s="169" t="s">
        <v>124</v>
      </c>
      <c r="E1464" s="170" t="s">
        <v>93</v>
      </c>
      <c r="F1464" s="171"/>
      <c r="G1464" s="171" t="s">
        <v>554</v>
      </c>
      <c r="H1464" s="172" t="s">
        <v>131</v>
      </c>
      <c r="I1464" s="172"/>
      <c r="J1464" s="174"/>
      <c r="K1464" s="174">
        <v>220000</v>
      </c>
      <c r="L1464" s="174"/>
      <c r="M1464" s="174"/>
      <c r="N1464" s="176"/>
    </row>
    <row r="1465" spans="1:14" x14ac:dyDescent="0.25">
      <c r="A1465" s="165">
        <v>45611</v>
      </c>
      <c r="B1465" s="166">
        <f t="shared" si="49"/>
        <v>11</v>
      </c>
      <c r="C1465" s="25">
        <f t="shared" si="48"/>
        <v>2024</v>
      </c>
      <c r="D1465" s="169" t="s">
        <v>124</v>
      </c>
      <c r="E1465" s="170" t="s">
        <v>93</v>
      </c>
      <c r="F1465" s="171"/>
      <c r="G1465" s="171" t="s">
        <v>554</v>
      </c>
      <c r="H1465" s="172" t="s">
        <v>131</v>
      </c>
      <c r="I1465" s="172"/>
      <c r="J1465" s="174"/>
      <c r="K1465" s="174">
        <v>380000</v>
      </c>
      <c r="L1465" s="174"/>
      <c r="M1465" s="174"/>
      <c r="N1465" s="176"/>
    </row>
    <row r="1466" spans="1:14" x14ac:dyDescent="0.25">
      <c r="A1466" s="165">
        <v>45611</v>
      </c>
      <c r="B1466" s="166">
        <f t="shared" si="49"/>
        <v>11</v>
      </c>
      <c r="C1466" s="25">
        <f t="shared" si="48"/>
        <v>2024</v>
      </c>
      <c r="D1466" s="169" t="s">
        <v>124</v>
      </c>
      <c r="E1466" s="170" t="s">
        <v>93</v>
      </c>
      <c r="F1466" s="171"/>
      <c r="G1466" s="171" t="s">
        <v>554</v>
      </c>
      <c r="H1466" s="172" t="s">
        <v>131</v>
      </c>
      <c r="I1466" s="172"/>
      <c r="J1466" s="174"/>
      <c r="K1466" s="174">
        <v>305000</v>
      </c>
      <c r="L1466" s="174"/>
      <c r="M1466" s="174"/>
      <c r="N1466" s="176"/>
    </row>
    <row r="1467" spans="1:14" x14ac:dyDescent="0.25">
      <c r="A1467" s="165">
        <v>45611</v>
      </c>
      <c r="B1467" s="166">
        <f t="shared" si="49"/>
        <v>11</v>
      </c>
      <c r="C1467" s="25">
        <f t="shared" si="48"/>
        <v>2024</v>
      </c>
      <c r="D1467" s="169" t="s">
        <v>92</v>
      </c>
      <c r="E1467" s="170" t="s">
        <v>92</v>
      </c>
      <c r="F1467" s="171" t="s">
        <v>296</v>
      </c>
      <c r="G1467" s="171"/>
      <c r="H1467" s="172" t="s">
        <v>92</v>
      </c>
      <c r="I1467" s="172"/>
      <c r="J1467" s="174"/>
      <c r="K1467" s="174">
        <v>475396</v>
      </c>
      <c r="L1467" s="174"/>
      <c r="M1467" s="174"/>
      <c r="N1467" s="176"/>
    </row>
    <row r="1468" spans="1:14" x14ac:dyDescent="0.25">
      <c r="A1468" s="165">
        <v>45615</v>
      </c>
      <c r="B1468" s="166">
        <f t="shared" si="49"/>
        <v>11</v>
      </c>
      <c r="C1468" s="25">
        <f t="shared" si="48"/>
        <v>2024</v>
      </c>
      <c r="D1468" s="169" t="s">
        <v>352</v>
      </c>
      <c r="E1468" s="170" t="s">
        <v>93</v>
      </c>
      <c r="F1468" s="171" t="s">
        <v>1172</v>
      </c>
      <c r="G1468" s="171"/>
      <c r="H1468" s="172" t="s">
        <v>130</v>
      </c>
      <c r="I1468" s="172"/>
      <c r="J1468" s="174">
        <v>116000</v>
      </c>
      <c r="K1468" s="174"/>
      <c r="L1468" s="174"/>
      <c r="M1468" s="174"/>
      <c r="N1468" s="176"/>
    </row>
    <row r="1469" spans="1:14" x14ac:dyDescent="0.25">
      <c r="A1469" s="165">
        <v>45615</v>
      </c>
      <c r="B1469" s="166">
        <f t="shared" si="49"/>
        <v>11</v>
      </c>
      <c r="C1469" s="25">
        <f t="shared" si="48"/>
        <v>2024</v>
      </c>
      <c r="D1469" s="169" t="s">
        <v>352</v>
      </c>
      <c r="E1469" s="170" t="s">
        <v>93</v>
      </c>
      <c r="F1469" s="171" t="s">
        <v>1146</v>
      </c>
      <c r="G1469" s="171"/>
      <c r="H1469" s="172" t="s">
        <v>130</v>
      </c>
      <c r="I1469" s="172"/>
      <c r="J1469" s="174">
        <v>270000</v>
      </c>
      <c r="K1469" s="174"/>
      <c r="L1469" s="174"/>
      <c r="M1469" s="174"/>
      <c r="N1469" s="176"/>
    </row>
    <row r="1470" spans="1:14" x14ac:dyDescent="0.25">
      <c r="A1470" s="165">
        <v>45616</v>
      </c>
      <c r="B1470" s="166">
        <f t="shared" si="49"/>
        <v>11</v>
      </c>
      <c r="C1470" s="25">
        <f t="shared" si="48"/>
        <v>2024</v>
      </c>
      <c r="D1470" s="169" t="s">
        <v>124</v>
      </c>
      <c r="E1470" s="170" t="s">
        <v>93</v>
      </c>
      <c r="F1470" s="171" t="s">
        <v>1173</v>
      </c>
      <c r="G1470" s="171"/>
      <c r="H1470" s="172" t="s">
        <v>130</v>
      </c>
      <c r="I1470" s="172"/>
      <c r="J1470" s="174"/>
      <c r="K1470" s="174">
        <v>190000</v>
      </c>
      <c r="L1470" s="174"/>
      <c r="M1470" s="174"/>
      <c r="N1470" s="176"/>
    </row>
    <row r="1471" spans="1:14" x14ac:dyDescent="0.25">
      <c r="A1471" s="165">
        <v>45616</v>
      </c>
      <c r="B1471" s="166">
        <f t="shared" si="49"/>
        <v>11</v>
      </c>
      <c r="C1471" s="25">
        <f t="shared" ref="C1471:C1534" si="50">YEAR((A1471))</f>
        <v>2024</v>
      </c>
      <c r="D1471" s="169" t="s">
        <v>352</v>
      </c>
      <c r="E1471" s="170" t="s">
        <v>93</v>
      </c>
      <c r="F1471" s="171" t="s">
        <v>1174</v>
      </c>
      <c r="G1471" s="171"/>
      <c r="H1471" s="172" t="s">
        <v>130</v>
      </c>
      <c r="I1471" s="172"/>
      <c r="J1471" s="174">
        <v>75000</v>
      </c>
      <c r="K1471" s="174"/>
      <c r="L1471" s="174"/>
      <c r="M1471" s="174"/>
      <c r="N1471" s="176"/>
    </row>
    <row r="1472" spans="1:14" x14ac:dyDescent="0.25">
      <c r="A1472" s="165">
        <v>45616</v>
      </c>
      <c r="B1472" s="166">
        <f t="shared" si="49"/>
        <v>11</v>
      </c>
      <c r="C1472" s="25">
        <f t="shared" si="50"/>
        <v>2024</v>
      </c>
      <c r="D1472" s="169" t="s">
        <v>124</v>
      </c>
      <c r="E1472" s="170" t="s">
        <v>93</v>
      </c>
      <c r="F1472" s="171" t="s">
        <v>1119</v>
      </c>
      <c r="G1472" s="171"/>
      <c r="H1472" s="172" t="s">
        <v>130</v>
      </c>
      <c r="I1472" s="172"/>
      <c r="J1472" s="174"/>
      <c r="K1472" s="174">
        <v>1292771</v>
      </c>
      <c r="L1472" s="174"/>
      <c r="M1472" s="174"/>
      <c r="N1472" s="176"/>
    </row>
    <row r="1473" spans="1:11" x14ac:dyDescent="0.25">
      <c r="A1473" s="68">
        <v>45617</v>
      </c>
      <c r="B1473" s="141">
        <f t="shared" si="49"/>
        <v>11</v>
      </c>
      <c r="C1473" s="25">
        <f t="shared" si="50"/>
        <v>2024</v>
      </c>
      <c r="D1473" s="76" t="s">
        <v>124</v>
      </c>
      <c r="E1473" s="170" t="s">
        <v>93</v>
      </c>
      <c r="G1473" t="s">
        <v>234</v>
      </c>
      <c r="H1473" s="1" t="s">
        <v>130</v>
      </c>
      <c r="K1473" s="149">
        <v>311770</v>
      </c>
    </row>
    <row r="1474" spans="1:11" x14ac:dyDescent="0.25">
      <c r="A1474" s="68">
        <v>45617</v>
      </c>
      <c r="B1474" s="141">
        <f t="shared" si="49"/>
        <v>11</v>
      </c>
      <c r="C1474" s="25">
        <f t="shared" si="50"/>
        <v>2024</v>
      </c>
      <c r="D1474" s="76" t="s">
        <v>352</v>
      </c>
      <c r="E1474" s="170" t="s">
        <v>93</v>
      </c>
      <c r="F1474" t="s">
        <v>1177</v>
      </c>
      <c r="H1474" s="1" t="s">
        <v>130</v>
      </c>
      <c r="J1474" s="149">
        <v>1020600</v>
      </c>
    </row>
    <row r="1475" spans="1:11" x14ac:dyDescent="0.25">
      <c r="A1475" s="68">
        <v>45617</v>
      </c>
      <c r="B1475" s="141">
        <f t="shared" ref="B1475:B1538" si="51">MONTH(A1475)</f>
        <v>11</v>
      </c>
      <c r="C1475" s="25">
        <f t="shared" si="50"/>
        <v>2024</v>
      </c>
      <c r="D1475" s="76" t="s">
        <v>352</v>
      </c>
      <c r="E1475" s="170" t="s">
        <v>93</v>
      </c>
      <c r="F1475" t="s">
        <v>1178</v>
      </c>
      <c r="H1475" s="1" t="s">
        <v>130</v>
      </c>
      <c r="J1475" s="149">
        <v>180000</v>
      </c>
    </row>
    <row r="1476" spans="1:11" x14ac:dyDescent="0.25">
      <c r="A1476" s="68">
        <v>45617</v>
      </c>
      <c r="B1476" s="141">
        <f t="shared" si="51"/>
        <v>11</v>
      </c>
      <c r="C1476" s="25">
        <f t="shared" si="50"/>
        <v>2024</v>
      </c>
      <c r="D1476" s="76" t="s">
        <v>352</v>
      </c>
      <c r="E1476" s="170" t="s">
        <v>93</v>
      </c>
      <c r="F1476" t="s">
        <v>1179</v>
      </c>
      <c r="H1476" s="1" t="s">
        <v>130</v>
      </c>
      <c r="J1476" s="149">
        <v>224000</v>
      </c>
    </row>
    <row r="1477" spans="1:11" x14ac:dyDescent="0.25">
      <c r="A1477" s="68">
        <v>45618</v>
      </c>
      <c r="B1477" s="141">
        <f t="shared" si="51"/>
        <v>11</v>
      </c>
      <c r="C1477" s="25">
        <f t="shared" si="50"/>
        <v>2024</v>
      </c>
      <c r="D1477" s="76" t="s">
        <v>124</v>
      </c>
      <c r="E1477" s="170" t="s">
        <v>93</v>
      </c>
      <c r="F1477" s="191" t="s">
        <v>1127</v>
      </c>
      <c r="H1477" s="1" t="s">
        <v>130</v>
      </c>
      <c r="K1477" s="149">
        <v>18000</v>
      </c>
    </row>
    <row r="1478" spans="1:11" x14ac:dyDescent="0.25">
      <c r="A1478" s="68">
        <v>45618</v>
      </c>
      <c r="B1478" s="141">
        <f t="shared" si="51"/>
        <v>11</v>
      </c>
      <c r="C1478" s="25">
        <f t="shared" si="50"/>
        <v>2024</v>
      </c>
      <c r="D1478" s="76" t="s">
        <v>352</v>
      </c>
      <c r="E1478" s="170" t="s">
        <v>93</v>
      </c>
      <c r="F1478" t="s">
        <v>1120</v>
      </c>
      <c r="H1478" s="1" t="s">
        <v>130</v>
      </c>
      <c r="J1478" s="149">
        <v>260000</v>
      </c>
    </row>
    <row r="1479" spans="1:11" x14ac:dyDescent="0.25">
      <c r="A1479" s="68">
        <v>45618</v>
      </c>
      <c r="B1479" s="141">
        <f t="shared" si="51"/>
        <v>11</v>
      </c>
      <c r="C1479" s="25">
        <f t="shared" si="50"/>
        <v>2024</v>
      </c>
      <c r="D1479" s="76" t="s">
        <v>352</v>
      </c>
      <c r="E1479" s="170" t="s">
        <v>93</v>
      </c>
      <c r="F1479" t="s">
        <v>1180</v>
      </c>
      <c r="H1479" s="1" t="s">
        <v>545</v>
      </c>
      <c r="J1479" s="149">
        <v>366000</v>
      </c>
    </row>
    <row r="1480" spans="1:11" x14ac:dyDescent="0.25">
      <c r="A1480" s="68">
        <v>45618</v>
      </c>
      <c r="B1480" s="141">
        <f t="shared" si="51"/>
        <v>11</v>
      </c>
      <c r="C1480" s="25">
        <f t="shared" si="50"/>
        <v>2024</v>
      </c>
      <c r="D1480" s="76" t="s">
        <v>352</v>
      </c>
      <c r="E1480" s="170" t="s">
        <v>93</v>
      </c>
      <c r="F1480" t="s">
        <v>556</v>
      </c>
      <c r="H1480" s="1" t="s">
        <v>874</v>
      </c>
      <c r="J1480" s="149">
        <v>3880800</v>
      </c>
    </row>
    <row r="1481" spans="1:11" x14ac:dyDescent="0.25">
      <c r="A1481" s="68">
        <v>45619</v>
      </c>
      <c r="B1481" s="141">
        <f t="shared" si="51"/>
        <v>11</v>
      </c>
      <c r="C1481" s="25">
        <f t="shared" si="50"/>
        <v>2024</v>
      </c>
      <c r="D1481" s="76" t="s">
        <v>352</v>
      </c>
      <c r="E1481" s="170" t="s">
        <v>93</v>
      </c>
      <c r="F1481" t="s">
        <v>450</v>
      </c>
      <c r="H1481" s="1" t="s">
        <v>131</v>
      </c>
      <c r="K1481" s="149">
        <v>178892.03</v>
      </c>
    </row>
    <row r="1482" spans="1:11" x14ac:dyDescent="0.25">
      <c r="A1482" s="68">
        <v>45619</v>
      </c>
      <c r="B1482" s="141">
        <f t="shared" si="51"/>
        <v>11</v>
      </c>
      <c r="C1482" s="25">
        <f t="shared" si="50"/>
        <v>2024</v>
      </c>
      <c r="D1482" s="76" t="s">
        <v>352</v>
      </c>
      <c r="E1482" s="170" t="s">
        <v>93</v>
      </c>
      <c r="F1482" t="s">
        <v>450</v>
      </c>
      <c r="H1482" s="1" t="s">
        <v>131</v>
      </c>
      <c r="K1482" s="149">
        <v>88330</v>
      </c>
    </row>
    <row r="1483" spans="1:11" x14ac:dyDescent="0.25">
      <c r="A1483" s="68">
        <v>45621</v>
      </c>
      <c r="B1483" s="141">
        <f t="shared" si="51"/>
        <v>11</v>
      </c>
      <c r="C1483" s="25">
        <f t="shared" si="50"/>
        <v>2024</v>
      </c>
      <c r="D1483" s="76" t="s">
        <v>352</v>
      </c>
      <c r="E1483" s="170" t="s">
        <v>93</v>
      </c>
      <c r="F1483" t="s">
        <v>1094</v>
      </c>
      <c r="H1483" s="1" t="s">
        <v>545</v>
      </c>
      <c r="J1483" s="149">
        <v>150000</v>
      </c>
    </row>
    <row r="1484" spans="1:11" x14ac:dyDescent="0.25">
      <c r="A1484" s="68">
        <v>45621</v>
      </c>
      <c r="B1484" s="141">
        <f t="shared" si="51"/>
        <v>11</v>
      </c>
      <c r="C1484" s="25">
        <f t="shared" si="50"/>
        <v>2024</v>
      </c>
      <c r="D1484" s="76" t="s">
        <v>352</v>
      </c>
      <c r="E1484" s="170" t="s">
        <v>93</v>
      </c>
      <c r="F1484" t="s">
        <v>1171</v>
      </c>
      <c r="H1484" s="1" t="s">
        <v>130</v>
      </c>
      <c r="J1484" s="149">
        <v>300000</v>
      </c>
    </row>
    <row r="1485" spans="1:11" x14ac:dyDescent="0.25">
      <c r="A1485" s="68">
        <v>45619</v>
      </c>
      <c r="B1485" s="141">
        <f t="shared" si="51"/>
        <v>11</v>
      </c>
      <c r="C1485" s="25">
        <f t="shared" si="50"/>
        <v>2024</v>
      </c>
      <c r="D1485" s="76" t="s">
        <v>352</v>
      </c>
      <c r="E1485" s="170" t="s">
        <v>93</v>
      </c>
      <c r="F1485" t="s">
        <v>1184</v>
      </c>
      <c r="H1485" s="1" t="s">
        <v>130</v>
      </c>
      <c r="J1485" s="149">
        <v>124000</v>
      </c>
    </row>
    <row r="1486" spans="1:11" x14ac:dyDescent="0.25">
      <c r="A1486" s="68">
        <v>45621</v>
      </c>
      <c r="B1486" s="141">
        <f t="shared" si="51"/>
        <v>11</v>
      </c>
      <c r="C1486" s="25">
        <f t="shared" si="50"/>
        <v>2024</v>
      </c>
      <c r="D1486" s="76" t="s">
        <v>352</v>
      </c>
      <c r="E1486" s="170" t="s">
        <v>93</v>
      </c>
      <c r="F1486" t="s">
        <v>1180</v>
      </c>
      <c r="H1486" s="1" t="s">
        <v>545</v>
      </c>
      <c r="J1486" s="149">
        <v>306000</v>
      </c>
    </row>
    <row r="1487" spans="1:11" x14ac:dyDescent="0.25">
      <c r="A1487" s="68">
        <v>45621</v>
      </c>
      <c r="B1487" s="141">
        <f t="shared" si="51"/>
        <v>11</v>
      </c>
      <c r="C1487" s="25">
        <f t="shared" si="50"/>
        <v>2024</v>
      </c>
      <c r="D1487" s="76" t="s">
        <v>124</v>
      </c>
      <c r="E1487" s="170" t="s">
        <v>93</v>
      </c>
      <c r="F1487" t="s">
        <v>904</v>
      </c>
      <c r="H1487" s="1" t="s">
        <v>130</v>
      </c>
      <c r="K1487" s="149">
        <v>550000</v>
      </c>
    </row>
    <row r="1488" spans="1:11" x14ac:dyDescent="0.25">
      <c r="A1488" s="68">
        <v>45621</v>
      </c>
      <c r="B1488" s="141">
        <f t="shared" si="51"/>
        <v>11</v>
      </c>
      <c r="C1488" s="25">
        <f t="shared" si="50"/>
        <v>2024</v>
      </c>
      <c r="D1488" s="76" t="s">
        <v>149</v>
      </c>
      <c r="E1488" s="170" t="s">
        <v>92</v>
      </c>
      <c r="F1488" t="s">
        <v>593</v>
      </c>
      <c r="H1488" s="1" t="s">
        <v>92</v>
      </c>
      <c r="K1488" s="149">
        <v>250000</v>
      </c>
    </row>
    <row r="1489" spans="1:11" x14ac:dyDescent="0.25">
      <c r="A1489" s="68">
        <v>45621</v>
      </c>
      <c r="B1489" s="141">
        <f t="shared" si="51"/>
        <v>11</v>
      </c>
      <c r="C1489" s="25">
        <f t="shared" si="50"/>
        <v>2024</v>
      </c>
      <c r="D1489" s="76" t="s">
        <v>124</v>
      </c>
      <c r="E1489" s="170" t="s">
        <v>93</v>
      </c>
      <c r="F1489" t="s">
        <v>1053</v>
      </c>
      <c r="H1489" s="1" t="s">
        <v>130</v>
      </c>
      <c r="K1489" s="149">
        <v>3152050</v>
      </c>
    </row>
    <row r="1490" spans="1:11" x14ac:dyDescent="0.25">
      <c r="A1490" s="68">
        <v>45621</v>
      </c>
      <c r="B1490" s="141">
        <f t="shared" si="51"/>
        <v>11</v>
      </c>
      <c r="C1490" s="25">
        <f t="shared" si="50"/>
        <v>2024</v>
      </c>
      <c r="D1490" s="76" t="s">
        <v>352</v>
      </c>
      <c r="E1490" s="170" t="s">
        <v>93</v>
      </c>
      <c r="F1490" t="s">
        <v>1187</v>
      </c>
      <c r="H1490" s="1" t="s">
        <v>130</v>
      </c>
      <c r="J1490" s="149">
        <v>160000</v>
      </c>
    </row>
    <row r="1491" spans="1:11" x14ac:dyDescent="0.25">
      <c r="A1491" s="68">
        <v>45621</v>
      </c>
      <c r="B1491" s="141">
        <f t="shared" si="51"/>
        <v>11</v>
      </c>
      <c r="C1491" s="25">
        <f t="shared" si="50"/>
        <v>2024</v>
      </c>
      <c r="D1491" s="76" t="s">
        <v>352</v>
      </c>
      <c r="E1491" s="170" t="s">
        <v>93</v>
      </c>
      <c r="F1491" t="s">
        <v>1188</v>
      </c>
      <c r="H1491" s="1" t="s">
        <v>130</v>
      </c>
      <c r="J1491" s="149">
        <v>70000</v>
      </c>
    </row>
    <row r="1492" spans="1:11" x14ac:dyDescent="0.25">
      <c r="A1492" s="68">
        <v>45622</v>
      </c>
      <c r="B1492" s="141">
        <f t="shared" si="51"/>
        <v>11</v>
      </c>
      <c r="C1492" s="25">
        <f t="shared" si="50"/>
        <v>2024</v>
      </c>
      <c r="D1492" s="76" t="s">
        <v>352</v>
      </c>
      <c r="E1492" s="170" t="s">
        <v>93</v>
      </c>
      <c r="F1492" t="s">
        <v>1190</v>
      </c>
      <c r="H1492" s="1" t="s">
        <v>130</v>
      </c>
      <c r="J1492" s="149">
        <v>35000</v>
      </c>
    </row>
    <row r="1493" spans="1:11" x14ac:dyDescent="0.25">
      <c r="A1493" s="68">
        <v>45622</v>
      </c>
      <c r="B1493" s="141">
        <f t="shared" si="51"/>
        <v>11</v>
      </c>
      <c r="C1493" s="25">
        <f t="shared" si="50"/>
        <v>2024</v>
      </c>
      <c r="D1493" s="76" t="s">
        <v>352</v>
      </c>
      <c r="E1493" s="170" t="s">
        <v>93</v>
      </c>
      <c r="F1493" t="s">
        <v>1191</v>
      </c>
      <c r="H1493" s="1" t="s">
        <v>130</v>
      </c>
      <c r="J1493" s="149">
        <v>107000</v>
      </c>
    </row>
    <row r="1494" spans="1:11" x14ac:dyDescent="0.25">
      <c r="A1494" s="68">
        <v>45622</v>
      </c>
      <c r="B1494" s="141">
        <f t="shared" si="51"/>
        <v>11</v>
      </c>
      <c r="C1494" s="25">
        <f t="shared" si="50"/>
        <v>2024</v>
      </c>
      <c r="D1494" s="76" t="s">
        <v>352</v>
      </c>
      <c r="E1494" s="170" t="s">
        <v>93</v>
      </c>
      <c r="F1494" t="s">
        <v>1192</v>
      </c>
      <c r="H1494" s="1" t="s">
        <v>130</v>
      </c>
      <c r="J1494" s="149">
        <v>114000</v>
      </c>
    </row>
    <row r="1495" spans="1:11" x14ac:dyDescent="0.25">
      <c r="A1495" s="68">
        <v>45619</v>
      </c>
      <c r="B1495" s="141">
        <f t="shared" si="51"/>
        <v>11</v>
      </c>
      <c r="C1495" s="25">
        <f t="shared" si="50"/>
        <v>2024</v>
      </c>
      <c r="D1495" s="76" t="s">
        <v>92</v>
      </c>
      <c r="E1495" s="170" t="s">
        <v>92</v>
      </c>
      <c r="H1495" s="1" t="s">
        <v>92</v>
      </c>
      <c r="K1495" s="149">
        <v>130000</v>
      </c>
    </row>
    <row r="1496" spans="1:11" x14ac:dyDescent="0.25">
      <c r="A1496" s="68">
        <v>45623</v>
      </c>
      <c r="B1496" s="141">
        <f t="shared" si="51"/>
        <v>11</v>
      </c>
      <c r="C1496" s="25">
        <f t="shared" si="50"/>
        <v>2024</v>
      </c>
      <c r="D1496" s="76" t="s">
        <v>352</v>
      </c>
      <c r="E1496" s="170" t="s">
        <v>93</v>
      </c>
      <c r="F1496" t="s">
        <v>1066</v>
      </c>
      <c r="H1496" s="1" t="s">
        <v>130</v>
      </c>
      <c r="J1496" s="149">
        <v>120000</v>
      </c>
    </row>
    <row r="1497" spans="1:11" x14ac:dyDescent="0.25">
      <c r="A1497" s="68">
        <v>45623</v>
      </c>
      <c r="B1497" s="141">
        <f t="shared" si="51"/>
        <v>11</v>
      </c>
      <c r="C1497" s="25">
        <f t="shared" si="50"/>
        <v>2024</v>
      </c>
      <c r="D1497" s="76" t="s">
        <v>352</v>
      </c>
      <c r="E1497" s="170" t="s">
        <v>93</v>
      </c>
      <c r="F1497" t="s">
        <v>1193</v>
      </c>
      <c r="H1497" s="1" t="s">
        <v>130</v>
      </c>
      <c r="J1497" s="149">
        <v>200000</v>
      </c>
    </row>
    <row r="1498" spans="1:11" x14ac:dyDescent="0.25">
      <c r="A1498" s="68">
        <v>45623</v>
      </c>
      <c r="B1498" s="141">
        <f t="shared" si="51"/>
        <v>11</v>
      </c>
      <c r="C1498" s="25">
        <f t="shared" si="50"/>
        <v>2024</v>
      </c>
      <c r="D1498" s="76" t="s">
        <v>352</v>
      </c>
      <c r="E1498" s="170" t="s">
        <v>93</v>
      </c>
      <c r="F1498" t="s">
        <v>1194</v>
      </c>
      <c r="H1498" s="1" t="s">
        <v>130</v>
      </c>
      <c r="J1498" s="149">
        <v>151000</v>
      </c>
    </row>
    <row r="1499" spans="1:11" x14ac:dyDescent="0.25">
      <c r="A1499" s="68">
        <v>45623</v>
      </c>
      <c r="B1499" s="141">
        <f t="shared" si="51"/>
        <v>11</v>
      </c>
      <c r="C1499" s="25">
        <f t="shared" si="50"/>
        <v>2024</v>
      </c>
      <c r="D1499" s="76" t="s">
        <v>352</v>
      </c>
      <c r="E1499" s="170" t="s">
        <v>93</v>
      </c>
      <c r="F1499" t="s">
        <v>555</v>
      </c>
      <c r="H1499" s="1" t="s">
        <v>130</v>
      </c>
      <c r="J1499" s="149">
        <v>35000</v>
      </c>
    </row>
    <row r="1500" spans="1:11" x14ac:dyDescent="0.25">
      <c r="A1500" s="68">
        <v>45623</v>
      </c>
      <c r="B1500" s="141">
        <f t="shared" si="51"/>
        <v>11</v>
      </c>
      <c r="C1500" s="25">
        <f t="shared" si="50"/>
        <v>2024</v>
      </c>
      <c r="D1500" s="76" t="s">
        <v>352</v>
      </c>
      <c r="E1500" s="170" t="s">
        <v>93</v>
      </c>
      <c r="F1500" t="s">
        <v>1158</v>
      </c>
      <c r="H1500" s="1" t="s">
        <v>130</v>
      </c>
      <c r="J1500" s="149">
        <v>588500</v>
      </c>
    </row>
    <row r="1501" spans="1:11" x14ac:dyDescent="0.25">
      <c r="A1501" s="68">
        <v>45624</v>
      </c>
      <c r="B1501" s="141">
        <f t="shared" si="51"/>
        <v>11</v>
      </c>
      <c r="C1501" s="25">
        <f t="shared" si="50"/>
        <v>2024</v>
      </c>
      <c r="D1501" s="76" t="s">
        <v>352</v>
      </c>
      <c r="E1501" s="170" t="s">
        <v>93</v>
      </c>
      <c r="F1501" t="s">
        <v>422</v>
      </c>
      <c r="H1501" s="1" t="s">
        <v>131</v>
      </c>
      <c r="J1501" s="149">
        <v>157105</v>
      </c>
    </row>
    <row r="1502" spans="1:11" x14ac:dyDescent="0.25">
      <c r="A1502" s="68">
        <v>45624</v>
      </c>
      <c r="B1502" s="141">
        <f t="shared" si="51"/>
        <v>11</v>
      </c>
      <c r="C1502" s="25">
        <f t="shared" si="50"/>
        <v>2024</v>
      </c>
      <c r="D1502" s="76" t="s">
        <v>352</v>
      </c>
      <c r="E1502" s="170" t="s">
        <v>93</v>
      </c>
      <c r="F1502" t="s">
        <v>422</v>
      </c>
      <c r="H1502" s="1" t="s">
        <v>545</v>
      </c>
      <c r="J1502" s="149">
        <v>327895</v>
      </c>
    </row>
    <row r="1503" spans="1:11" x14ac:dyDescent="0.25">
      <c r="A1503" s="68">
        <v>45624</v>
      </c>
      <c r="B1503" s="141">
        <f t="shared" si="51"/>
        <v>11</v>
      </c>
      <c r="C1503" s="25">
        <f t="shared" si="50"/>
        <v>2024</v>
      </c>
      <c r="D1503" s="76" t="s">
        <v>352</v>
      </c>
      <c r="E1503" s="170" t="s">
        <v>93</v>
      </c>
      <c r="F1503" t="s">
        <v>773</v>
      </c>
      <c r="H1503" s="1" t="s">
        <v>130</v>
      </c>
      <c r="J1503" s="149">
        <v>491000</v>
      </c>
    </row>
    <row r="1504" spans="1:11" x14ac:dyDescent="0.25">
      <c r="A1504" s="68">
        <v>45625</v>
      </c>
      <c r="B1504" s="141">
        <f t="shared" si="51"/>
        <v>11</v>
      </c>
      <c r="C1504" s="25">
        <f t="shared" si="50"/>
        <v>2024</v>
      </c>
      <c r="D1504" s="76" t="s">
        <v>352</v>
      </c>
      <c r="E1504" s="170" t="s">
        <v>93</v>
      </c>
      <c r="F1504" t="s">
        <v>1037</v>
      </c>
      <c r="H1504" s="1" t="s">
        <v>130</v>
      </c>
      <c r="J1504" s="149">
        <v>230000</v>
      </c>
    </row>
    <row r="1505" spans="1:11" x14ac:dyDescent="0.25">
      <c r="A1505" s="68">
        <v>45625</v>
      </c>
      <c r="B1505" s="141">
        <f t="shared" si="51"/>
        <v>11</v>
      </c>
      <c r="C1505" s="25">
        <f t="shared" si="50"/>
        <v>2024</v>
      </c>
      <c r="D1505" s="76" t="s">
        <v>352</v>
      </c>
      <c r="E1505" s="170" t="s">
        <v>93</v>
      </c>
      <c r="F1505" t="s">
        <v>1195</v>
      </c>
      <c r="H1505" s="1" t="s">
        <v>130</v>
      </c>
      <c r="J1505" s="149">
        <v>214000</v>
      </c>
    </row>
    <row r="1506" spans="1:11" x14ac:dyDescent="0.25">
      <c r="A1506" s="68">
        <v>45624</v>
      </c>
      <c r="B1506" s="141">
        <f t="shared" si="51"/>
        <v>11</v>
      </c>
      <c r="C1506" s="25">
        <f t="shared" si="50"/>
        <v>2024</v>
      </c>
      <c r="D1506" s="76" t="s">
        <v>92</v>
      </c>
      <c r="E1506" s="170" t="s">
        <v>92</v>
      </c>
      <c r="H1506" s="1" t="s">
        <v>92</v>
      </c>
      <c r="K1506" s="149">
        <v>200000</v>
      </c>
    </row>
    <row r="1507" spans="1:11" x14ac:dyDescent="0.25">
      <c r="A1507" s="68">
        <v>45625</v>
      </c>
      <c r="B1507" s="141">
        <f t="shared" si="51"/>
        <v>11</v>
      </c>
      <c r="C1507" s="25">
        <f t="shared" si="50"/>
        <v>2024</v>
      </c>
      <c r="D1507" s="76" t="s">
        <v>352</v>
      </c>
      <c r="E1507" s="170" t="s">
        <v>93</v>
      </c>
      <c r="F1507" t="s">
        <v>1196</v>
      </c>
      <c r="H1507" s="1" t="s">
        <v>130</v>
      </c>
      <c r="J1507" s="149">
        <v>94000</v>
      </c>
    </row>
    <row r="1508" spans="1:11" x14ac:dyDescent="0.25">
      <c r="A1508" s="68">
        <v>45625</v>
      </c>
      <c r="B1508" s="141">
        <f t="shared" si="51"/>
        <v>11</v>
      </c>
      <c r="C1508" s="25">
        <f t="shared" si="50"/>
        <v>2024</v>
      </c>
      <c r="D1508" s="76" t="s">
        <v>352</v>
      </c>
      <c r="E1508" s="170" t="s">
        <v>93</v>
      </c>
      <c r="F1508" t="s">
        <v>1197</v>
      </c>
      <c r="H1508" s="1" t="s">
        <v>131</v>
      </c>
      <c r="J1508" s="149">
        <v>158400</v>
      </c>
    </row>
    <row r="1509" spans="1:11" x14ac:dyDescent="0.25">
      <c r="A1509" s="68">
        <v>45627</v>
      </c>
      <c r="B1509" s="141">
        <f t="shared" si="51"/>
        <v>12</v>
      </c>
      <c r="C1509" s="25">
        <f t="shared" si="50"/>
        <v>2024</v>
      </c>
      <c r="D1509" s="76" t="s">
        <v>352</v>
      </c>
      <c r="E1509" s="170" t="s">
        <v>93</v>
      </c>
      <c r="F1509" t="s">
        <v>1165</v>
      </c>
      <c r="H1509" s="1" t="s">
        <v>130</v>
      </c>
      <c r="J1509" s="149">
        <v>50000</v>
      </c>
    </row>
    <row r="1510" spans="1:11" x14ac:dyDescent="0.25">
      <c r="A1510" s="68">
        <v>45629</v>
      </c>
      <c r="B1510" s="141">
        <f t="shared" si="51"/>
        <v>12</v>
      </c>
      <c r="C1510" s="25">
        <f t="shared" si="50"/>
        <v>2024</v>
      </c>
      <c r="D1510" s="76" t="s">
        <v>352</v>
      </c>
      <c r="E1510" s="170" t="s">
        <v>93</v>
      </c>
      <c r="F1510" t="s">
        <v>641</v>
      </c>
      <c r="H1510" s="1" t="s">
        <v>130</v>
      </c>
      <c r="J1510" s="149">
        <v>408422.82</v>
      </c>
    </row>
    <row r="1511" spans="1:11" x14ac:dyDescent="0.25">
      <c r="A1511" s="68">
        <v>45630</v>
      </c>
      <c r="B1511" s="141">
        <f t="shared" si="51"/>
        <v>12</v>
      </c>
      <c r="C1511" s="25">
        <f t="shared" si="50"/>
        <v>2024</v>
      </c>
      <c r="D1511" s="76" t="s">
        <v>352</v>
      </c>
      <c r="E1511" s="170" t="s">
        <v>93</v>
      </c>
      <c r="F1511" t="s">
        <v>1172</v>
      </c>
      <c r="H1511" s="1" t="s">
        <v>130</v>
      </c>
      <c r="J1511" s="149">
        <v>91100</v>
      </c>
    </row>
    <row r="1512" spans="1:11" x14ac:dyDescent="0.25">
      <c r="B1512" s="141">
        <f t="shared" si="51"/>
        <v>1</v>
      </c>
      <c r="C1512" s="25">
        <f t="shared" si="50"/>
        <v>1900</v>
      </c>
    </row>
    <row r="1513" spans="1:11" x14ac:dyDescent="0.25">
      <c r="B1513" s="141">
        <f t="shared" si="51"/>
        <v>1</v>
      </c>
      <c r="C1513" s="25">
        <f t="shared" si="50"/>
        <v>1900</v>
      </c>
    </row>
    <row r="1514" spans="1:11" x14ac:dyDescent="0.25">
      <c r="B1514" s="141">
        <f t="shared" si="51"/>
        <v>1</v>
      </c>
      <c r="C1514" s="25">
        <f t="shared" si="50"/>
        <v>1900</v>
      </c>
    </row>
    <row r="1515" spans="1:11" x14ac:dyDescent="0.25">
      <c r="B1515" s="141">
        <f t="shared" si="51"/>
        <v>1</v>
      </c>
      <c r="C1515" s="25">
        <f t="shared" si="50"/>
        <v>1900</v>
      </c>
    </row>
    <row r="1516" spans="1:11" x14ac:dyDescent="0.25">
      <c r="B1516" s="141">
        <f t="shared" si="51"/>
        <v>1</v>
      </c>
      <c r="C1516" s="25">
        <f t="shared" si="50"/>
        <v>1900</v>
      </c>
    </row>
    <row r="1517" spans="1:11" x14ac:dyDescent="0.25">
      <c r="B1517" s="141">
        <f t="shared" si="51"/>
        <v>1</v>
      </c>
      <c r="C1517" s="25">
        <f t="shared" si="50"/>
        <v>1900</v>
      </c>
    </row>
    <row r="1518" spans="1:11" x14ac:dyDescent="0.25">
      <c r="B1518" s="141">
        <f t="shared" si="51"/>
        <v>1</v>
      </c>
      <c r="C1518" s="25">
        <f t="shared" si="50"/>
        <v>1900</v>
      </c>
    </row>
    <row r="1519" spans="1:11" x14ac:dyDescent="0.25">
      <c r="B1519" s="141">
        <f t="shared" si="51"/>
        <v>1</v>
      </c>
      <c r="C1519" s="25">
        <f t="shared" si="50"/>
        <v>1900</v>
      </c>
    </row>
    <row r="1520" spans="1:11" x14ac:dyDescent="0.25">
      <c r="B1520" s="141">
        <f t="shared" si="51"/>
        <v>1</v>
      </c>
      <c r="C1520" s="25">
        <f t="shared" si="50"/>
        <v>1900</v>
      </c>
    </row>
    <row r="1521" spans="2:3" x14ac:dyDescent="0.25">
      <c r="B1521" s="141">
        <f t="shared" si="51"/>
        <v>1</v>
      </c>
      <c r="C1521" s="25">
        <f t="shared" si="50"/>
        <v>1900</v>
      </c>
    </row>
    <row r="1522" spans="2:3" x14ac:dyDescent="0.25">
      <c r="B1522" s="141">
        <f t="shared" si="51"/>
        <v>1</v>
      </c>
      <c r="C1522" s="25">
        <f t="shared" si="50"/>
        <v>1900</v>
      </c>
    </row>
    <row r="1523" spans="2:3" x14ac:dyDescent="0.25">
      <c r="B1523" s="141">
        <f t="shared" si="51"/>
        <v>1</v>
      </c>
      <c r="C1523" s="25">
        <f t="shared" si="50"/>
        <v>1900</v>
      </c>
    </row>
    <row r="1524" spans="2:3" x14ac:dyDescent="0.25">
      <c r="B1524" s="141">
        <f t="shared" si="51"/>
        <v>1</v>
      </c>
      <c r="C1524" s="25">
        <f t="shared" si="50"/>
        <v>1900</v>
      </c>
    </row>
    <row r="1525" spans="2:3" x14ac:dyDescent="0.25">
      <c r="B1525" s="141">
        <f t="shared" si="51"/>
        <v>1</v>
      </c>
      <c r="C1525" s="25">
        <f t="shared" si="50"/>
        <v>1900</v>
      </c>
    </row>
    <row r="1526" spans="2:3" x14ac:dyDescent="0.25">
      <c r="B1526" s="141">
        <f t="shared" si="51"/>
        <v>1</v>
      </c>
      <c r="C1526" s="25">
        <f t="shared" si="50"/>
        <v>1900</v>
      </c>
    </row>
    <row r="1527" spans="2:3" x14ac:dyDescent="0.25">
      <c r="B1527" s="141">
        <f t="shared" si="51"/>
        <v>1</v>
      </c>
      <c r="C1527" s="25">
        <f t="shared" si="50"/>
        <v>1900</v>
      </c>
    </row>
    <row r="1528" spans="2:3" x14ac:dyDescent="0.25">
      <c r="B1528" s="141">
        <f t="shared" si="51"/>
        <v>1</v>
      </c>
      <c r="C1528" s="25">
        <f t="shared" si="50"/>
        <v>1900</v>
      </c>
    </row>
    <row r="1529" spans="2:3" x14ac:dyDescent="0.25">
      <c r="B1529" s="141">
        <f t="shared" si="51"/>
        <v>1</v>
      </c>
      <c r="C1529" s="25">
        <f t="shared" si="50"/>
        <v>1900</v>
      </c>
    </row>
    <row r="1530" spans="2:3" x14ac:dyDescent="0.25">
      <c r="B1530" s="141">
        <f t="shared" si="51"/>
        <v>1</v>
      </c>
      <c r="C1530" s="25">
        <f t="shared" si="50"/>
        <v>1900</v>
      </c>
    </row>
    <row r="1531" spans="2:3" x14ac:dyDescent="0.25">
      <c r="B1531" s="141">
        <f t="shared" si="51"/>
        <v>1</v>
      </c>
      <c r="C1531" s="25">
        <f t="shared" si="50"/>
        <v>1900</v>
      </c>
    </row>
    <row r="1532" spans="2:3" x14ac:dyDescent="0.25">
      <c r="B1532" s="141">
        <f t="shared" si="51"/>
        <v>1</v>
      </c>
      <c r="C1532" s="25">
        <f t="shared" si="50"/>
        <v>1900</v>
      </c>
    </row>
    <row r="1533" spans="2:3" x14ac:dyDescent="0.25">
      <c r="B1533" s="141">
        <f t="shared" si="51"/>
        <v>1</v>
      </c>
      <c r="C1533" s="25">
        <f t="shared" si="50"/>
        <v>1900</v>
      </c>
    </row>
    <row r="1534" spans="2:3" x14ac:dyDescent="0.25">
      <c r="B1534" s="141">
        <f t="shared" si="51"/>
        <v>1</v>
      </c>
      <c r="C1534" s="25">
        <f t="shared" si="50"/>
        <v>1900</v>
      </c>
    </row>
    <row r="1535" spans="2:3" x14ac:dyDescent="0.25">
      <c r="B1535" s="141">
        <f t="shared" si="51"/>
        <v>1</v>
      </c>
      <c r="C1535" s="25">
        <f t="shared" ref="C1535:C1598" si="52">YEAR((A1535))</f>
        <v>1900</v>
      </c>
    </row>
    <row r="1536" spans="2:3" x14ac:dyDescent="0.25">
      <c r="B1536" s="141">
        <f t="shared" si="51"/>
        <v>1</v>
      </c>
      <c r="C1536" s="25">
        <f t="shared" si="52"/>
        <v>1900</v>
      </c>
    </row>
    <row r="1537" spans="2:3" x14ac:dyDescent="0.25">
      <c r="B1537" s="141">
        <f t="shared" si="51"/>
        <v>1</v>
      </c>
      <c r="C1537" s="25">
        <f t="shared" si="52"/>
        <v>1900</v>
      </c>
    </row>
    <row r="1538" spans="2:3" x14ac:dyDescent="0.25">
      <c r="B1538" s="141">
        <f t="shared" si="51"/>
        <v>1</v>
      </c>
      <c r="C1538" s="25">
        <f t="shared" si="52"/>
        <v>1900</v>
      </c>
    </row>
    <row r="1539" spans="2:3" x14ac:dyDescent="0.25">
      <c r="B1539" s="141">
        <f t="shared" ref="B1539:B1602" si="53">MONTH(A1539)</f>
        <v>1</v>
      </c>
      <c r="C1539" s="25">
        <f t="shared" si="52"/>
        <v>1900</v>
      </c>
    </row>
    <row r="1540" spans="2:3" x14ac:dyDescent="0.25">
      <c r="B1540" s="141">
        <f t="shared" si="53"/>
        <v>1</v>
      </c>
      <c r="C1540" s="25">
        <f t="shared" si="52"/>
        <v>1900</v>
      </c>
    </row>
    <row r="1541" spans="2:3" x14ac:dyDescent="0.25">
      <c r="B1541" s="141">
        <f t="shared" si="53"/>
        <v>1</v>
      </c>
      <c r="C1541" s="25">
        <f t="shared" si="52"/>
        <v>1900</v>
      </c>
    </row>
    <row r="1542" spans="2:3" x14ac:dyDescent="0.25">
      <c r="B1542" s="141">
        <f t="shared" si="53"/>
        <v>1</v>
      </c>
      <c r="C1542" s="25">
        <f t="shared" si="52"/>
        <v>1900</v>
      </c>
    </row>
    <row r="1543" spans="2:3" x14ac:dyDescent="0.25">
      <c r="B1543" s="141">
        <f t="shared" si="53"/>
        <v>1</v>
      </c>
      <c r="C1543" s="25">
        <f t="shared" si="52"/>
        <v>1900</v>
      </c>
    </row>
    <row r="1544" spans="2:3" x14ac:dyDescent="0.25">
      <c r="B1544" s="141">
        <f t="shared" si="53"/>
        <v>1</v>
      </c>
      <c r="C1544" s="25">
        <f t="shared" si="52"/>
        <v>1900</v>
      </c>
    </row>
    <row r="1545" spans="2:3" x14ac:dyDescent="0.25">
      <c r="B1545" s="141">
        <f t="shared" si="53"/>
        <v>1</v>
      </c>
      <c r="C1545" s="25">
        <f t="shared" si="52"/>
        <v>1900</v>
      </c>
    </row>
    <row r="1546" spans="2:3" x14ac:dyDescent="0.25">
      <c r="B1546" s="141">
        <f t="shared" si="53"/>
        <v>1</v>
      </c>
      <c r="C1546" s="25">
        <f t="shared" si="52"/>
        <v>1900</v>
      </c>
    </row>
    <row r="1547" spans="2:3" x14ac:dyDescent="0.25">
      <c r="B1547" s="141">
        <f t="shared" si="53"/>
        <v>1</v>
      </c>
      <c r="C1547" s="25">
        <f t="shared" si="52"/>
        <v>1900</v>
      </c>
    </row>
    <row r="1548" spans="2:3" x14ac:dyDescent="0.25">
      <c r="B1548" s="141">
        <f t="shared" si="53"/>
        <v>1</v>
      </c>
      <c r="C1548" s="25">
        <f t="shared" si="52"/>
        <v>1900</v>
      </c>
    </row>
    <row r="1549" spans="2:3" x14ac:dyDescent="0.25">
      <c r="B1549" s="141">
        <f t="shared" si="53"/>
        <v>1</v>
      </c>
      <c r="C1549" s="25">
        <f t="shared" si="52"/>
        <v>1900</v>
      </c>
    </row>
    <row r="1550" spans="2:3" x14ac:dyDescent="0.25">
      <c r="B1550" s="141">
        <f t="shared" si="53"/>
        <v>1</v>
      </c>
      <c r="C1550" s="25">
        <f t="shared" si="52"/>
        <v>1900</v>
      </c>
    </row>
    <row r="1551" spans="2:3" x14ac:dyDescent="0.25">
      <c r="B1551" s="141">
        <f t="shared" si="53"/>
        <v>1</v>
      </c>
      <c r="C1551" s="25">
        <f t="shared" si="52"/>
        <v>1900</v>
      </c>
    </row>
    <row r="1552" spans="2:3" x14ac:dyDescent="0.25">
      <c r="B1552" s="141">
        <f t="shared" si="53"/>
        <v>1</v>
      </c>
      <c r="C1552" s="25">
        <f t="shared" si="52"/>
        <v>1900</v>
      </c>
    </row>
    <row r="1553" spans="2:3" x14ac:dyDescent="0.25">
      <c r="B1553" s="141">
        <f t="shared" si="53"/>
        <v>1</v>
      </c>
      <c r="C1553" s="25">
        <f t="shared" si="52"/>
        <v>1900</v>
      </c>
    </row>
    <row r="1554" spans="2:3" x14ac:dyDescent="0.25">
      <c r="B1554" s="141">
        <f t="shared" si="53"/>
        <v>1</v>
      </c>
      <c r="C1554" s="25">
        <f t="shared" si="52"/>
        <v>1900</v>
      </c>
    </row>
    <row r="1555" spans="2:3" x14ac:dyDescent="0.25">
      <c r="B1555" s="141">
        <f t="shared" si="53"/>
        <v>1</v>
      </c>
      <c r="C1555" s="25">
        <f t="shared" si="52"/>
        <v>1900</v>
      </c>
    </row>
    <row r="1556" spans="2:3" x14ac:dyDescent="0.25">
      <c r="B1556" s="141">
        <f t="shared" si="53"/>
        <v>1</v>
      </c>
      <c r="C1556" s="25">
        <f t="shared" si="52"/>
        <v>1900</v>
      </c>
    </row>
    <row r="1557" spans="2:3" x14ac:dyDescent="0.25">
      <c r="B1557" s="141">
        <f t="shared" si="53"/>
        <v>1</v>
      </c>
      <c r="C1557" s="25">
        <f t="shared" si="52"/>
        <v>1900</v>
      </c>
    </row>
    <row r="1558" spans="2:3" x14ac:dyDescent="0.25">
      <c r="B1558" s="141">
        <f t="shared" si="53"/>
        <v>1</v>
      </c>
      <c r="C1558" s="25">
        <f t="shared" si="52"/>
        <v>1900</v>
      </c>
    </row>
    <row r="1559" spans="2:3" x14ac:dyDescent="0.25">
      <c r="B1559" s="141">
        <f t="shared" si="53"/>
        <v>1</v>
      </c>
      <c r="C1559" s="25">
        <f t="shared" si="52"/>
        <v>1900</v>
      </c>
    </row>
    <row r="1560" spans="2:3" x14ac:dyDescent="0.25">
      <c r="B1560" s="141">
        <f t="shared" si="53"/>
        <v>1</v>
      </c>
      <c r="C1560" s="25">
        <f t="shared" si="52"/>
        <v>1900</v>
      </c>
    </row>
    <row r="1561" spans="2:3" x14ac:dyDescent="0.25">
      <c r="B1561" s="141">
        <f t="shared" si="53"/>
        <v>1</v>
      </c>
      <c r="C1561" s="25">
        <f t="shared" si="52"/>
        <v>1900</v>
      </c>
    </row>
    <row r="1562" spans="2:3" x14ac:dyDescent="0.25">
      <c r="B1562" s="141">
        <f t="shared" si="53"/>
        <v>1</v>
      </c>
      <c r="C1562" s="25">
        <f t="shared" si="52"/>
        <v>1900</v>
      </c>
    </row>
    <row r="1563" spans="2:3" x14ac:dyDescent="0.25">
      <c r="B1563" s="141">
        <f t="shared" si="53"/>
        <v>1</v>
      </c>
      <c r="C1563" s="25">
        <f t="shared" si="52"/>
        <v>1900</v>
      </c>
    </row>
    <row r="1564" spans="2:3" x14ac:dyDescent="0.25">
      <c r="B1564" s="141">
        <f t="shared" si="53"/>
        <v>1</v>
      </c>
      <c r="C1564" s="25">
        <f t="shared" si="52"/>
        <v>1900</v>
      </c>
    </row>
    <row r="1565" spans="2:3" x14ac:dyDescent="0.25">
      <c r="B1565" s="141">
        <f t="shared" si="53"/>
        <v>1</v>
      </c>
      <c r="C1565" s="25">
        <f t="shared" si="52"/>
        <v>1900</v>
      </c>
    </row>
    <row r="1566" spans="2:3" x14ac:dyDescent="0.25">
      <c r="B1566" s="141">
        <f t="shared" si="53"/>
        <v>1</v>
      </c>
      <c r="C1566" s="25">
        <f t="shared" si="52"/>
        <v>1900</v>
      </c>
    </row>
    <row r="1567" spans="2:3" x14ac:dyDescent="0.25">
      <c r="B1567" s="141">
        <f t="shared" si="53"/>
        <v>1</v>
      </c>
      <c r="C1567" s="25">
        <f t="shared" si="52"/>
        <v>1900</v>
      </c>
    </row>
    <row r="1568" spans="2:3" x14ac:dyDescent="0.25">
      <c r="B1568" s="141">
        <f t="shared" si="53"/>
        <v>1</v>
      </c>
      <c r="C1568" s="25">
        <f t="shared" si="52"/>
        <v>1900</v>
      </c>
    </row>
    <row r="1569" spans="2:3" x14ac:dyDescent="0.25">
      <c r="B1569" s="141">
        <f t="shared" si="53"/>
        <v>1</v>
      </c>
      <c r="C1569" s="25">
        <f t="shared" si="52"/>
        <v>1900</v>
      </c>
    </row>
    <row r="1570" spans="2:3" x14ac:dyDescent="0.25">
      <c r="B1570" s="141">
        <f t="shared" si="53"/>
        <v>1</v>
      </c>
      <c r="C1570" s="25">
        <f t="shared" si="52"/>
        <v>1900</v>
      </c>
    </row>
    <row r="1571" spans="2:3" x14ac:dyDescent="0.25">
      <c r="B1571" s="141">
        <f t="shared" si="53"/>
        <v>1</v>
      </c>
      <c r="C1571" s="25">
        <f t="shared" si="52"/>
        <v>1900</v>
      </c>
    </row>
    <row r="1572" spans="2:3" x14ac:dyDescent="0.25">
      <c r="B1572" s="141">
        <f t="shared" si="53"/>
        <v>1</v>
      </c>
      <c r="C1572" s="25">
        <f t="shared" si="52"/>
        <v>1900</v>
      </c>
    </row>
    <row r="1573" spans="2:3" x14ac:dyDescent="0.25">
      <c r="B1573" s="141">
        <f t="shared" si="53"/>
        <v>1</v>
      </c>
      <c r="C1573" s="25">
        <f t="shared" si="52"/>
        <v>1900</v>
      </c>
    </row>
    <row r="1574" spans="2:3" x14ac:dyDescent="0.25">
      <c r="B1574" s="141">
        <f t="shared" si="53"/>
        <v>1</v>
      </c>
      <c r="C1574" s="25">
        <f t="shared" si="52"/>
        <v>1900</v>
      </c>
    </row>
    <row r="1575" spans="2:3" x14ac:dyDescent="0.25">
      <c r="B1575" s="141">
        <f t="shared" si="53"/>
        <v>1</v>
      </c>
      <c r="C1575" s="25">
        <f t="shared" si="52"/>
        <v>1900</v>
      </c>
    </row>
    <row r="1576" spans="2:3" x14ac:dyDescent="0.25">
      <c r="B1576" s="141">
        <f t="shared" si="53"/>
        <v>1</v>
      </c>
      <c r="C1576" s="25">
        <f t="shared" si="52"/>
        <v>1900</v>
      </c>
    </row>
    <row r="1577" spans="2:3" x14ac:dyDescent="0.25">
      <c r="B1577" s="141">
        <f t="shared" si="53"/>
        <v>1</v>
      </c>
      <c r="C1577" s="25">
        <f t="shared" si="52"/>
        <v>1900</v>
      </c>
    </row>
    <row r="1578" spans="2:3" x14ac:dyDescent="0.25">
      <c r="B1578" s="141">
        <f t="shared" si="53"/>
        <v>1</v>
      </c>
      <c r="C1578" s="25">
        <f t="shared" si="52"/>
        <v>1900</v>
      </c>
    </row>
    <row r="1579" spans="2:3" x14ac:dyDescent="0.25">
      <c r="B1579" s="141">
        <f t="shared" si="53"/>
        <v>1</v>
      </c>
      <c r="C1579" s="25">
        <f t="shared" si="52"/>
        <v>1900</v>
      </c>
    </row>
    <row r="1580" spans="2:3" x14ac:dyDescent="0.25">
      <c r="B1580" s="141">
        <f t="shared" si="53"/>
        <v>1</v>
      </c>
      <c r="C1580" s="25">
        <f t="shared" si="52"/>
        <v>1900</v>
      </c>
    </row>
    <row r="1581" spans="2:3" x14ac:dyDescent="0.25">
      <c r="B1581" s="141">
        <f t="shared" si="53"/>
        <v>1</v>
      </c>
      <c r="C1581" s="25">
        <f t="shared" si="52"/>
        <v>1900</v>
      </c>
    </row>
    <row r="1582" spans="2:3" x14ac:dyDescent="0.25">
      <c r="B1582" s="141">
        <f t="shared" si="53"/>
        <v>1</v>
      </c>
      <c r="C1582" s="25">
        <f t="shared" si="52"/>
        <v>1900</v>
      </c>
    </row>
    <row r="1583" spans="2:3" x14ac:dyDescent="0.25">
      <c r="B1583" s="141">
        <f t="shared" si="53"/>
        <v>1</v>
      </c>
      <c r="C1583" s="25">
        <f t="shared" si="52"/>
        <v>1900</v>
      </c>
    </row>
    <row r="1584" spans="2:3" x14ac:dyDescent="0.25">
      <c r="B1584" s="141">
        <f t="shared" si="53"/>
        <v>1</v>
      </c>
      <c r="C1584" s="25">
        <f t="shared" si="52"/>
        <v>1900</v>
      </c>
    </row>
    <row r="1585" spans="2:3" x14ac:dyDescent="0.25">
      <c r="B1585" s="141">
        <f t="shared" si="53"/>
        <v>1</v>
      </c>
      <c r="C1585" s="25">
        <f t="shared" si="52"/>
        <v>1900</v>
      </c>
    </row>
    <row r="1586" spans="2:3" x14ac:dyDescent="0.25">
      <c r="B1586" s="141">
        <f t="shared" si="53"/>
        <v>1</v>
      </c>
      <c r="C1586" s="25">
        <f t="shared" si="52"/>
        <v>1900</v>
      </c>
    </row>
    <row r="1587" spans="2:3" x14ac:dyDescent="0.25">
      <c r="B1587" s="141">
        <f t="shared" si="53"/>
        <v>1</v>
      </c>
      <c r="C1587" s="25">
        <f t="shared" si="52"/>
        <v>1900</v>
      </c>
    </row>
    <row r="1588" spans="2:3" x14ac:dyDescent="0.25">
      <c r="B1588" s="141">
        <f t="shared" si="53"/>
        <v>1</v>
      </c>
      <c r="C1588" s="25">
        <f t="shared" si="52"/>
        <v>1900</v>
      </c>
    </row>
    <row r="1589" spans="2:3" x14ac:dyDescent="0.25">
      <c r="B1589" s="141">
        <f t="shared" si="53"/>
        <v>1</v>
      </c>
      <c r="C1589" s="25">
        <f t="shared" si="52"/>
        <v>1900</v>
      </c>
    </row>
    <row r="1590" spans="2:3" x14ac:dyDescent="0.25">
      <c r="B1590" s="141">
        <f t="shared" si="53"/>
        <v>1</v>
      </c>
      <c r="C1590" s="25">
        <f t="shared" si="52"/>
        <v>1900</v>
      </c>
    </row>
    <row r="1591" spans="2:3" x14ac:dyDescent="0.25">
      <c r="B1591" s="141">
        <f t="shared" si="53"/>
        <v>1</v>
      </c>
      <c r="C1591" s="25">
        <f t="shared" si="52"/>
        <v>1900</v>
      </c>
    </row>
    <row r="1592" spans="2:3" x14ac:dyDescent="0.25">
      <c r="B1592" s="141">
        <f t="shared" si="53"/>
        <v>1</v>
      </c>
      <c r="C1592" s="25">
        <f t="shared" si="52"/>
        <v>1900</v>
      </c>
    </row>
    <row r="1593" spans="2:3" x14ac:dyDescent="0.25">
      <c r="B1593" s="141">
        <f t="shared" si="53"/>
        <v>1</v>
      </c>
      <c r="C1593" s="25">
        <f t="shared" si="52"/>
        <v>1900</v>
      </c>
    </row>
    <row r="1594" spans="2:3" x14ac:dyDescent="0.25">
      <c r="B1594" s="141">
        <f t="shared" si="53"/>
        <v>1</v>
      </c>
      <c r="C1594" s="25">
        <f t="shared" si="52"/>
        <v>1900</v>
      </c>
    </row>
    <row r="1595" spans="2:3" x14ac:dyDescent="0.25">
      <c r="B1595" s="141">
        <f t="shared" si="53"/>
        <v>1</v>
      </c>
      <c r="C1595" s="25">
        <f t="shared" si="52"/>
        <v>1900</v>
      </c>
    </row>
    <row r="1596" spans="2:3" x14ac:dyDescent="0.25">
      <c r="B1596" s="141">
        <f t="shared" si="53"/>
        <v>1</v>
      </c>
      <c r="C1596" s="25">
        <f t="shared" si="52"/>
        <v>1900</v>
      </c>
    </row>
    <row r="1597" spans="2:3" x14ac:dyDescent="0.25">
      <c r="B1597" s="141">
        <f t="shared" si="53"/>
        <v>1</v>
      </c>
      <c r="C1597" s="25">
        <f t="shared" si="52"/>
        <v>1900</v>
      </c>
    </row>
    <row r="1598" spans="2:3" x14ac:dyDescent="0.25">
      <c r="B1598" s="141">
        <f t="shared" si="53"/>
        <v>1</v>
      </c>
      <c r="C1598" s="25">
        <f t="shared" si="52"/>
        <v>1900</v>
      </c>
    </row>
    <row r="1599" spans="2:3" x14ac:dyDescent="0.25">
      <c r="B1599" s="141">
        <f t="shared" si="53"/>
        <v>1</v>
      </c>
      <c r="C1599" s="25">
        <f t="shared" ref="C1599:C1662" si="54">YEAR((A1599))</f>
        <v>1900</v>
      </c>
    </row>
    <row r="1600" spans="2:3" x14ac:dyDescent="0.25">
      <c r="B1600" s="141">
        <f t="shared" si="53"/>
        <v>1</v>
      </c>
      <c r="C1600" s="25">
        <f t="shared" si="54"/>
        <v>1900</v>
      </c>
    </row>
    <row r="1601" spans="2:3" x14ac:dyDescent="0.25">
      <c r="B1601" s="141">
        <f t="shared" si="53"/>
        <v>1</v>
      </c>
      <c r="C1601" s="25">
        <f t="shared" si="54"/>
        <v>1900</v>
      </c>
    </row>
    <row r="1602" spans="2:3" x14ac:dyDescent="0.25">
      <c r="B1602" s="141">
        <f t="shared" si="53"/>
        <v>1</v>
      </c>
      <c r="C1602" s="25">
        <f t="shared" si="54"/>
        <v>1900</v>
      </c>
    </row>
    <row r="1603" spans="2:3" x14ac:dyDescent="0.25">
      <c r="B1603" s="141">
        <f t="shared" ref="B1603:B1666" si="55">MONTH(A1603)</f>
        <v>1</v>
      </c>
      <c r="C1603" s="25">
        <f t="shared" si="54"/>
        <v>1900</v>
      </c>
    </row>
    <row r="1604" spans="2:3" x14ac:dyDescent="0.25">
      <c r="B1604" s="141">
        <f t="shared" si="55"/>
        <v>1</v>
      </c>
      <c r="C1604" s="25">
        <f t="shared" si="54"/>
        <v>1900</v>
      </c>
    </row>
    <row r="1605" spans="2:3" x14ac:dyDescent="0.25">
      <c r="B1605" s="141">
        <f t="shared" si="55"/>
        <v>1</v>
      </c>
      <c r="C1605" s="25">
        <f t="shared" si="54"/>
        <v>1900</v>
      </c>
    </row>
    <row r="1606" spans="2:3" x14ac:dyDescent="0.25">
      <c r="B1606" s="141">
        <f t="shared" si="55"/>
        <v>1</v>
      </c>
      <c r="C1606" s="25">
        <f t="shared" si="54"/>
        <v>1900</v>
      </c>
    </row>
    <row r="1607" spans="2:3" x14ac:dyDescent="0.25">
      <c r="B1607" s="141">
        <f t="shared" si="55"/>
        <v>1</v>
      </c>
      <c r="C1607" s="25">
        <f t="shared" si="54"/>
        <v>1900</v>
      </c>
    </row>
    <row r="1608" spans="2:3" x14ac:dyDescent="0.25">
      <c r="B1608" s="141">
        <f t="shared" si="55"/>
        <v>1</v>
      </c>
      <c r="C1608" s="25">
        <f t="shared" si="54"/>
        <v>1900</v>
      </c>
    </row>
    <row r="1609" spans="2:3" x14ac:dyDescent="0.25">
      <c r="B1609" s="141">
        <f t="shared" si="55"/>
        <v>1</v>
      </c>
      <c r="C1609" s="25">
        <f t="shared" si="54"/>
        <v>1900</v>
      </c>
    </row>
    <row r="1610" spans="2:3" x14ac:dyDescent="0.25">
      <c r="B1610" s="141">
        <f t="shared" si="55"/>
        <v>1</v>
      </c>
      <c r="C1610" s="25">
        <f t="shared" si="54"/>
        <v>1900</v>
      </c>
    </row>
    <row r="1611" spans="2:3" x14ac:dyDescent="0.25">
      <c r="B1611" s="141">
        <f t="shared" si="55"/>
        <v>1</v>
      </c>
      <c r="C1611" s="25">
        <f t="shared" si="54"/>
        <v>1900</v>
      </c>
    </row>
    <row r="1612" spans="2:3" x14ac:dyDescent="0.25">
      <c r="B1612" s="141">
        <f t="shared" si="55"/>
        <v>1</v>
      </c>
      <c r="C1612" s="25">
        <f t="shared" si="54"/>
        <v>1900</v>
      </c>
    </row>
    <row r="1613" spans="2:3" x14ac:dyDescent="0.25">
      <c r="B1613" s="141">
        <f t="shared" si="55"/>
        <v>1</v>
      </c>
      <c r="C1613" s="25">
        <f t="shared" si="54"/>
        <v>1900</v>
      </c>
    </row>
    <row r="1614" spans="2:3" x14ac:dyDescent="0.25">
      <c r="B1614" s="141">
        <f t="shared" si="55"/>
        <v>1</v>
      </c>
      <c r="C1614" s="25">
        <f t="shared" si="54"/>
        <v>1900</v>
      </c>
    </row>
    <row r="1615" spans="2:3" x14ac:dyDescent="0.25">
      <c r="B1615" s="141">
        <f t="shared" si="55"/>
        <v>1</v>
      </c>
      <c r="C1615" s="25">
        <f t="shared" si="54"/>
        <v>1900</v>
      </c>
    </row>
    <row r="1616" spans="2:3" x14ac:dyDescent="0.25">
      <c r="B1616" s="141">
        <f t="shared" si="55"/>
        <v>1</v>
      </c>
      <c r="C1616" s="25">
        <f t="shared" si="54"/>
        <v>1900</v>
      </c>
    </row>
    <row r="1617" spans="2:3" x14ac:dyDescent="0.25">
      <c r="B1617" s="141">
        <f t="shared" si="55"/>
        <v>1</v>
      </c>
      <c r="C1617" s="25">
        <f t="shared" si="54"/>
        <v>1900</v>
      </c>
    </row>
    <row r="1618" spans="2:3" x14ac:dyDescent="0.25">
      <c r="B1618" s="141">
        <f t="shared" si="55"/>
        <v>1</v>
      </c>
      <c r="C1618" s="25">
        <f t="shared" si="54"/>
        <v>1900</v>
      </c>
    </row>
    <row r="1619" spans="2:3" x14ac:dyDescent="0.25">
      <c r="B1619" s="141">
        <f t="shared" si="55"/>
        <v>1</v>
      </c>
      <c r="C1619" s="25">
        <f t="shared" si="54"/>
        <v>1900</v>
      </c>
    </row>
    <row r="1620" spans="2:3" x14ac:dyDescent="0.25">
      <c r="B1620" s="141">
        <f t="shared" si="55"/>
        <v>1</v>
      </c>
      <c r="C1620" s="25">
        <f t="shared" si="54"/>
        <v>1900</v>
      </c>
    </row>
    <row r="1621" spans="2:3" x14ac:dyDescent="0.25">
      <c r="B1621" s="141">
        <f t="shared" si="55"/>
        <v>1</v>
      </c>
      <c r="C1621" s="25">
        <f t="shared" si="54"/>
        <v>1900</v>
      </c>
    </row>
    <row r="1622" spans="2:3" x14ac:dyDescent="0.25">
      <c r="B1622" s="141">
        <f t="shared" si="55"/>
        <v>1</v>
      </c>
      <c r="C1622" s="25">
        <f t="shared" si="54"/>
        <v>1900</v>
      </c>
    </row>
    <row r="1623" spans="2:3" x14ac:dyDescent="0.25">
      <c r="B1623" s="141">
        <f t="shared" si="55"/>
        <v>1</v>
      </c>
      <c r="C1623" s="25">
        <f t="shared" si="54"/>
        <v>1900</v>
      </c>
    </row>
    <row r="1624" spans="2:3" x14ac:dyDescent="0.25">
      <c r="B1624" s="141">
        <f t="shared" si="55"/>
        <v>1</v>
      </c>
      <c r="C1624" s="25">
        <f t="shared" si="54"/>
        <v>1900</v>
      </c>
    </row>
    <row r="1625" spans="2:3" x14ac:dyDescent="0.25">
      <c r="B1625" s="141">
        <f t="shared" si="55"/>
        <v>1</v>
      </c>
      <c r="C1625" s="25">
        <f t="shared" si="54"/>
        <v>1900</v>
      </c>
    </row>
    <row r="1626" spans="2:3" x14ac:dyDescent="0.25">
      <c r="B1626" s="141">
        <f t="shared" si="55"/>
        <v>1</v>
      </c>
      <c r="C1626" s="25">
        <f t="shared" si="54"/>
        <v>1900</v>
      </c>
    </row>
    <row r="1627" spans="2:3" x14ac:dyDescent="0.25">
      <c r="B1627" s="141">
        <f t="shared" si="55"/>
        <v>1</v>
      </c>
      <c r="C1627" s="25">
        <f t="shared" si="54"/>
        <v>1900</v>
      </c>
    </row>
    <row r="1628" spans="2:3" x14ac:dyDescent="0.25">
      <c r="B1628" s="141">
        <f t="shared" si="55"/>
        <v>1</v>
      </c>
      <c r="C1628" s="25">
        <f t="shared" si="54"/>
        <v>1900</v>
      </c>
    </row>
    <row r="1629" spans="2:3" x14ac:dyDescent="0.25">
      <c r="B1629" s="141">
        <f t="shared" si="55"/>
        <v>1</v>
      </c>
      <c r="C1629" s="25">
        <f t="shared" si="54"/>
        <v>1900</v>
      </c>
    </row>
    <row r="1630" spans="2:3" x14ac:dyDescent="0.25">
      <c r="B1630" s="141">
        <f t="shared" si="55"/>
        <v>1</v>
      </c>
      <c r="C1630" s="25">
        <f t="shared" si="54"/>
        <v>1900</v>
      </c>
    </row>
    <row r="1631" spans="2:3" x14ac:dyDescent="0.25">
      <c r="B1631" s="141">
        <f t="shared" si="55"/>
        <v>1</v>
      </c>
      <c r="C1631" s="25">
        <f t="shared" si="54"/>
        <v>1900</v>
      </c>
    </row>
    <row r="1632" spans="2:3" x14ac:dyDescent="0.25">
      <c r="B1632" s="141">
        <f t="shared" si="55"/>
        <v>1</v>
      </c>
      <c r="C1632" s="25">
        <f t="shared" si="54"/>
        <v>1900</v>
      </c>
    </row>
    <row r="1633" spans="2:3" x14ac:dyDescent="0.25">
      <c r="B1633" s="141">
        <f t="shared" si="55"/>
        <v>1</v>
      </c>
      <c r="C1633" s="25">
        <f t="shared" si="54"/>
        <v>1900</v>
      </c>
    </row>
    <row r="1634" spans="2:3" x14ac:dyDescent="0.25">
      <c r="B1634" s="141">
        <f t="shared" si="55"/>
        <v>1</v>
      </c>
      <c r="C1634" s="25">
        <f t="shared" si="54"/>
        <v>1900</v>
      </c>
    </row>
    <row r="1635" spans="2:3" x14ac:dyDescent="0.25">
      <c r="B1635" s="141">
        <f t="shared" si="55"/>
        <v>1</v>
      </c>
      <c r="C1635" s="25">
        <f t="shared" si="54"/>
        <v>1900</v>
      </c>
    </row>
    <row r="1636" spans="2:3" x14ac:dyDescent="0.25">
      <c r="B1636" s="141">
        <f t="shared" si="55"/>
        <v>1</v>
      </c>
      <c r="C1636" s="25">
        <f t="shared" si="54"/>
        <v>1900</v>
      </c>
    </row>
    <row r="1637" spans="2:3" x14ac:dyDescent="0.25">
      <c r="B1637" s="141">
        <f t="shared" si="55"/>
        <v>1</v>
      </c>
      <c r="C1637" s="25">
        <f t="shared" si="54"/>
        <v>1900</v>
      </c>
    </row>
    <row r="1638" spans="2:3" x14ac:dyDescent="0.25">
      <c r="B1638" s="141">
        <f t="shared" si="55"/>
        <v>1</v>
      </c>
      <c r="C1638" s="25">
        <f t="shared" si="54"/>
        <v>1900</v>
      </c>
    </row>
    <row r="1639" spans="2:3" x14ac:dyDescent="0.25">
      <c r="B1639" s="141">
        <f t="shared" si="55"/>
        <v>1</v>
      </c>
      <c r="C1639" s="25">
        <f t="shared" si="54"/>
        <v>1900</v>
      </c>
    </row>
    <row r="1640" spans="2:3" x14ac:dyDescent="0.25">
      <c r="B1640" s="141">
        <f t="shared" si="55"/>
        <v>1</v>
      </c>
      <c r="C1640" s="25">
        <f t="shared" si="54"/>
        <v>1900</v>
      </c>
    </row>
    <row r="1641" spans="2:3" x14ac:dyDescent="0.25">
      <c r="B1641" s="141">
        <f t="shared" si="55"/>
        <v>1</v>
      </c>
      <c r="C1641" s="25">
        <f t="shared" si="54"/>
        <v>1900</v>
      </c>
    </row>
    <row r="1642" spans="2:3" x14ac:dyDescent="0.25">
      <c r="B1642" s="141">
        <f t="shared" si="55"/>
        <v>1</v>
      </c>
      <c r="C1642" s="25">
        <f t="shared" si="54"/>
        <v>1900</v>
      </c>
    </row>
    <row r="1643" spans="2:3" x14ac:dyDescent="0.25">
      <c r="B1643" s="141">
        <f t="shared" si="55"/>
        <v>1</v>
      </c>
      <c r="C1643" s="25">
        <f t="shared" si="54"/>
        <v>1900</v>
      </c>
    </row>
    <row r="1644" spans="2:3" x14ac:dyDescent="0.25">
      <c r="B1644" s="141">
        <f t="shared" si="55"/>
        <v>1</v>
      </c>
      <c r="C1644" s="25">
        <f t="shared" si="54"/>
        <v>1900</v>
      </c>
    </row>
    <row r="1645" spans="2:3" x14ac:dyDescent="0.25">
      <c r="B1645" s="141">
        <f t="shared" si="55"/>
        <v>1</v>
      </c>
      <c r="C1645" s="25">
        <f t="shared" si="54"/>
        <v>1900</v>
      </c>
    </row>
    <row r="1646" spans="2:3" x14ac:dyDescent="0.25">
      <c r="B1646" s="141">
        <f t="shared" si="55"/>
        <v>1</v>
      </c>
      <c r="C1646" s="25">
        <f t="shared" si="54"/>
        <v>1900</v>
      </c>
    </row>
    <row r="1647" spans="2:3" x14ac:dyDescent="0.25">
      <c r="B1647" s="141">
        <f t="shared" si="55"/>
        <v>1</v>
      </c>
      <c r="C1647" s="25">
        <f t="shared" si="54"/>
        <v>1900</v>
      </c>
    </row>
    <row r="1648" spans="2:3" x14ac:dyDescent="0.25">
      <c r="B1648" s="141">
        <f t="shared" si="55"/>
        <v>1</v>
      </c>
      <c r="C1648" s="25">
        <f t="shared" si="54"/>
        <v>1900</v>
      </c>
    </row>
    <row r="1649" spans="2:3" x14ac:dyDescent="0.25">
      <c r="B1649" s="141">
        <f t="shared" si="55"/>
        <v>1</v>
      </c>
      <c r="C1649" s="25">
        <f t="shared" si="54"/>
        <v>1900</v>
      </c>
    </row>
    <row r="1650" spans="2:3" x14ac:dyDescent="0.25">
      <c r="B1650" s="141">
        <f t="shared" si="55"/>
        <v>1</v>
      </c>
      <c r="C1650" s="25">
        <f t="shared" si="54"/>
        <v>1900</v>
      </c>
    </row>
    <row r="1651" spans="2:3" x14ac:dyDescent="0.25">
      <c r="B1651" s="141">
        <f t="shared" si="55"/>
        <v>1</v>
      </c>
      <c r="C1651" s="25">
        <f t="shared" si="54"/>
        <v>1900</v>
      </c>
    </row>
    <row r="1652" spans="2:3" x14ac:dyDescent="0.25">
      <c r="B1652" s="141">
        <f t="shared" si="55"/>
        <v>1</v>
      </c>
      <c r="C1652" s="25">
        <f t="shared" si="54"/>
        <v>1900</v>
      </c>
    </row>
    <row r="1653" spans="2:3" x14ac:dyDescent="0.25">
      <c r="B1653" s="141">
        <f t="shared" si="55"/>
        <v>1</v>
      </c>
      <c r="C1653" s="25">
        <f t="shared" si="54"/>
        <v>1900</v>
      </c>
    </row>
    <row r="1654" spans="2:3" x14ac:dyDescent="0.25">
      <c r="B1654" s="141">
        <f t="shared" si="55"/>
        <v>1</v>
      </c>
      <c r="C1654" s="25">
        <f t="shared" si="54"/>
        <v>1900</v>
      </c>
    </row>
    <row r="1655" spans="2:3" x14ac:dyDescent="0.25">
      <c r="B1655" s="141">
        <f t="shared" si="55"/>
        <v>1</v>
      </c>
      <c r="C1655" s="25">
        <f t="shared" si="54"/>
        <v>1900</v>
      </c>
    </row>
    <row r="1656" spans="2:3" x14ac:dyDescent="0.25">
      <c r="B1656" s="141">
        <f t="shared" si="55"/>
        <v>1</v>
      </c>
      <c r="C1656" s="25">
        <f t="shared" si="54"/>
        <v>1900</v>
      </c>
    </row>
    <row r="1657" spans="2:3" x14ac:dyDescent="0.25">
      <c r="B1657" s="141">
        <f t="shared" si="55"/>
        <v>1</v>
      </c>
      <c r="C1657" s="25">
        <f t="shared" si="54"/>
        <v>1900</v>
      </c>
    </row>
    <row r="1658" spans="2:3" x14ac:dyDescent="0.25">
      <c r="B1658" s="141">
        <f t="shared" si="55"/>
        <v>1</v>
      </c>
      <c r="C1658" s="25">
        <f t="shared" si="54"/>
        <v>1900</v>
      </c>
    </row>
    <row r="1659" spans="2:3" x14ac:dyDescent="0.25">
      <c r="B1659" s="141">
        <f t="shared" si="55"/>
        <v>1</v>
      </c>
      <c r="C1659" s="25">
        <f t="shared" si="54"/>
        <v>1900</v>
      </c>
    </row>
    <row r="1660" spans="2:3" x14ac:dyDescent="0.25">
      <c r="B1660" s="141">
        <f t="shared" si="55"/>
        <v>1</v>
      </c>
      <c r="C1660" s="25">
        <f t="shared" si="54"/>
        <v>1900</v>
      </c>
    </row>
    <row r="1661" spans="2:3" x14ac:dyDescent="0.25">
      <c r="B1661" s="141">
        <f t="shared" si="55"/>
        <v>1</v>
      </c>
      <c r="C1661" s="25">
        <f t="shared" si="54"/>
        <v>1900</v>
      </c>
    </row>
    <row r="1662" spans="2:3" x14ac:dyDescent="0.25">
      <c r="B1662" s="141">
        <f t="shared" si="55"/>
        <v>1</v>
      </c>
      <c r="C1662" s="25">
        <f t="shared" si="54"/>
        <v>1900</v>
      </c>
    </row>
    <row r="1663" spans="2:3" x14ac:dyDescent="0.25">
      <c r="B1663" s="141">
        <f t="shared" si="55"/>
        <v>1</v>
      </c>
      <c r="C1663" s="25">
        <f t="shared" ref="C1663:C1726" si="56">YEAR((A1663))</f>
        <v>1900</v>
      </c>
    </row>
    <row r="1664" spans="2:3" x14ac:dyDescent="0.25">
      <c r="B1664" s="141">
        <f t="shared" si="55"/>
        <v>1</v>
      </c>
      <c r="C1664" s="25">
        <f t="shared" si="56"/>
        <v>1900</v>
      </c>
    </row>
    <row r="1665" spans="2:3" x14ac:dyDescent="0.25">
      <c r="B1665" s="141">
        <f t="shared" si="55"/>
        <v>1</v>
      </c>
      <c r="C1665" s="25">
        <f t="shared" si="56"/>
        <v>1900</v>
      </c>
    </row>
    <row r="1666" spans="2:3" x14ac:dyDescent="0.25">
      <c r="B1666" s="141">
        <f t="shared" si="55"/>
        <v>1</v>
      </c>
      <c r="C1666" s="25">
        <f t="shared" si="56"/>
        <v>1900</v>
      </c>
    </row>
    <row r="1667" spans="2:3" x14ac:dyDescent="0.25">
      <c r="B1667" s="141">
        <f t="shared" ref="B1667:B1730" si="57">MONTH(A1667)</f>
        <v>1</v>
      </c>
      <c r="C1667" s="25">
        <f t="shared" si="56"/>
        <v>1900</v>
      </c>
    </row>
    <row r="1668" spans="2:3" x14ac:dyDescent="0.25">
      <c r="B1668" s="141">
        <f t="shared" si="57"/>
        <v>1</v>
      </c>
      <c r="C1668" s="25">
        <f t="shared" si="56"/>
        <v>1900</v>
      </c>
    </row>
    <row r="1669" spans="2:3" x14ac:dyDescent="0.25">
      <c r="B1669" s="141">
        <f t="shared" si="57"/>
        <v>1</v>
      </c>
      <c r="C1669" s="25">
        <f t="shared" si="56"/>
        <v>1900</v>
      </c>
    </row>
    <row r="1670" spans="2:3" x14ac:dyDescent="0.25">
      <c r="B1670" s="141">
        <f t="shared" si="57"/>
        <v>1</v>
      </c>
      <c r="C1670" s="25">
        <f t="shared" si="56"/>
        <v>1900</v>
      </c>
    </row>
    <row r="1671" spans="2:3" x14ac:dyDescent="0.25">
      <c r="B1671" s="141">
        <f t="shared" si="57"/>
        <v>1</v>
      </c>
      <c r="C1671" s="25">
        <f t="shared" si="56"/>
        <v>1900</v>
      </c>
    </row>
    <row r="1672" spans="2:3" x14ac:dyDescent="0.25">
      <c r="B1672" s="141">
        <f t="shared" si="57"/>
        <v>1</v>
      </c>
      <c r="C1672" s="25">
        <f t="shared" si="56"/>
        <v>1900</v>
      </c>
    </row>
    <row r="1673" spans="2:3" x14ac:dyDescent="0.25">
      <c r="B1673" s="141">
        <f t="shared" si="57"/>
        <v>1</v>
      </c>
      <c r="C1673" s="25">
        <f t="shared" si="56"/>
        <v>1900</v>
      </c>
    </row>
    <row r="1674" spans="2:3" x14ac:dyDescent="0.25">
      <c r="B1674" s="141">
        <f t="shared" si="57"/>
        <v>1</v>
      </c>
      <c r="C1674" s="25">
        <f t="shared" si="56"/>
        <v>1900</v>
      </c>
    </row>
    <row r="1675" spans="2:3" x14ac:dyDescent="0.25">
      <c r="B1675" s="141">
        <f t="shared" si="57"/>
        <v>1</v>
      </c>
      <c r="C1675" s="25">
        <f t="shared" si="56"/>
        <v>1900</v>
      </c>
    </row>
    <row r="1676" spans="2:3" x14ac:dyDescent="0.25">
      <c r="B1676" s="141">
        <f t="shared" si="57"/>
        <v>1</v>
      </c>
      <c r="C1676" s="25">
        <f t="shared" si="56"/>
        <v>1900</v>
      </c>
    </row>
    <row r="1677" spans="2:3" x14ac:dyDescent="0.25">
      <c r="B1677" s="141">
        <f t="shared" si="57"/>
        <v>1</v>
      </c>
      <c r="C1677" s="25">
        <f t="shared" si="56"/>
        <v>1900</v>
      </c>
    </row>
    <row r="1678" spans="2:3" x14ac:dyDescent="0.25">
      <c r="B1678" s="141">
        <f t="shared" si="57"/>
        <v>1</v>
      </c>
      <c r="C1678" s="25">
        <f t="shared" si="56"/>
        <v>1900</v>
      </c>
    </row>
    <row r="1679" spans="2:3" x14ac:dyDescent="0.25">
      <c r="B1679" s="141">
        <f t="shared" si="57"/>
        <v>1</v>
      </c>
      <c r="C1679" s="25">
        <f t="shared" si="56"/>
        <v>1900</v>
      </c>
    </row>
    <row r="1680" spans="2:3" x14ac:dyDescent="0.25">
      <c r="B1680" s="141">
        <f t="shared" si="57"/>
        <v>1</v>
      </c>
      <c r="C1680" s="25">
        <f t="shared" si="56"/>
        <v>1900</v>
      </c>
    </row>
    <row r="1681" spans="2:3" x14ac:dyDescent="0.25">
      <c r="B1681" s="141">
        <f t="shared" si="57"/>
        <v>1</v>
      </c>
      <c r="C1681" s="25">
        <f t="shared" si="56"/>
        <v>1900</v>
      </c>
    </row>
    <row r="1682" spans="2:3" x14ac:dyDescent="0.25">
      <c r="B1682" s="141">
        <f t="shared" si="57"/>
        <v>1</v>
      </c>
      <c r="C1682" s="25">
        <f t="shared" si="56"/>
        <v>1900</v>
      </c>
    </row>
    <row r="1683" spans="2:3" x14ac:dyDescent="0.25">
      <c r="B1683" s="141">
        <f t="shared" si="57"/>
        <v>1</v>
      </c>
      <c r="C1683" s="25">
        <f t="shared" si="56"/>
        <v>1900</v>
      </c>
    </row>
    <row r="1684" spans="2:3" x14ac:dyDescent="0.25">
      <c r="B1684" s="141">
        <f t="shared" si="57"/>
        <v>1</v>
      </c>
      <c r="C1684" s="25">
        <f t="shared" si="56"/>
        <v>1900</v>
      </c>
    </row>
    <row r="1685" spans="2:3" x14ac:dyDescent="0.25">
      <c r="B1685" s="141">
        <f t="shared" si="57"/>
        <v>1</v>
      </c>
      <c r="C1685" s="25">
        <f t="shared" si="56"/>
        <v>1900</v>
      </c>
    </row>
    <row r="1686" spans="2:3" x14ac:dyDescent="0.25">
      <c r="B1686" s="141">
        <f t="shared" si="57"/>
        <v>1</v>
      </c>
      <c r="C1686" s="25">
        <f t="shared" si="56"/>
        <v>1900</v>
      </c>
    </row>
    <row r="1687" spans="2:3" x14ac:dyDescent="0.25">
      <c r="B1687" s="141">
        <f t="shared" si="57"/>
        <v>1</v>
      </c>
      <c r="C1687" s="25">
        <f t="shared" si="56"/>
        <v>1900</v>
      </c>
    </row>
    <row r="1688" spans="2:3" x14ac:dyDescent="0.25">
      <c r="B1688" s="141">
        <f t="shared" si="57"/>
        <v>1</v>
      </c>
      <c r="C1688" s="25">
        <f t="shared" si="56"/>
        <v>1900</v>
      </c>
    </row>
    <row r="1689" spans="2:3" x14ac:dyDescent="0.25">
      <c r="B1689" s="141">
        <f t="shared" si="57"/>
        <v>1</v>
      </c>
      <c r="C1689" s="25">
        <f t="shared" si="56"/>
        <v>1900</v>
      </c>
    </row>
    <row r="1690" spans="2:3" x14ac:dyDescent="0.25">
      <c r="B1690" s="141">
        <f t="shared" si="57"/>
        <v>1</v>
      </c>
      <c r="C1690" s="25">
        <f t="shared" si="56"/>
        <v>1900</v>
      </c>
    </row>
    <row r="1691" spans="2:3" x14ac:dyDescent="0.25">
      <c r="B1691" s="141">
        <f t="shared" si="57"/>
        <v>1</v>
      </c>
      <c r="C1691" s="25">
        <f t="shared" si="56"/>
        <v>1900</v>
      </c>
    </row>
    <row r="1692" spans="2:3" x14ac:dyDescent="0.25">
      <c r="B1692" s="141">
        <f t="shared" si="57"/>
        <v>1</v>
      </c>
      <c r="C1692" s="25">
        <f t="shared" si="56"/>
        <v>1900</v>
      </c>
    </row>
    <row r="1693" spans="2:3" x14ac:dyDescent="0.25">
      <c r="B1693" s="141">
        <f t="shared" si="57"/>
        <v>1</v>
      </c>
      <c r="C1693" s="25">
        <f t="shared" si="56"/>
        <v>1900</v>
      </c>
    </row>
    <row r="1694" spans="2:3" x14ac:dyDescent="0.25">
      <c r="B1694" s="141">
        <f t="shared" si="57"/>
        <v>1</v>
      </c>
      <c r="C1694" s="25">
        <f t="shared" si="56"/>
        <v>1900</v>
      </c>
    </row>
    <row r="1695" spans="2:3" x14ac:dyDescent="0.25">
      <c r="B1695" s="141">
        <f t="shared" si="57"/>
        <v>1</v>
      </c>
      <c r="C1695" s="25">
        <f t="shared" si="56"/>
        <v>1900</v>
      </c>
    </row>
    <row r="1696" spans="2:3" x14ac:dyDescent="0.25">
      <c r="B1696" s="141">
        <f t="shared" si="57"/>
        <v>1</v>
      </c>
      <c r="C1696" s="25">
        <f t="shared" si="56"/>
        <v>1900</v>
      </c>
    </row>
    <row r="1697" spans="2:3" x14ac:dyDescent="0.25">
      <c r="B1697" s="141">
        <f t="shared" si="57"/>
        <v>1</v>
      </c>
      <c r="C1697" s="25">
        <f t="shared" si="56"/>
        <v>1900</v>
      </c>
    </row>
    <row r="1698" spans="2:3" x14ac:dyDescent="0.25">
      <c r="B1698" s="141">
        <f t="shared" si="57"/>
        <v>1</v>
      </c>
      <c r="C1698" s="25">
        <f t="shared" si="56"/>
        <v>1900</v>
      </c>
    </row>
    <row r="1699" spans="2:3" x14ac:dyDescent="0.25">
      <c r="B1699" s="141">
        <f t="shared" si="57"/>
        <v>1</v>
      </c>
      <c r="C1699" s="25">
        <f t="shared" si="56"/>
        <v>1900</v>
      </c>
    </row>
    <row r="1700" spans="2:3" x14ac:dyDescent="0.25">
      <c r="B1700" s="141">
        <f t="shared" si="57"/>
        <v>1</v>
      </c>
      <c r="C1700" s="25">
        <f t="shared" si="56"/>
        <v>1900</v>
      </c>
    </row>
    <row r="1701" spans="2:3" x14ac:dyDescent="0.25">
      <c r="B1701" s="141">
        <f t="shared" si="57"/>
        <v>1</v>
      </c>
      <c r="C1701" s="25">
        <f t="shared" si="56"/>
        <v>1900</v>
      </c>
    </row>
    <row r="1702" spans="2:3" x14ac:dyDescent="0.25">
      <c r="B1702" s="141">
        <f t="shared" si="57"/>
        <v>1</v>
      </c>
      <c r="C1702" s="25">
        <f t="shared" si="56"/>
        <v>1900</v>
      </c>
    </row>
    <row r="1703" spans="2:3" x14ac:dyDescent="0.25">
      <c r="B1703" s="141">
        <f t="shared" si="57"/>
        <v>1</v>
      </c>
      <c r="C1703" s="25">
        <f t="shared" si="56"/>
        <v>1900</v>
      </c>
    </row>
    <row r="1704" spans="2:3" x14ac:dyDescent="0.25">
      <c r="B1704" s="141">
        <f t="shared" si="57"/>
        <v>1</v>
      </c>
      <c r="C1704" s="25">
        <f t="shared" si="56"/>
        <v>1900</v>
      </c>
    </row>
    <row r="1705" spans="2:3" x14ac:dyDescent="0.25">
      <c r="B1705" s="141">
        <f t="shared" si="57"/>
        <v>1</v>
      </c>
      <c r="C1705" s="25">
        <f t="shared" si="56"/>
        <v>1900</v>
      </c>
    </row>
    <row r="1706" spans="2:3" x14ac:dyDescent="0.25">
      <c r="B1706" s="141">
        <f t="shared" si="57"/>
        <v>1</v>
      </c>
      <c r="C1706" s="25">
        <f t="shared" si="56"/>
        <v>1900</v>
      </c>
    </row>
    <row r="1707" spans="2:3" x14ac:dyDescent="0.25">
      <c r="B1707" s="141">
        <f t="shared" si="57"/>
        <v>1</v>
      </c>
      <c r="C1707" s="25">
        <f t="shared" si="56"/>
        <v>1900</v>
      </c>
    </row>
    <row r="1708" spans="2:3" x14ac:dyDescent="0.25">
      <c r="B1708" s="141">
        <f t="shared" si="57"/>
        <v>1</v>
      </c>
      <c r="C1708" s="25">
        <f t="shared" si="56"/>
        <v>1900</v>
      </c>
    </row>
    <row r="1709" spans="2:3" x14ac:dyDescent="0.25">
      <c r="B1709" s="141">
        <f t="shared" si="57"/>
        <v>1</v>
      </c>
      <c r="C1709" s="25">
        <f t="shared" si="56"/>
        <v>1900</v>
      </c>
    </row>
    <row r="1710" spans="2:3" x14ac:dyDescent="0.25">
      <c r="B1710" s="141">
        <f t="shared" si="57"/>
        <v>1</v>
      </c>
      <c r="C1710" s="25">
        <f t="shared" si="56"/>
        <v>1900</v>
      </c>
    </row>
    <row r="1711" spans="2:3" x14ac:dyDescent="0.25">
      <c r="B1711" s="141">
        <f t="shared" si="57"/>
        <v>1</v>
      </c>
      <c r="C1711" s="25">
        <f t="shared" si="56"/>
        <v>1900</v>
      </c>
    </row>
    <row r="1712" spans="2:3" x14ac:dyDescent="0.25">
      <c r="B1712" s="141">
        <f t="shared" si="57"/>
        <v>1</v>
      </c>
      <c r="C1712" s="25">
        <f t="shared" si="56"/>
        <v>1900</v>
      </c>
    </row>
    <row r="1713" spans="2:3" x14ac:dyDescent="0.25">
      <c r="B1713" s="141">
        <f t="shared" si="57"/>
        <v>1</v>
      </c>
      <c r="C1713" s="25">
        <f t="shared" si="56"/>
        <v>1900</v>
      </c>
    </row>
    <row r="1714" spans="2:3" x14ac:dyDescent="0.25">
      <c r="B1714" s="141">
        <f t="shared" si="57"/>
        <v>1</v>
      </c>
      <c r="C1714" s="25">
        <f t="shared" si="56"/>
        <v>1900</v>
      </c>
    </row>
    <row r="1715" spans="2:3" x14ac:dyDescent="0.25">
      <c r="B1715" s="141">
        <f t="shared" si="57"/>
        <v>1</v>
      </c>
      <c r="C1715" s="25">
        <f t="shared" si="56"/>
        <v>1900</v>
      </c>
    </row>
    <row r="1716" spans="2:3" x14ac:dyDescent="0.25">
      <c r="B1716" s="141">
        <f t="shared" si="57"/>
        <v>1</v>
      </c>
      <c r="C1716" s="25">
        <f t="shared" si="56"/>
        <v>1900</v>
      </c>
    </row>
    <row r="1717" spans="2:3" x14ac:dyDescent="0.25">
      <c r="B1717" s="141">
        <f t="shared" si="57"/>
        <v>1</v>
      </c>
      <c r="C1717" s="25">
        <f t="shared" si="56"/>
        <v>1900</v>
      </c>
    </row>
    <row r="1718" spans="2:3" x14ac:dyDescent="0.25">
      <c r="B1718" s="141">
        <f t="shared" si="57"/>
        <v>1</v>
      </c>
      <c r="C1718" s="25">
        <f t="shared" si="56"/>
        <v>1900</v>
      </c>
    </row>
    <row r="1719" spans="2:3" x14ac:dyDescent="0.25">
      <c r="B1719" s="141">
        <f t="shared" si="57"/>
        <v>1</v>
      </c>
      <c r="C1719" s="25">
        <f t="shared" si="56"/>
        <v>1900</v>
      </c>
    </row>
    <row r="1720" spans="2:3" x14ac:dyDescent="0.25">
      <c r="B1720" s="141">
        <f t="shared" si="57"/>
        <v>1</v>
      </c>
      <c r="C1720" s="25">
        <f t="shared" si="56"/>
        <v>1900</v>
      </c>
    </row>
    <row r="1721" spans="2:3" x14ac:dyDescent="0.25">
      <c r="B1721" s="141">
        <f t="shared" si="57"/>
        <v>1</v>
      </c>
      <c r="C1721" s="25">
        <f t="shared" si="56"/>
        <v>1900</v>
      </c>
    </row>
    <row r="1722" spans="2:3" x14ac:dyDescent="0.25">
      <c r="B1722" s="141">
        <f t="shared" si="57"/>
        <v>1</v>
      </c>
      <c r="C1722" s="25">
        <f t="shared" si="56"/>
        <v>1900</v>
      </c>
    </row>
    <row r="1723" spans="2:3" x14ac:dyDescent="0.25">
      <c r="B1723" s="141">
        <f t="shared" si="57"/>
        <v>1</v>
      </c>
      <c r="C1723" s="25">
        <f t="shared" si="56"/>
        <v>1900</v>
      </c>
    </row>
    <row r="1724" spans="2:3" x14ac:dyDescent="0.25">
      <c r="B1724" s="141">
        <f t="shared" si="57"/>
        <v>1</v>
      </c>
      <c r="C1724" s="25">
        <f t="shared" si="56"/>
        <v>1900</v>
      </c>
    </row>
    <row r="1725" spans="2:3" x14ac:dyDescent="0.25">
      <c r="B1725" s="141">
        <f t="shared" si="57"/>
        <v>1</v>
      </c>
      <c r="C1725" s="25">
        <f t="shared" si="56"/>
        <v>1900</v>
      </c>
    </row>
    <row r="1726" spans="2:3" x14ac:dyDescent="0.25">
      <c r="B1726" s="141">
        <f t="shared" si="57"/>
        <v>1</v>
      </c>
      <c r="C1726" s="25">
        <f t="shared" si="56"/>
        <v>1900</v>
      </c>
    </row>
    <row r="1727" spans="2:3" x14ac:dyDescent="0.25">
      <c r="B1727" s="141">
        <f t="shared" si="57"/>
        <v>1</v>
      </c>
      <c r="C1727" s="25">
        <f t="shared" ref="C1727:C1790" si="58">YEAR((A1727))</f>
        <v>1900</v>
      </c>
    </row>
    <row r="1728" spans="2:3" x14ac:dyDescent="0.25">
      <c r="B1728" s="141">
        <f t="shared" si="57"/>
        <v>1</v>
      </c>
      <c r="C1728" s="25">
        <f t="shared" si="58"/>
        <v>1900</v>
      </c>
    </row>
    <row r="1729" spans="2:3" x14ac:dyDescent="0.25">
      <c r="B1729" s="141">
        <f t="shared" si="57"/>
        <v>1</v>
      </c>
      <c r="C1729" s="25">
        <f t="shared" si="58"/>
        <v>1900</v>
      </c>
    </row>
    <row r="1730" spans="2:3" x14ac:dyDescent="0.25">
      <c r="B1730" s="141">
        <f t="shared" si="57"/>
        <v>1</v>
      </c>
      <c r="C1730" s="25">
        <f t="shared" si="58"/>
        <v>1900</v>
      </c>
    </row>
    <row r="1731" spans="2:3" x14ac:dyDescent="0.25">
      <c r="B1731" s="141">
        <f t="shared" ref="B1731:B1794" si="59">MONTH(A1731)</f>
        <v>1</v>
      </c>
      <c r="C1731" s="25">
        <f t="shared" si="58"/>
        <v>1900</v>
      </c>
    </row>
    <row r="1732" spans="2:3" x14ac:dyDescent="0.25">
      <c r="B1732" s="141">
        <f t="shared" si="59"/>
        <v>1</v>
      </c>
      <c r="C1732" s="25">
        <f t="shared" si="58"/>
        <v>1900</v>
      </c>
    </row>
    <row r="1733" spans="2:3" x14ac:dyDescent="0.25">
      <c r="B1733" s="141">
        <f t="shared" si="59"/>
        <v>1</v>
      </c>
      <c r="C1733" s="25">
        <f t="shared" si="58"/>
        <v>1900</v>
      </c>
    </row>
    <row r="1734" spans="2:3" x14ac:dyDescent="0.25">
      <c r="B1734" s="141">
        <f t="shared" si="59"/>
        <v>1</v>
      </c>
      <c r="C1734" s="25">
        <f t="shared" si="58"/>
        <v>1900</v>
      </c>
    </row>
    <row r="1735" spans="2:3" x14ac:dyDescent="0.25">
      <c r="B1735" s="141">
        <f t="shared" si="59"/>
        <v>1</v>
      </c>
      <c r="C1735" s="25">
        <f t="shared" si="58"/>
        <v>1900</v>
      </c>
    </row>
    <row r="1736" spans="2:3" x14ac:dyDescent="0.25">
      <c r="B1736" s="141">
        <f t="shared" si="59"/>
        <v>1</v>
      </c>
      <c r="C1736" s="25">
        <f t="shared" si="58"/>
        <v>1900</v>
      </c>
    </row>
    <row r="1737" spans="2:3" x14ac:dyDescent="0.25">
      <c r="B1737" s="141">
        <f t="shared" si="59"/>
        <v>1</v>
      </c>
      <c r="C1737" s="25">
        <f t="shared" si="58"/>
        <v>1900</v>
      </c>
    </row>
    <row r="1738" spans="2:3" x14ac:dyDescent="0.25">
      <c r="B1738" s="141">
        <f t="shared" si="59"/>
        <v>1</v>
      </c>
      <c r="C1738" s="25">
        <f t="shared" si="58"/>
        <v>1900</v>
      </c>
    </row>
    <row r="1739" spans="2:3" x14ac:dyDescent="0.25">
      <c r="B1739" s="141">
        <f t="shared" si="59"/>
        <v>1</v>
      </c>
      <c r="C1739" s="25">
        <f t="shared" si="58"/>
        <v>1900</v>
      </c>
    </row>
    <row r="1740" spans="2:3" x14ac:dyDescent="0.25">
      <c r="B1740" s="141">
        <f t="shared" si="59"/>
        <v>1</v>
      </c>
      <c r="C1740" s="25">
        <f t="shared" si="58"/>
        <v>1900</v>
      </c>
    </row>
    <row r="1741" spans="2:3" x14ac:dyDescent="0.25">
      <c r="B1741" s="141">
        <f t="shared" si="59"/>
        <v>1</v>
      </c>
      <c r="C1741" s="25">
        <f t="shared" si="58"/>
        <v>1900</v>
      </c>
    </row>
    <row r="1742" spans="2:3" x14ac:dyDescent="0.25">
      <c r="B1742" s="141">
        <f t="shared" si="59"/>
        <v>1</v>
      </c>
      <c r="C1742" s="25">
        <f t="shared" si="58"/>
        <v>1900</v>
      </c>
    </row>
    <row r="1743" spans="2:3" x14ac:dyDescent="0.25">
      <c r="B1743" s="141">
        <f t="shared" si="59"/>
        <v>1</v>
      </c>
      <c r="C1743" s="25">
        <f t="shared" si="58"/>
        <v>1900</v>
      </c>
    </row>
    <row r="1744" spans="2:3" x14ac:dyDescent="0.25">
      <c r="B1744" s="141">
        <f t="shared" si="59"/>
        <v>1</v>
      </c>
      <c r="C1744" s="25">
        <f t="shared" si="58"/>
        <v>1900</v>
      </c>
    </row>
    <row r="1745" spans="2:3" x14ac:dyDescent="0.25">
      <c r="B1745" s="141">
        <f t="shared" si="59"/>
        <v>1</v>
      </c>
      <c r="C1745" s="25">
        <f t="shared" si="58"/>
        <v>1900</v>
      </c>
    </row>
    <row r="1746" spans="2:3" x14ac:dyDescent="0.25">
      <c r="B1746" s="141">
        <f t="shared" si="59"/>
        <v>1</v>
      </c>
      <c r="C1746" s="25">
        <f t="shared" si="58"/>
        <v>1900</v>
      </c>
    </row>
    <row r="1747" spans="2:3" x14ac:dyDescent="0.25">
      <c r="B1747" s="141">
        <f t="shared" si="59"/>
        <v>1</v>
      </c>
      <c r="C1747" s="25">
        <f t="shared" si="58"/>
        <v>1900</v>
      </c>
    </row>
    <row r="1748" spans="2:3" x14ac:dyDescent="0.25">
      <c r="B1748" s="141">
        <f t="shared" si="59"/>
        <v>1</v>
      </c>
      <c r="C1748" s="25">
        <f t="shared" si="58"/>
        <v>1900</v>
      </c>
    </row>
    <row r="1749" spans="2:3" x14ac:dyDescent="0.25">
      <c r="B1749" s="141">
        <f t="shared" si="59"/>
        <v>1</v>
      </c>
      <c r="C1749" s="25">
        <f t="shared" si="58"/>
        <v>1900</v>
      </c>
    </row>
    <row r="1750" spans="2:3" x14ac:dyDescent="0.25">
      <c r="B1750" s="141">
        <f t="shared" si="59"/>
        <v>1</v>
      </c>
      <c r="C1750" s="25">
        <f t="shared" si="58"/>
        <v>1900</v>
      </c>
    </row>
    <row r="1751" spans="2:3" x14ac:dyDescent="0.25">
      <c r="B1751" s="141">
        <f t="shared" si="59"/>
        <v>1</v>
      </c>
      <c r="C1751" s="25">
        <f t="shared" si="58"/>
        <v>1900</v>
      </c>
    </row>
    <row r="1752" spans="2:3" x14ac:dyDescent="0.25">
      <c r="B1752" s="141">
        <f t="shared" si="59"/>
        <v>1</v>
      </c>
      <c r="C1752" s="25">
        <f t="shared" si="58"/>
        <v>1900</v>
      </c>
    </row>
    <row r="1753" spans="2:3" x14ac:dyDescent="0.25">
      <c r="B1753" s="141">
        <f t="shared" si="59"/>
        <v>1</v>
      </c>
      <c r="C1753" s="25">
        <f t="shared" si="58"/>
        <v>1900</v>
      </c>
    </row>
    <row r="1754" spans="2:3" x14ac:dyDescent="0.25">
      <c r="B1754" s="141">
        <f t="shared" si="59"/>
        <v>1</v>
      </c>
      <c r="C1754" s="25">
        <f t="shared" si="58"/>
        <v>1900</v>
      </c>
    </row>
    <row r="1755" spans="2:3" x14ac:dyDescent="0.25">
      <c r="B1755" s="141">
        <f t="shared" si="59"/>
        <v>1</v>
      </c>
      <c r="C1755" s="25">
        <f t="shared" si="58"/>
        <v>1900</v>
      </c>
    </row>
    <row r="1756" spans="2:3" x14ac:dyDescent="0.25">
      <c r="B1756" s="141">
        <f t="shared" si="59"/>
        <v>1</v>
      </c>
      <c r="C1756" s="25">
        <f t="shared" si="58"/>
        <v>1900</v>
      </c>
    </row>
    <row r="1757" spans="2:3" x14ac:dyDescent="0.25">
      <c r="B1757" s="141">
        <f t="shared" si="59"/>
        <v>1</v>
      </c>
      <c r="C1757" s="25">
        <f t="shared" si="58"/>
        <v>1900</v>
      </c>
    </row>
    <row r="1758" spans="2:3" x14ac:dyDescent="0.25">
      <c r="B1758" s="141">
        <f t="shared" si="59"/>
        <v>1</v>
      </c>
      <c r="C1758" s="25">
        <f t="shared" si="58"/>
        <v>1900</v>
      </c>
    </row>
    <row r="1759" spans="2:3" x14ac:dyDescent="0.25">
      <c r="B1759" s="141">
        <f t="shared" si="59"/>
        <v>1</v>
      </c>
      <c r="C1759" s="25">
        <f t="shared" si="58"/>
        <v>1900</v>
      </c>
    </row>
    <row r="1760" spans="2:3" x14ac:dyDescent="0.25">
      <c r="B1760" s="141">
        <f t="shared" si="59"/>
        <v>1</v>
      </c>
      <c r="C1760" s="25">
        <f t="shared" si="58"/>
        <v>1900</v>
      </c>
    </row>
    <row r="1761" spans="2:3" x14ac:dyDescent="0.25">
      <c r="B1761" s="141">
        <f t="shared" si="59"/>
        <v>1</v>
      </c>
      <c r="C1761" s="25">
        <f t="shared" si="58"/>
        <v>1900</v>
      </c>
    </row>
    <row r="1762" spans="2:3" x14ac:dyDescent="0.25">
      <c r="B1762" s="141">
        <f t="shared" si="59"/>
        <v>1</v>
      </c>
      <c r="C1762" s="25">
        <f t="shared" si="58"/>
        <v>1900</v>
      </c>
    </row>
    <row r="1763" spans="2:3" x14ac:dyDescent="0.25">
      <c r="B1763" s="141">
        <f t="shared" si="59"/>
        <v>1</v>
      </c>
      <c r="C1763" s="25">
        <f t="shared" si="58"/>
        <v>1900</v>
      </c>
    </row>
    <row r="1764" spans="2:3" x14ac:dyDescent="0.25">
      <c r="B1764" s="141">
        <f t="shared" si="59"/>
        <v>1</v>
      </c>
      <c r="C1764" s="25">
        <f t="shared" si="58"/>
        <v>1900</v>
      </c>
    </row>
    <row r="1765" spans="2:3" x14ac:dyDescent="0.25">
      <c r="B1765" s="141">
        <f t="shared" si="59"/>
        <v>1</v>
      </c>
      <c r="C1765" s="25">
        <f t="shared" si="58"/>
        <v>1900</v>
      </c>
    </row>
    <row r="1766" spans="2:3" x14ac:dyDescent="0.25">
      <c r="B1766" s="141">
        <f t="shared" si="59"/>
        <v>1</v>
      </c>
      <c r="C1766" s="25">
        <f t="shared" si="58"/>
        <v>1900</v>
      </c>
    </row>
    <row r="1767" spans="2:3" x14ac:dyDescent="0.25">
      <c r="B1767" s="141">
        <f t="shared" si="59"/>
        <v>1</v>
      </c>
      <c r="C1767" s="25">
        <f t="shared" si="58"/>
        <v>1900</v>
      </c>
    </row>
    <row r="1768" spans="2:3" x14ac:dyDescent="0.25">
      <c r="B1768" s="141">
        <f t="shared" si="59"/>
        <v>1</v>
      </c>
      <c r="C1768" s="25">
        <f t="shared" si="58"/>
        <v>1900</v>
      </c>
    </row>
    <row r="1769" spans="2:3" x14ac:dyDescent="0.25">
      <c r="B1769" s="141">
        <f t="shared" si="59"/>
        <v>1</v>
      </c>
      <c r="C1769" s="25">
        <f t="shared" si="58"/>
        <v>1900</v>
      </c>
    </row>
    <row r="1770" spans="2:3" x14ac:dyDescent="0.25">
      <c r="B1770" s="141">
        <f t="shared" si="59"/>
        <v>1</v>
      </c>
      <c r="C1770" s="25">
        <f t="shared" si="58"/>
        <v>1900</v>
      </c>
    </row>
    <row r="1771" spans="2:3" x14ac:dyDescent="0.25">
      <c r="B1771" s="141">
        <f t="shared" si="59"/>
        <v>1</v>
      </c>
      <c r="C1771" s="25">
        <f t="shared" si="58"/>
        <v>1900</v>
      </c>
    </row>
    <row r="1772" spans="2:3" x14ac:dyDescent="0.25">
      <c r="B1772" s="141">
        <f t="shared" si="59"/>
        <v>1</v>
      </c>
      <c r="C1772" s="25">
        <f t="shared" si="58"/>
        <v>1900</v>
      </c>
    </row>
    <row r="1773" spans="2:3" x14ac:dyDescent="0.25">
      <c r="B1773" s="141">
        <f t="shared" si="59"/>
        <v>1</v>
      </c>
      <c r="C1773" s="25">
        <f t="shared" si="58"/>
        <v>1900</v>
      </c>
    </row>
    <row r="1774" spans="2:3" x14ac:dyDescent="0.25">
      <c r="B1774" s="141">
        <f t="shared" si="59"/>
        <v>1</v>
      </c>
      <c r="C1774" s="25">
        <f t="shared" si="58"/>
        <v>1900</v>
      </c>
    </row>
    <row r="1775" spans="2:3" x14ac:dyDescent="0.25">
      <c r="B1775" s="141">
        <f t="shared" si="59"/>
        <v>1</v>
      </c>
      <c r="C1775" s="25">
        <f t="shared" si="58"/>
        <v>1900</v>
      </c>
    </row>
    <row r="1776" spans="2:3" x14ac:dyDescent="0.25">
      <c r="B1776" s="141">
        <f t="shared" si="59"/>
        <v>1</v>
      </c>
      <c r="C1776" s="25">
        <f t="shared" si="58"/>
        <v>1900</v>
      </c>
    </row>
    <row r="1777" spans="2:3" x14ac:dyDescent="0.25">
      <c r="B1777" s="141">
        <f t="shared" si="59"/>
        <v>1</v>
      </c>
      <c r="C1777" s="25">
        <f t="shared" si="58"/>
        <v>1900</v>
      </c>
    </row>
    <row r="1778" spans="2:3" x14ac:dyDescent="0.25">
      <c r="B1778" s="141">
        <f t="shared" si="59"/>
        <v>1</v>
      </c>
      <c r="C1778" s="25">
        <f t="shared" si="58"/>
        <v>1900</v>
      </c>
    </row>
    <row r="1779" spans="2:3" x14ac:dyDescent="0.25">
      <c r="B1779" s="141">
        <f t="shared" si="59"/>
        <v>1</v>
      </c>
      <c r="C1779" s="25">
        <f t="shared" si="58"/>
        <v>1900</v>
      </c>
    </row>
    <row r="1780" spans="2:3" x14ac:dyDescent="0.25">
      <c r="B1780" s="141">
        <f t="shared" si="59"/>
        <v>1</v>
      </c>
      <c r="C1780" s="25">
        <f t="shared" si="58"/>
        <v>1900</v>
      </c>
    </row>
    <row r="1781" spans="2:3" x14ac:dyDescent="0.25">
      <c r="B1781" s="141">
        <f t="shared" si="59"/>
        <v>1</v>
      </c>
      <c r="C1781" s="25">
        <f t="shared" si="58"/>
        <v>1900</v>
      </c>
    </row>
    <row r="1782" spans="2:3" x14ac:dyDescent="0.25">
      <c r="B1782" s="141">
        <f t="shared" si="59"/>
        <v>1</v>
      </c>
      <c r="C1782" s="25">
        <f t="shared" si="58"/>
        <v>1900</v>
      </c>
    </row>
    <row r="1783" spans="2:3" x14ac:dyDescent="0.25">
      <c r="B1783" s="141">
        <f t="shared" si="59"/>
        <v>1</v>
      </c>
      <c r="C1783" s="25">
        <f t="shared" si="58"/>
        <v>1900</v>
      </c>
    </row>
    <row r="1784" spans="2:3" x14ac:dyDescent="0.25">
      <c r="B1784" s="141">
        <f t="shared" si="59"/>
        <v>1</v>
      </c>
      <c r="C1784" s="25">
        <f t="shared" si="58"/>
        <v>1900</v>
      </c>
    </row>
    <row r="1785" spans="2:3" x14ac:dyDescent="0.25">
      <c r="B1785" s="141">
        <f t="shared" si="59"/>
        <v>1</v>
      </c>
      <c r="C1785" s="25">
        <f t="shared" si="58"/>
        <v>1900</v>
      </c>
    </row>
    <row r="1786" spans="2:3" x14ac:dyDescent="0.25">
      <c r="B1786" s="141">
        <f t="shared" si="59"/>
        <v>1</v>
      </c>
      <c r="C1786" s="25">
        <f t="shared" si="58"/>
        <v>1900</v>
      </c>
    </row>
    <row r="1787" spans="2:3" x14ac:dyDescent="0.25">
      <c r="B1787" s="141">
        <f t="shared" si="59"/>
        <v>1</v>
      </c>
      <c r="C1787" s="25">
        <f t="shared" si="58"/>
        <v>1900</v>
      </c>
    </row>
    <row r="1788" spans="2:3" x14ac:dyDescent="0.25">
      <c r="B1788" s="141">
        <f t="shared" si="59"/>
        <v>1</v>
      </c>
      <c r="C1788" s="25">
        <f t="shared" si="58"/>
        <v>1900</v>
      </c>
    </row>
    <row r="1789" spans="2:3" x14ac:dyDescent="0.25">
      <c r="B1789" s="141">
        <f t="shared" si="59"/>
        <v>1</v>
      </c>
      <c r="C1789" s="25">
        <f t="shared" si="58"/>
        <v>1900</v>
      </c>
    </row>
    <row r="1790" spans="2:3" x14ac:dyDescent="0.25">
      <c r="B1790" s="141">
        <f t="shared" si="59"/>
        <v>1</v>
      </c>
      <c r="C1790" s="25">
        <f t="shared" si="58"/>
        <v>1900</v>
      </c>
    </row>
    <row r="1791" spans="2:3" x14ac:dyDescent="0.25">
      <c r="B1791" s="141">
        <f t="shared" si="59"/>
        <v>1</v>
      </c>
      <c r="C1791" s="25">
        <f t="shared" ref="C1791:C1854" si="60">YEAR((A1791))</f>
        <v>1900</v>
      </c>
    </row>
    <row r="1792" spans="2:3" x14ac:dyDescent="0.25">
      <c r="B1792" s="141">
        <f t="shared" si="59"/>
        <v>1</v>
      </c>
      <c r="C1792" s="25">
        <f t="shared" si="60"/>
        <v>1900</v>
      </c>
    </row>
    <row r="1793" spans="2:3" x14ac:dyDescent="0.25">
      <c r="B1793" s="141">
        <f t="shared" si="59"/>
        <v>1</v>
      </c>
      <c r="C1793" s="25">
        <f t="shared" si="60"/>
        <v>1900</v>
      </c>
    </row>
    <row r="1794" spans="2:3" x14ac:dyDescent="0.25">
      <c r="B1794" s="141">
        <f t="shared" si="59"/>
        <v>1</v>
      </c>
      <c r="C1794" s="25">
        <f t="shared" si="60"/>
        <v>1900</v>
      </c>
    </row>
    <row r="1795" spans="2:3" x14ac:dyDescent="0.25">
      <c r="B1795" s="141">
        <f t="shared" ref="B1795:B1858" si="61">MONTH(A1795)</f>
        <v>1</v>
      </c>
      <c r="C1795" s="25">
        <f t="shared" si="60"/>
        <v>1900</v>
      </c>
    </row>
    <row r="1796" spans="2:3" x14ac:dyDescent="0.25">
      <c r="B1796" s="141">
        <f t="shared" si="61"/>
        <v>1</v>
      </c>
      <c r="C1796" s="25">
        <f t="shared" si="60"/>
        <v>1900</v>
      </c>
    </row>
    <row r="1797" spans="2:3" x14ac:dyDescent="0.25">
      <c r="B1797" s="141">
        <f t="shared" si="61"/>
        <v>1</v>
      </c>
      <c r="C1797" s="25">
        <f t="shared" si="60"/>
        <v>1900</v>
      </c>
    </row>
    <row r="1798" spans="2:3" x14ac:dyDescent="0.25">
      <c r="B1798" s="141">
        <f t="shared" si="61"/>
        <v>1</v>
      </c>
      <c r="C1798" s="25">
        <f t="shared" si="60"/>
        <v>1900</v>
      </c>
    </row>
    <row r="1799" spans="2:3" x14ac:dyDescent="0.25">
      <c r="B1799" s="141">
        <f t="shared" si="61"/>
        <v>1</v>
      </c>
      <c r="C1799" s="25">
        <f t="shared" si="60"/>
        <v>1900</v>
      </c>
    </row>
    <row r="1800" spans="2:3" x14ac:dyDescent="0.25">
      <c r="B1800" s="141">
        <f t="shared" si="61"/>
        <v>1</v>
      </c>
      <c r="C1800" s="25">
        <f t="shared" si="60"/>
        <v>1900</v>
      </c>
    </row>
    <row r="1801" spans="2:3" x14ac:dyDescent="0.25">
      <c r="B1801" s="141">
        <f t="shared" si="61"/>
        <v>1</v>
      </c>
      <c r="C1801" s="25">
        <f t="shared" si="60"/>
        <v>1900</v>
      </c>
    </row>
    <row r="1802" spans="2:3" x14ac:dyDescent="0.25">
      <c r="B1802" s="141">
        <f t="shared" si="61"/>
        <v>1</v>
      </c>
      <c r="C1802" s="25">
        <f t="shared" si="60"/>
        <v>1900</v>
      </c>
    </row>
    <row r="1803" spans="2:3" x14ac:dyDescent="0.25">
      <c r="B1803" s="141">
        <f t="shared" si="61"/>
        <v>1</v>
      </c>
      <c r="C1803" s="25">
        <f t="shared" si="60"/>
        <v>1900</v>
      </c>
    </row>
    <row r="1804" spans="2:3" x14ac:dyDescent="0.25">
      <c r="B1804" s="141">
        <f t="shared" si="61"/>
        <v>1</v>
      </c>
      <c r="C1804" s="25">
        <f t="shared" si="60"/>
        <v>1900</v>
      </c>
    </row>
    <row r="1805" spans="2:3" x14ac:dyDescent="0.25">
      <c r="B1805" s="141">
        <f t="shared" si="61"/>
        <v>1</v>
      </c>
      <c r="C1805" s="25">
        <f t="shared" si="60"/>
        <v>1900</v>
      </c>
    </row>
    <row r="1806" spans="2:3" x14ac:dyDescent="0.25">
      <c r="B1806" s="141">
        <f t="shared" si="61"/>
        <v>1</v>
      </c>
      <c r="C1806" s="25">
        <f t="shared" si="60"/>
        <v>1900</v>
      </c>
    </row>
    <row r="1807" spans="2:3" x14ac:dyDescent="0.25">
      <c r="B1807" s="141">
        <f t="shared" si="61"/>
        <v>1</v>
      </c>
      <c r="C1807" s="25">
        <f t="shared" si="60"/>
        <v>1900</v>
      </c>
    </row>
    <row r="1808" spans="2:3" x14ac:dyDescent="0.25">
      <c r="B1808" s="141">
        <f t="shared" si="61"/>
        <v>1</v>
      </c>
      <c r="C1808" s="25">
        <f t="shared" si="60"/>
        <v>1900</v>
      </c>
    </row>
    <row r="1809" spans="2:3" x14ac:dyDescent="0.25">
      <c r="B1809" s="141">
        <f t="shared" si="61"/>
        <v>1</v>
      </c>
      <c r="C1809" s="25">
        <f t="shared" si="60"/>
        <v>1900</v>
      </c>
    </row>
    <row r="1810" spans="2:3" x14ac:dyDescent="0.25">
      <c r="B1810" s="141">
        <f t="shared" si="61"/>
        <v>1</v>
      </c>
      <c r="C1810" s="25">
        <f t="shared" si="60"/>
        <v>1900</v>
      </c>
    </row>
    <row r="1811" spans="2:3" x14ac:dyDescent="0.25">
      <c r="B1811" s="141">
        <f t="shared" si="61"/>
        <v>1</v>
      </c>
      <c r="C1811" s="25">
        <f t="shared" si="60"/>
        <v>1900</v>
      </c>
    </row>
    <row r="1812" spans="2:3" x14ac:dyDescent="0.25">
      <c r="B1812" s="141">
        <f t="shared" si="61"/>
        <v>1</v>
      </c>
      <c r="C1812" s="25">
        <f t="shared" si="60"/>
        <v>1900</v>
      </c>
    </row>
    <row r="1813" spans="2:3" x14ac:dyDescent="0.25">
      <c r="B1813" s="141">
        <f t="shared" si="61"/>
        <v>1</v>
      </c>
      <c r="C1813" s="25">
        <f t="shared" si="60"/>
        <v>1900</v>
      </c>
    </row>
    <row r="1814" spans="2:3" x14ac:dyDescent="0.25">
      <c r="B1814" s="141">
        <f t="shared" si="61"/>
        <v>1</v>
      </c>
      <c r="C1814" s="25">
        <f t="shared" si="60"/>
        <v>1900</v>
      </c>
    </row>
    <row r="1815" spans="2:3" x14ac:dyDescent="0.25">
      <c r="B1815" s="141">
        <f t="shared" si="61"/>
        <v>1</v>
      </c>
      <c r="C1815" s="25">
        <f t="shared" si="60"/>
        <v>1900</v>
      </c>
    </row>
    <row r="1816" spans="2:3" x14ac:dyDescent="0.25">
      <c r="B1816" s="141">
        <f t="shared" si="61"/>
        <v>1</v>
      </c>
      <c r="C1816" s="25">
        <f t="shared" si="60"/>
        <v>1900</v>
      </c>
    </row>
    <row r="1817" spans="2:3" x14ac:dyDescent="0.25">
      <c r="B1817" s="141">
        <f t="shared" si="61"/>
        <v>1</v>
      </c>
      <c r="C1817" s="25">
        <f t="shared" si="60"/>
        <v>1900</v>
      </c>
    </row>
    <row r="1818" spans="2:3" x14ac:dyDescent="0.25">
      <c r="B1818" s="141">
        <f t="shared" si="61"/>
        <v>1</v>
      </c>
      <c r="C1818" s="25">
        <f t="shared" si="60"/>
        <v>1900</v>
      </c>
    </row>
    <row r="1819" spans="2:3" x14ac:dyDescent="0.25">
      <c r="B1819" s="141">
        <f t="shared" si="61"/>
        <v>1</v>
      </c>
      <c r="C1819" s="25">
        <f t="shared" si="60"/>
        <v>1900</v>
      </c>
    </row>
    <row r="1820" spans="2:3" x14ac:dyDescent="0.25">
      <c r="B1820" s="141">
        <f t="shared" si="61"/>
        <v>1</v>
      </c>
      <c r="C1820" s="25">
        <f t="shared" si="60"/>
        <v>1900</v>
      </c>
    </row>
    <row r="1821" spans="2:3" x14ac:dyDescent="0.25">
      <c r="B1821" s="141">
        <f t="shared" si="61"/>
        <v>1</v>
      </c>
      <c r="C1821" s="25">
        <f t="shared" si="60"/>
        <v>1900</v>
      </c>
    </row>
    <row r="1822" spans="2:3" x14ac:dyDescent="0.25">
      <c r="B1822" s="141">
        <f t="shared" si="61"/>
        <v>1</v>
      </c>
      <c r="C1822" s="25">
        <f t="shared" si="60"/>
        <v>1900</v>
      </c>
    </row>
    <row r="1823" spans="2:3" x14ac:dyDescent="0.25">
      <c r="B1823" s="141">
        <f t="shared" si="61"/>
        <v>1</v>
      </c>
      <c r="C1823" s="25">
        <f t="shared" si="60"/>
        <v>1900</v>
      </c>
    </row>
    <row r="1824" spans="2:3" x14ac:dyDescent="0.25">
      <c r="B1824" s="141">
        <f t="shared" si="61"/>
        <v>1</v>
      </c>
      <c r="C1824" s="25">
        <f t="shared" si="60"/>
        <v>1900</v>
      </c>
    </row>
    <row r="1825" spans="2:3" x14ac:dyDescent="0.25">
      <c r="B1825" s="141">
        <f t="shared" si="61"/>
        <v>1</v>
      </c>
      <c r="C1825" s="25">
        <f t="shared" si="60"/>
        <v>1900</v>
      </c>
    </row>
    <row r="1826" spans="2:3" x14ac:dyDescent="0.25">
      <c r="B1826" s="141">
        <f t="shared" si="61"/>
        <v>1</v>
      </c>
      <c r="C1826" s="25">
        <f t="shared" si="60"/>
        <v>1900</v>
      </c>
    </row>
    <row r="1827" spans="2:3" x14ac:dyDescent="0.25">
      <c r="B1827" s="141">
        <f t="shared" si="61"/>
        <v>1</v>
      </c>
      <c r="C1827" s="25">
        <f t="shared" si="60"/>
        <v>1900</v>
      </c>
    </row>
    <row r="1828" spans="2:3" x14ac:dyDescent="0.25">
      <c r="B1828" s="141">
        <f t="shared" si="61"/>
        <v>1</v>
      </c>
      <c r="C1828" s="25">
        <f t="shared" si="60"/>
        <v>1900</v>
      </c>
    </row>
    <row r="1829" spans="2:3" x14ac:dyDescent="0.25">
      <c r="B1829" s="141">
        <f t="shared" si="61"/>
        <v>1</v>
      </c>
      <c r="C1829" s="25">
        <f t="shared" si="60"/>
        <v>1900</v>
      </c>
    </row>
    <row r="1830" spans="2:3" x14ac:dyDescent="0.25">
      <c r="B1830" s="141">
        <f t="shared" si="61"/>
        <v>1</v>
      </c>
      <c r="C1830" s="25">
        <f t="shared" si="60"/>
        <v>1900</v>
      </c>
    </row>
    <row r="1831" spans="2:3" x14ac:dyDescent="0.25">
      <c r="B1831" s="141">
        <f t="shared" si="61"/>
        <v>1</v>
      </c>
      <c r="C1831" s="25">
        <f t="shared" si="60"/>
        <v>1900</v>
      </c>
    </row>
    <row r="1832" spans="2:3" x14ac:dyDescent="0.25">
      <c r="B1832" s="141">
        <f t="shared" si="61"/>
        <v>1</v>
      </c>
      <c r="C1832" s="25">
        <f t="shared" si="60"/>
        <v>1900</v>
      </c>
    </row>
    <row r="1833" spans="2:3" x14ac:dyDescent="0.25">
      <c r="B1833" s="141">
        <f t="shared" si="61"/>
        <v>1</v>
      </c>
      <c r="C1833" s="25">
        <f t="shared" si="60"/>
        <v>1900</v>
      </c>
    </row>
    <row r="1834" spans="2:3" x14ac:dyDescent="0.25">
      <c r="B1834" s="141">
        <f t="shared" si="61"/>
        <v>1</v>
      </c>
      <c r="C1834" s="25">
        <f t="shared" si="60"/>
        <v>1900</v>
      </c>
    </row>
    <row r="1835" spans="2:3" x14ac:dyDescent="0.25">
      <c r="B1835" s="141">
        <f t="shared" si="61"/>
        <v>1</v>
      </c>
      <c r="C1835" s="25">
        <f t="shared" si="60"/>
        <v>1900</v>
      </c>
    </row>
    <row r="1836" spans="2:3" x14ac:dyDescent="0.25">
      <c r="B1836" s="141">
        <f t="shared" si="61"/>
        <v>1</v>
      </c>
      <c r="C1836" s="25">
        <f t="shared" si="60"/>
        <v>1900</v>
      </c>
    </row>
    <row r="1837" spans="2:3" x14ac:dyDescent="0.25">
      <c r="B1837" s="141">
        <f t="shared" si="61"/>
        <v>1</v>
      </c>
      <c r="C1837" s="25">
        <f t="shared" si="60"/>
        <v>1900</v>
      </c>
    </row>
    <row r="1838" spans="2:3" x14ac:dyDescent="0.25">
      <c r="B1838" s="141">
        <f t="shared" si="61"/>
        <v>1</v>
      </c>
      <c r="C1838" s="25">
        <f t="shared" si="60"/>
        <v>1900</v>
      </c>
    </row>
    <row r="1839" spans="2:3" x14ac:dyDescent="0.25">
      <c r="B1839" s="141">
        <f t="shared" si="61"/>
        <v>1</v>
      </c>
      <c r="C1839" s="25">
        <f t="shared" si="60"/>
        <v>1900</v>
      </c>
    </row>
    <row r="1840" spans="2:3" x14ac:dyDescent="0.25">
      <c r="B1840" s="141">
        <f t="shared" si="61"/>
        <v>1</v>
      </c>
      <c r="C1840" s="25">
        <f t="shared" si="60"/>
        <v>1900</v>
      </c>
    </row>
    <row r="1841" spans="2:3" x14ac:dyDescent="0.25">
      <c r="B1841" s="141">
        <f t="shared" si="61"/>
        <v>1</v>
      </c>
      <c r="C1841" s="25">
        <f t="shared" si="60"/>
        <v>1900</v>
      </c>
    </row>
    <row r="1842" spans="2:3" x14ac:dyDescent="0.25">
      <c r="B1842" s="141">
        <f t="shared" si="61"/>
        <v>1</v>
      </c>
      <c r="C1842" s="25">
        <f t="shared" si="60"/>
        <v>1900</v>
      </c>
    </row>
    <row r="1843" spans="2:3" x14ac:dyDescent="0.25">
      <c r="B1843" s="141">
        <f t="shared" si="61"/>
        <v>1</v>
      </c>
      <c r="C1843" s="25">
        <f t="shared" si="60"/>
        <v>1900</v>
      </c>
    </row>
    <row r="1844" spans="2:3" x14ac:dyDescent="0.25">
      <c r="B1844" s="141">
        <f t="shared" si="61"/>
        <v>1</v>
      </c>
      <c r="C1844" s="25">
        <f t="shared" si="60"/>
        <v>1900</v>
      </c>
    </row>
    <row r="1845" spans="2:3" x14ac:dyDescent="0.25">
      <c r="B1845" s="141">
        <f t="shared" si="61"/>
        <v>1</v>
      </c>
      <c r="C1845" s="25">
        <f t="shared" si="60"/>
        <v>1900</v>
      </c>
    </row>
    <row r="1846" spans="2:3" x14ac:dyDescent="0.25">
      <c r="B1846" s="141">
        <f t="shared" si="61"/>
        <v>1</v>
      </c>
      <c r="C1846" s="25">
        <f t="shared" si="60"/>
        <v>1900</v>
      </c>
    </row>
    <row r="1847" spans="2:3" x14ac:dyDescent="0.25">
      <c r="B1847" s="141">
        <f t="shared" si="61"/>
        <v>1</v>
      </c>
      <c r="C1847" s="25">
        <f t="shared" si="60"/>
        <v>1900</v>
      </c>
    </row>
    <row r="1848" spans="2:3" x14ac:dyDescent="0.25">
      <c r="B1848" s="141">
        <f t="shared" si="61"/>
        <v>1</v>
      </c>
      <c r="C1848" s="25">
        <f t="shared" si="60"/>
        <v>1900</v>
      </c>
    </row>
    <row r="1849" spans="2:3" x14ac:dyDescent="0.25">
      <c r="B1849" s="141">
        <f t="shared" si="61"/>
        <v>1</v>
      </c>
      <c r="C1849" s="25">
        <f t="shared" si="60"/>
        <v>1900</v>
      </c>
    </row>
    <row r="1850" spans="2:3" x14ac:dyDescent="0.25">
      <c r="B1850" s="141">
        <f t="shared" si="61"/>
        <v>1</v>
      </c>
      <c r="C1850" s="25">
        <f t="shared" si="60"/>
        <v>1900</v>
      </c>
    </row>
    <row r="1851" spans="2:3" x14ac:dyDescent="0.25">
      <c r="B1851" s="141">
        <f t="shared" si="61"/>
        <v>1</v>
      </c>
      <c r="C1851" s="25">
        <f t="shared" si="60"/>
        <v>1900</v>
      </c>
    </row>
    <row r="1852" spans="2:3" x14ac:dyDescent="0.25">
      <c r="B1852" s="141">
        <f t="shared" si="61"/>
        <v>1</v>
      </c>
      <c r="C1852" s="25">
        <f t="shared" si="60"/>
        <v>1900</v>
      </c>
    </row>
    <row r="1853" spans="2:3" x14ac:dyDescent="0.25">
      <c r="B1853" s="141">
        <f t="shared" si="61"/>
        <v>1</v>
      </c>
      <c r="C1853" s="25">
        <f t="shared" si="60"/>
        <v>1900</v>
      </c>
    </row>
    <row r="1854" spans="2:3" x14ac:dyDescent="0.25">
      <c r="B1854" s="141">
        <f t="shared" si="61"/>
        <v>1</v>
      </c>
      <c r="C1854" s="25">
        <f t="shared" si="60"/>
        <v>1900</v>
      </c>
    </row>
    <row r="1855" spans="2:3" x14ac:dyDescent="0.25">
      <c r="B1855" s="141">
        <f t="shared" si="61"/>
        <v>1</v>
      </c>
      <c r="C1855" s="25">
        <f t="shared" ref="C1855:C1918" si="62">YEAR((A1855))</f>
        <v>1900</v>
      </c>
    </row>
    <row r="1856" spans="2:3" x14ac:dyDescent="0.25">
      <c r="B1856" s="141">
        <f t="shared" si="61"/>
        <v>1</v>
      </c>
      <c r="C1856" s="25">
        <f t="shared" si="62"/>
        <v>1900</v>
      </c>
    </row>
    <row r="1857" spans="2:3" x14ac:dyDescent="0.25">
      <c r="B1857" s="141">
        <f t="shared" si="61"/>
        <v>1</v>
      </c>
      <c r="C1857" s="25">
        <f t="shared" si="62"/>
        <v>1900</v>
      </c>
    </row>
    <row r="1858" spans="2:3" x14ac:dyDescent="0.25">
      <c r="B1858" s="141">
        <f t="shared" si="61"/>
        <v>1</v>
      </c>
      <c r="C1858" s="25">
        <f t="shared" si="62"/>
        <v>1900</v>
      </c>
    </row>
    <row r="1859" spans="2:3" x14ac:dyDescent="0.25">
      <c r="B1859" s="141">
        <f t="shared" ref="B1859:B1922" si="63">MONTH(A1859)</f>
        <v>1</v>
      </c>
      <c r="C1859" s="25">
        <f t="shared" si="62"/>
        <v>1900</v>
      </c>
    </row>
    <row r="1860" spans="2:3" x14ac:dyDescent="0.25">
      <c r="B1860" s="141">
        <f t="shared" si="63"/>
        <v>1</v>
      </c>
      <c r="C1860" s="25">
        <f t="shared" si="62"/>
        <v>1900</v>
      </c>
    </row>
    <row r="1861" spans="2:3" x14ac:dyDescent="0.25">
      <c r="B1861" s="141">
        <f t="shared" si="63"/>
        <v>1</v>
      </c>
      <c r="C1861" s="25">
        <f t="shared" si="62"/>
        <v>1900</v>
      </c>
    </row>
    <row r="1862" spans="2:3" x14ac:dyDescent="0.25">
      <c r="B1862" s="141">
        <f t="shared" si="63"/>
        <v>1</v>
      </c>
      <c r="C1862" s="25">
        <f t="shared" si="62"/>
        <v>1900</v>
      </c>
    </row>
    <row r="1863" spans="2:3" x14ac:dyDescent="0.25">
      <c r="B1863" s="141">
        <f t="shared" si="63"/>
        <v>1</v>
      </c>
      <c r="C1863" s="25">
        <f t="shared" si="62"/>
        <v>1900</v>
      </c>
    </row>
    <row r="1864" spans="2:3" x14ac:dyDescent="0.25">
      <c r="B1864" s="141">
        <f t="shared" si="63"/>
        <v>1</v>
      </c>
      <c r="C1864" s="25">
        <f t="shared" si="62"/>
        <v>1900</v>
      </c>
    </row>
    <row r="1865" spans="2:3" x14ac:dyDescent="0.25">
      <c r="B1865" s="141">
        <f t="shared" si="63"/>
        <v>1</v>
      </c>
      <c r="C1865" s="25">
        <f t="shared" si="62"/>
        <v>1900</v>
      </c>
    </row>
    <row r="1866" spans="2:3" x14ac:dyDescent="0.25">
      <c r="B1866" s="141">
        <f t="shared" si="63"/>
        <v>1</v>
      </c>
      <c r="C1866" s="25">
        <f t="shared" si="62"/>
        <v>1900</v>
      </c>
    </row>
    <row r="1867" spans="2:3" x14ac:dyDescent="0.25">
      <c r="B1867" s="141">
        <f t="shared" si="63"/>
        <v>1</v>
      </c>
      <c r="C1867" s="25">
        <f t="shared" si="62"/>
        <v>1900</v>
      </c>
    </row>
    <row r="1868" spans="2:3" x14ac:dyDescent="0.25">
      <c r="B1868" s="141">
        <f t="shared" si="63"/>
        <v>1</v>
      </c>
      <c r="C1868" s="25">
        <f t="shared" si="62"/>
        <v>1900</v>
      </c>
    </row>
    <row r="1869" spans="2:3" x14ac:dyDescent="0.25">
      <c r="B1869" s="141">
        <f t="shared" si="63"/>
        <v>1</v>
      </c>
      <c r="C1869" s="25">
        <f t="shared" si="62"/>
        <v>1900</v>
      </c>
    </row>
    <row r="1870" spans="2:3" x14ac:dyDescent="0.25">
      <c r="B1870" s="141">
        <f t="shared" si="63"/>
        <v>1</v>
      </c>
      <c r="C1870" s="25">
        <f t="shared" si="62"/>
        <v>1900</v>
      </c>
    </row>
    <row r="1871" spans="2:3" x14ac:dyDescent="0.25">
      <c r="B1871" s="141">
        <f t="shared" si="63"/>
        <v>1</v>
      </c>
      <c r="C1871" s="25">
        <f t="shared" si="62"/>
        <v>1900</v>
      </c>
    </row>
    <row r="1872" spans="2:3" x14ac:dyDescent="0.25">
      <c r="B1872" s="141">
        <f t="shared" si="63"/>
        <v>1</v>
      </c>
      <c r="C1872" s="25">
        <f t="shared" si="62"/>
        <v>1900</v>
      </c>
    </row>
    <row r="1873" spans="2:3" x14ac:dyDescent="0.25">
      <c r="B1873" s="141">
        <f t="shared" si="63"/>
        <v>1</v>
      </c>
      <c r="C1873" s="25">
        <f t="shared" si="62"/>
        <v>1900</v>
      </c>
    </row>
    <row r="1874" spans="2:3" x14ac:dyDescent="0.25">
      <c r="B1874" s="141">
        <f t="shared" si="63"/>
        <v>1</v>
      </c>
      <c r="C1874" s="25">
        <f t="shared" si="62"/>
        <v>1900</v>
      </c>
    </row>
    <row r="1875" spans="2:3" x14ac:dyDescent="0.25">
      <c r="B1875" s="141">
        <f t="shared" si="63"/>
        <v>1</v>
      </c>
      <c r="C1875" s="25">
        <f t="shared" si="62"/>
        <v>1900</v>
      </c>
    </row>
    <row r="1876" spans="2:3" x14ac:dyDescent="0.25">
      <c r="B1876" s="141">
        <f t="shared" si="63"/>
        <v>1</v>
      </c>
      <c r="C1876" s="25">
        <f t="shared" si="62"/>
        <v>1900</v>
      </c>
    </row>
    <row r="1877" spans="2:3" x14ac:dyDescent="0.25">
      <c r="B1877" s="141">
        <f t="shared" si="63"/>
        <v>1</v>
      </c>
      <c r="C1877" s="25">
        <f t="shared" si="62"/>
        <v>1900</v>
      </c>
    </row>
    <row r="1878" spans="2:3" x14ac:dyDescent="0.25">
      <c r="B1878" s="141">
        <f t="shared" si="63"/>
        <v>1</v>
      </c>
      <c r="C1878" s="25">
        <f t="shared" si="62"/>
        <v>1900</v>
      </c>
    </row>
    <row r="1879" spans="2:3" x14ac:dyDescent="0.25">
      <c r="B1879" s="141">
        <f t="shared" si="63"/>
        <v>1</v>
      </c>
      <c r="C1879" s="25">
        <f t="shared" si="62"/>
        <v>1900</v>
      </c>
    </row>
    <row r="1880" spans="2:3" x14ac:dyDescent="0.25">
      <c r="B1880" s="141">
        <f t="shared" si="63"/>
        <v>1</v>
      </c>
      <c r="C1880" s="25">
        <f t="shared" si="62"/>
        <v>1900</v>
      </c>
    </row>
    <row r="1881" spans="2:3" x14ac:dyDescent="0.25">
      <c r="B1881" s="141">
        <f t="shared" si="63"/>
        <v>1</v>
      </c>
      <c r="C1881" s="25">
        <f t="shared" si="62"/>
        <v>1900</v>
      </c>
    </row>
    <row r="1882" spans="2:3" x14ac:dyDescent="0.25">
      <c r="B1882" s="141">
        <f t="shared" si="63"/>
        <v>1</v>
      </c>
      <c r="C1882" s="25">
        <f t="shared" si="62"/>
        <v>1900</v>
      </c>
    </row>
    <row r="1883" spans="2:3" x14ac:dyDescent="0.25">
      <c r="B1883" s="141">
        <f t="shared" si="63"/>
        <v>1</v>
      </c>
      <c r="C1883" s="25">
        <f t="shared" si="62"/>
        <v>1900</v>
      </c>
    </row>
    <row r="1884" spans="2:3" x14ac:dyDescent="0.25">
      <c r="B1884" s="141">
        <f t="shared" si="63"/>
        <v>1</v>
      </c>
      <c r="C1884" s="25">
        <f t="shared" si="62"/>
        <v>1900</v>
      </c>
    </row>
    <row r="1885" spans="2:3" x14ac:dyDescent="0.25">
      <c r="B1885" s="141">
        <f t="shared" si="63"/>
        <v>1</v>
      </c>
      <c r="C1885" s="25">
        <f t="shared" si="62"/>
        <v>1900</v>
      </c>
    </row>
    <row r="1886" spans="2:3" x14ac:dyDescent="0.25">
      <c r="B1886" s="141">
        <f t="shared" si="63"/>
        <v>1</v>
      </c>
      <c r="C1886" s="25">
        <f t="shared" si="62"/>
        <v>1900</v>
      </c>
    </row>
    <row r="1887" spans="2:3" x14ac:dyDescent="0.25">
      <c r="B1887" s="141">
        <f t="shared" si="63"/>
        <v>1</v>
      </c>
      <c r="C1887" s="25">
        <f t="shared" si="62"/>
        <v>1900</v>
      </c>
    </row>
    <row r="1888" spans="2:3" x14ac:dyDescent="0.25">
      <c r="B1888" s="141">
        <f t="shared" si="63"/>
        <v>1</v>
      </c>
      <c r="C1888" s="25">
        <f t="shared" si="62"/>
        <v>1900</v>
      </c>
    </row>
    <row r="1889" spans="2:3" x14ac:dyDescent="0.25">
      <c r="B1889" s="141">
        <f t="shared" si="63"/>
        <v>1</v>
      </c>
      <c r="C1889" s="25">
        <f t="shared" si="62"/>
        <v>1900</v>
      </c>
    </row>
    <row r="1890" spans="2:3" x14ac:dyDescent="0.25">
      <c r="B1890" s="141">
        <f t="shared" si="63"/>
        <v>1</v>
      </c>
      <c r="C1890" s="25">
        <f t="shared" si="62"/>
        <v>1900</v>
      </c>
    </row>
    <row r="1891" spans="2:3" x14ac:dyDescent="0.25">
      <c r="B1891" s="141">
        <f t="shared" si="63"/>
        <v>1</v>
      </c>
      <c r="C1891" s="25">
        <f t="shared" si="62"/>
        <v>1900</v>
      </c>
    </row>
    <row r="1892" spans="2:3" x14ac:dyDescent="0.25">
      <c r="B1892" s="141">
        <f t="shared" si="63"/>
        <v>1</v>
      </c>
      <c r="C1892" s="25">
        <f t="shared" si="62"/>
        <v>1900</v>
      </c>
    </row>
    <row r="1893" spans="2:3" x14ac:dyDescent="0.25">
      <c r="B1893" s="141">
        <f t="shared" si="63"/>
        <v>1</v>
      </c>
      <c r="C1893" s="25">
        <f t="shared" si="62"/>
        <v>1900</v>
      </c>
    </row>
    <row r="1894" spans="2:3" x14ac:dyDescent="0.25">
      <c r="B1894" s="141">
        <f t="shared" si="63"/>
        <v>1</v>
      </c>
      <c r="C1894" s="25">
        <f t="shared" si="62"/>
        <v>1900</v>
      </c>
    </row>
    <row r="1895" spans="2:3" x14ac:dyDescent="0.25">
      <c r="B1895" s="141">
        <f t="shared" si="63"/>
        <v>1</v>
      </c>
      <c r="C1895" s="25">
        <f t="shared" si="62"/>
        <v>1900</v>
      </c>
    </row>
    <row r="1896" spans="2:3" x14ac:dyDescent="0.25">
      <c r="B1896" s="141">
        <f t="shared" si="63"/>
        <v>1</v>
      </c>
      <c r="C1896" s="25">
        <f t="shared" si="62"/>
        <v>1900</v>
      </c>
    </row>
    <row r="1897" spans="2:3" x14ac:dyDescent="0.25">
      <c r="B1897" s="141">
        <f t="shared" si="63"/>
        <v>1</v>
      </c>
      <c r="C1897" s="25">
        <f t="shared" si="62"/>
        <v>1900</v>
      </c>
    </row>
    <row r="1898" spans="2:3" x14ac:dyDescent="0.25">
      <c r="B1898" s="141">
        <f t="shared" si="63"/>
        <v>1</v>
      </c>
      <c r="C1898" s="25">
        <f t="shared" si="62"/>
        <v>1900</v>
      </c>
    </row>
    <row r="1899" spans="2:3" x14ac:dyDescent="0.25">
      <c r="B1899" s="141">
        <f t="shared" si="63"/>
        <v>1</v>
      </c>
      <c r="C1899" s="25">
        <f t="shared" si="62"/>
        <v>1900</v>
      </c>
    </row>
    <row r="1900" spans="2:3" x14ac:dyDescent="0.25">
      <c r="B1900" s="141">
        <f t="shared" si="63"/>
        <v>1</v>
      </c>
      <c r="C1900" s="25">
        <f t="shared" si="62"/>
        <v>1900</v>
      </c>
    </row>
    <row r="1901" spans="2:3" x14ac:dyDescent="0.25">
      <c r="B1901" s="141">
        <f t="shared" si="63"/>
        <v>1</v>
      </c>
      <c r="C1901" s="25">
        <f t="shared" si="62"/>
        <v>1900</v>
      </c>
    </row>
    <row r="1902" spans="2:3" x14ac:dyDescent="0.25">
      <c r="B1902" s="141">
        <f t="shared" si="63"/>
        <v>1</v>
      </c>
      <c r="C1902" s="25">
        <f t="shared" si="62"/>
        <v>1900</v>
      </c>
    </row>
    <row r="1903" spans="2:3" x14ac:dyDescent="0.25">
      <c r="B1903" s="141">
        <f t="shared" si="63"/>
        <v>1</v>
      </c>
      <c r="C1903" s="25">
        <f t="shared" si="62"/>
        <v>1900</v>
      </c>
    </row>
    <row r="1904" spans="2:3" x14ac:dyDescent="0.25">
      <c r="B1904" s="141">
        <f t="shared" si="63"/>
        <v>1</v>
      </c>
      <c r="C1904" s="25">
        <f t="shared" si="62"/>
        <v>1900</v>
      </c>
    </row>
    <row r="1905" spans="2:3" x14ac:dyDescent="0.25">
      <c r="B1905" s="141">
        <f t="shared" si="63"/>
        <v>1</v>
      </c>
      <c r="C1905" s="25">
        <f t="shared" si="62"/>
        <v>1900</v>
      </c>
    </row>
    <row r="1906" spans="2:3" x14ac:dyDescent="0.25">
      <c r="B1906" s="141">
        <f t="shared" si="63"/>
        <v>1</v>
      </c>
      <c r="C1906" s="25">
        <f t="shared" si="62"/>
        <v>1900</v>
      </c>
    </row>
    <row r="1907" spans="2:3" x14ac:dyDescent="0.25">
      <c r="B1907" s="141">
        <f t="shared" si="63"/>
        <v>1</v>
      </c>
      <c r="C1907" s="25">
        <f t="shared" si="62"/>
        <v>1900</v>
      </c>
    </row>
    <row r="1908" spans="2:3" x14ac:dyDescent="0.25">
      <c r="B1908" s="141">
        <f t="shared" si="63"/>
        <v>1</v>
      </c>
      <c r="C1908" s="25">
        <f t="shared" si="62"/>
        <v>1900</v>
      </c>
    </row>
    <row r="1909" spans="2:3" x14ac:dyDescent="0.25">
      <c r="B1909" s="141">
        <f t="shared" si="63"/>
        <v>1</v>
      </c>
      <c r="C1909" s="25">
        <f t="shared" si="62"/>
        <v>1900</v>
      </c>
    </row>
    <row r="1910" spans="2:3" x14ac:dyDescent="0.25">
      <c r="B1910" s="141">
        <f t="shared" si="63"/>
        <v>1</v>
      </c>
      <c r="C1910" s="25">
        <f t="shared" si="62"/>
        <v>1900</v>
      </c>
    </row>
    <row r="1911" spans="2:3" x14ac:dyDescent="0.25">
      <c r="B1911" s="141">
        <f t="shared" si="63"/>
        <v>1</v>
      </c>
      <c r="C1911" s="25">
        <f t="shared" si="62"/>
        <v>1900</v>
      </c>
    </row>
    <row r="1912" spans="2:3" x14ac:dyDescent="0.25">
      <c r="B1912" s="141">
        <f t="shared" si="63"/>
        <v>1</v>
      </c>
      <c r="C1912" s="25">
        <f t="shared" si="62"/>
        <v>1900</v>
      </c>
    </row>
    <row r="1913" spans="2:3" x14ac:dyDescent="0.25">
      <c r="B1913" s="141">
        <f t="shared" si="63"/>
        <v>1</v>
      </c>
      <c r="C1913" s="25">
        <f t="shared" si="62"/>
        <v>1900</v>
      </c>
    </row>
    <row r="1914" spans="2:3" x14ac:dyDescent="0.25">
      <c r="B1914" s="141">
        <f t="shared" si="63"/>
        <v>1</v>
      </c>
      <c r="C1914" s="25">
        <f t="shared" si="62"/>
        <v>1900</v>
      </c>
    </row>
    <row r="1915" spans="2:3" x14ac:dyDescent="0.25">
      <c r="B1915" s="141">
        <f t="shared" si="63"/>
        <v>1</v>
      </c>
      <c r="C1915" s="25">
        <f t="shared" si="62"/>
        <v>1900</v>
      </c>
    </row>
    <row r="1916" spans="2:3" x14ac:dyDescent="0.25">
      <c r="B1916" s="141">
        <f t="shared" si="63"/>
        <v>1</v>
      </c>
      <c r="C1916" s="25">
        <f t="shared" si="62"/>
        <v>1900</v>
      </c>
    </row>
    <row r="1917" spans="2:3" x14ac:dyDescent="0.25">
      <c r="B1917" s="141">
        <f t="shared" si="63"/>
        <v>1</v>
      </c>
      <c r="C1917" s="25">
        <f t="shared" si="62"/>
        <v>1900</v>
      </c>
    </row>
    <row r="1918" spans="2:3" x14ac:dyDescent="0.25">
      <c r="B1918" s="141">
        <f t="shared" si="63"/>
        <v>1</v>
      </c>
      <c r="C1918" s="25">
        <f t="shared" si="62"/>
        <v>1900</v>
      </c>
    </row>
    <row r="1919" spans="2:3" x14ac:dyDescent="0.25">
      <c r="B1919" s="141">
        <f t="shared" si="63"/>
        <v>1</v>
      </c>
      <c r="C1919" s="25">
        <f t="shared" ref="C1919:C1982" si="64">YEAR((A1919))</f>
        <v>1900</v>
      </c>
    </row>
    <row r="1920" spans="2:3" x14ac:dyDescent="0.25">
      <c r="B1920" s="141">
        <f t="shared" si="63"/>
        <v>1</v>
      </c>
      <c r="C1920" s="25">
        <f t="shared" si="64"/>
        <v>1900</v>
      </c>
    </row>
    <row r="1921" spans="2:3" x14ac:dyDescent="0.25">
      <c r="B1921" s="141">
        <f t="shared" si="63"/>
        <v>1</v>
      </c>
      <c r="C1921" s="25">
        <f t="shared" si="64"/>
        <v>1900</v>
      </c>
    </row>
    <row r="1922" spans="2:3" x14ac:dyDescent="0.25">
      <c r="B1922" s="141">
        <f t="shared" si="63"/>
        <v>1</v>
      </c>
      <c r="C1922" s="25">
        <f t="shared" si="64"/>
        <v>1900</v>
      </c>
    </row>
    <row r="1923" spans="2:3" x14ac:dyDescent="0.25">
      <c r="B1923" s="141">
        <f t="shared" ref="B1923:B1986" si="65">MONTH(A1923)</f>
        <v>1</v>
      </c>
      <c r="C1923" s="25">
        <f t="shared" si="64"/>
        <v>1900</v>
      </c>
    </row>
    <row r="1924" spans="2:3" x14ac:dyDescent="0.25">
      <c r="B1924" s="141">
        <f t="shared" si="65"/>
        <v>1</v>
      </c>
      <c r="C1924" s="25">
        <f t="shared" si="64"/>
        <v>1900</v>
      </c>
    </row>
    <row r="1925" spans="2:3" x14ac:dyDescent="0.25">
      <c r="B1925" s="141">
        <f t="shared" si="65"/>
        <v>1</v>
      </c>
      <c r="C1925" s="25">
        <f t="shared" si="64"/>
        <v>1900</v>
      </c>
    </row>
    <row r="1926" spans="2:3" x14ac:dyDescent="0.25">
      <c r="B1926" s="141">
        <f t="shared" si="65"/>
        <v>1</v>
      </c>
      <c r="C1926" s="25">
        <f t="shared" si="64"/>
        <v>1900</v>
      </c>
    </row>
    <row r="1927" spans="2:3" x14ac:dyDescent="0.25">
      <c r="B1927" s="141">
        <f t="shared" si="65"/>
        <v>1</v>
      </c>
      <c r="C1927" s="25">
        <f t="shared" si="64"/>
        <v>1900</v>
      </c>
    </row>
    <row r="1928" spans="2:3" x14ac:dyDescent="0.25">
      <c r="B1928" s="141">
        <f t="shared" si="65"/>
        <v>1</v>
      </c>
      <c r="C1928" s="25">
        <f t="shared" si="64"/>
        <v>1900</v>
      </c>
    </row>
    <row r="1929" spans="2:3" x14ac:dyDescent="0.25">
      <c r="B1929" s="141">
        <f t="shared" si="65"/>
        <v>1</v>
      </c>
      <c r="C1929" s="25">
        <f t="shared" si="64"/>
        <v>1900</v>
      </c>
    </row>
    <row r="1930" spans="2:3" x14ac:dyDescent="0.25">
      <c r="B1930" s="141">
        <f t="shared" si="65"/>
        <v>1</v>
      </c>
      <c r="C1930" s="25">
        <f t="shared" si="64"/>
        <v>1900</v>
      </c>
    </row>
    <row r="1931" spans="2:3" x14ac:dyDescent="0.25">
      <c r="B1931" s="141">
        <f t="shared" si="65"/>
        <v>1</v>
      </c>
      <c r="C1931" s="25">
        <f t="shared" si="64"/>
        <v>1900</v>
      </c>
    </row>
    <row r="1932" spans="2:3" x14ac:dyDescent="0.25">
      <c r="B1932" s="141">
        <f t="shared" si="65"/>
        <v>1</v>
      </c>
      <c r="C1932" s="25">
        <f t="shared" si="64"/>
        <v>1900</v>
      </c>
    </row>
    <row r="1933" spans="2:3" x14ac:dyDescent="0.25">
      <c r="B1933" s="141">
        <f t="shared" si="65"/>
        <v>1</v>
      </c>
      <c r="C1933" s="25">
        <f t="shared" si="64"/>
        <v>1900</v>
      </c>
    </row>
    <row r="1934" spans="2:3" x14ac:dyDescent="0.25">
      <c r="B1934" s="141">
        <f t="shared" si="65"/>
        <v>1</v>
      </c>
      <c r="C1934" s="25">
        <f t="shared" si="64"/>
        <v>1900</v>
      </c>
    </row>
    <row r="1935" spans="2:3" x14ac:dyDescent="0.25">
      <c r="B1935" s="141">
        <f t="shared" si="65"/>
        <v>1</v>
      </c>
      <c r="C1935" s="25">
        <f t="shared" si="64"/>
        <v>1900</v>
      </c>
    </row>
    <row r="1936" spans="2:3" x14ac:dyDescent="0.25">
      <c r="B1936" s="141">
        <f t="shared" si="65"/>
        <v>1</v>
      </c>
      <c r="C1936" s="25">
        <f t="shared" si="64"/>
        <v>1900</v>
      </c>
    </row>
    <row r="1937" spans="2:3" x14ac:dyDescent="0.25">
      <c r="B1937" s="141">
        <f t="shared" si="65"/>
        <v>1</v>
      </c>
      <c r="C1937" s="25">
        <f t="shared" si="64"/>
        <v>1900</v>
      </c>
    </row>
    <row r="1938" spans="2:3" x14ac:dyDescent="0.25">
      <c r="B1938" s="141">
        <f t="shared" si="65"/>
        <v>1</v>
      </c>
      <c r="C1938" s="25">
        <f t="shared" si="64"/>
        <v>1900</v>
      </c>
    </row>
    <row r="1939" spans="2:3" x14ac:dyDescent="0.25">
      <c r="B1939" s="141">
        <f t="shared" si="65"/>
        <v>1</v>
      </c>
      <c r="C1939" s="25">
        <f t="shared" si="64"/>
        <v>1900</v>
      </c>
    </row>
    <row r="1940" spans="2:3" x14ac:dyDescent="0.25">
      <c r="B1940" s="141">
        <f t="shared" si="65"/>
        <v>1</v>
      </c>
      <c r="C1940" s="25">
        <f t="shared" si="64"/>
        <v>1900</v>
      </c>
    </row>
    <row r="1941" spans="2:3" x14ac:dyDescent="0.25">
      <c r="B1941" s="141">
        <f t="shared" si="65"/>
        <v>1</v>
      </c>
      <c r="C1941" s="25">
        <f t="shared" si="64"/>
        <v>1900</v>
      </c>
    </row>
    <row r="1942" spans="2:3" x14ac:dyDescent="0.25">
      <c r="B1942" s="141">
        <f t="shared" si="65"/>
        <v>1</v>
      </c>
      <c r="C1942" s="25">
        <f t="shared" si="64"/>
        <v>1900</v>
      </c>
    </row>
    <row r="1943" spans="2:3" x14ac:dyDescent="0.25">
      <c r="B1943" s="141">
        <f t="shared" si="65"/>
        <v>1</v>
      </c>
      <c r="C1943" s="25">
        <f t="shared" si="64"/>
        <v>1900</v>
      </c>
    </row>
    <row r="1944" spans="2:3" x14ac:dyDescent="0.25">
      <c r="B1944" s="141">
        <f t="shared" si="65"/>
        <v>1</v>
      </c>
      <c r="C1944" s="25">
        <f t="shared" si="64"/>
        <v>1900</v>
      </c>
    </row>
    <row r="1945" spans="2:3" x14ac:dyDescent="0.25">
      <c r="B1945" s="141">
        <f t="shared" si="65"/>
        <v>1</v>
      </c>
      <c r="C1945" s="25">
        <f t="shared" si="64"/>
        <v>1900</v>
      </c>
    </row>
    <row r="1946" spans="2:3" x14ac:dyDescent="0.25">
      <c r="B1946" s="141">
        <f t="shared" si="65"/>
        <v>1</v>
      </c>
      <c r="C1946" s="25">
        <f t="shared" si="64"/>
        <v>1900</v>
      </c>
    </row>
    <row r="1947" spans="2:3" x14ac:dyDescent="0.25">
      <c r="B1947" s="141">
        <f t="shared" si="65"/>
        <v>1</v>
      </c>
      <c r="C1947" s="25">
        <f t="shared" si="64"/>
        <v>1900</v>
      </c>
    </row>
    <row r="1948" spans="2:3" x14ac:dyDescent="0.25">
      <c r="B1948" s="141">
        <f t="shared" si="65"/>
        <v>1</v>
      </c>
      <c r="C1948" s="25">
        <f t="shared" si="64"/>
        <v>1900</v>
      </c>
    </row>
    <row r="1949" spans="2:3" x14ac:dyDescent="0.25">
      <c r="B1949" s="141">
        <f t="shared" si="65"/>
        <v>1</v>
      </c>
      <c r="C1949" s="25">
        <f t="shared" si="64"/>
        <v>1900</v>
      </c>
    </row>
    <row r="1950" spans="2:3" x14ac:dyDescent="0.25">
      <c r="B1950" s="141">
        <f t="shared" si="65"/>
        <v>1</v>
      </c>
      <c r="C1950" s="25">
        <f t="shared" si="64"/>
        <v>1900</v>
      </c>
    </row>
    <row r="1951" spans="2:3" x14ac:dyDescent="0.25">
      <c r="B1951" s="141">
        <f t="shared" si="65"/>
        <v>1</v>
      </c>
      <c r="C1951" s="25">
        <f t="shared" si="64"/>
        <v>1900</v>
      </c>
    </row>
    <row r="1952" spans="2:3" x14ac:dyDescent="0.25">
      <c r="B1952" s="141">
        <f t="shared" si="65"/>
        <v>1</v>
      </c>
      <c r="C1952" s="25">
        <f t="shared" si="64"/>
        <v>1900</v>
      </c>
    </row>
    <row r="1953" spans="2:3" x14ac:dyDescent="0.25">
      <c r="B1953" s="141">
        <f t="shared" si="65"/>
        <v>1</v>
      </c>
      <c r="C1953" s="25">
        <f t="shared" si="64"/>
        <v>1900</v>
      </c>
    </row>
    <row r="1954" spans="2:3" x14ac:dyDescent="0.25">
      <c r="B1954" s="141">
        <f t="shared" si="65"/>
        <v>1</v>
      </c>
      <c r="C1954" s="25">
        <f t="shared" si="64"/>
        <v>1900</v>
      </c>
    </row>
    <row r="1955" spans="2:3" x14ac:dyDescent="0.25">
      <c r="B1955" s="141">
        <f t="shared" si="65"/>
        <v>1</v>
      </c>
      <c r="C1955" s="25">
        <f t="shared" si="64"/>
        <v>1900</v>
      </c>
    </row>
    <row r="1956" spans="2:3" x14ac:dyDescent="0.25">
      <c r="B1956" s="141">
        <f t="shared" si="65"/>
        <v>1</v>
      </c>
      <c r="C1956" s="25">
        <f t="shared" si="64"/>
        <v>1900</v>
      </c>
    </row>
    <row r="1957" spans="2:3" x14ac:dyDescent="0.25">
      <c r="B1957" s="141">
        <f t="shared" si="65"/>
        <v>1</v>
      </c>
      <c r="C1957" s="25">
        <f t="shared" si="64"/>
        <v>1900</v>
      </c>
    </row>
    <row r="1958" spans="2:3" x14ac:dyDescent="0.25">
      <c r="B1958" s="141">
        <f t="shared" si="65"/>
        <v>1</v>
      </c>
      <c r="C1958" s="25">
        <f t="shared" si="64"/>
        <v>1900</v>
      </c>
    </row>
    <row r="1959" spans="2:3" x14ac:dyDescent="0.25">
      <c r="B1959" s="141">
        <f t="shared" si="65"/>
        <v>1</v>
      </c>
      <c r="C1959" s="25">
        <f t="shared" si="64"/>
        <v>1900</v>
      </c>
    </row>
    <row r="1960" spans="2:3" x14ac:dyDescent="0.25">
      <c r="B1960" s="141">
        <f t="shared" si="65"/>
        <v>1</v>
      </c>
      <c r="C1960" s="25">
        <f t="shared" si="64"/>
        <v>1900</v>
      </c>
    </row>
    <row r="1961" spans="2:3" x14ac:dyDescent="0.25">
      <c r="B1961" s="141">
        <f t="shared" si="65"/>
        <v>1</v>
      </c>
      <c r="C1961" s="25">
        <f t="shared" si="64"/>
        <v>1900</v>
      </c>
    </row>
    <row r="1962" spans="2:3" x14ac:dyDescent="0.25">
      <c r="B1962" s="141">
        <f t="shared" si="65"/>
        <v>1</v>
      </c>
      <c r="C1962" s="25">
        <f t="shared" si="64"/>
        <v>1900</v>
      </c>
    </row>
    <row r="1963" spans="2:3" x14ac:dyDescent="0.25">
      <c r="B1963" s="141">
        <f t="shared" si="65"/>
        <v>1</v>
      </c>
      <c r="C1963" s="25">
        <f t="shared" si="64"/>
        <v>1900</v>
      </c>
    </row>
    <row r="1964" spans="2:3" x14ac:dyDescent="0.25">
      <c r="B1964" s="141">
        <f t="shared" si="65"/>
        <v>1</v>
      </c>
      <c r="C1964" s="25">
        <f t="shared" si="64"/>
        <v>1900</v>
      </c>
    </row>
    <row r="1965" spans="2:3" x14ac:dyDescent="0.25">
      <c r="B1965" s="141">
        <f t="shared" si="65"/>
        <v>1</v>
      </c>
      <c r="C1965" s="25">
        <f t="shared" si="64"/>
        <v>1900</v>
      </c>
    </row>
    <row r="1966" spans="2:3" x14ac:dyDescent="0.25">
      <c r="B1966" s="141">
        <f t="shared" si="65"/>
        <v>1</v>
      </c>
      <c r="C1966" s="25">
        <f t="shared" si="64"/>
        <v>1900</v>
      </c>
    </row>
    <row r="1967" spans="2:3" x14ac:dyDescent="0.25">
      <c r="B1967" s="141">
        <f t="shared" si="65"/>
        <v>1</v>
      </c>
      <c r="C1967" s="25">
        <f t="shared" si="64"/>
        <v>1900</v>
      </c>
    </row>
    <row r="1968" spans="2:3" x14ac:dyDescent="0.25">
      <c r="B1968" s="141">
        <f t="shared" si="65"/>
        <v>1</v>
      </c>
      <c r="C1968" s="25">
        <f t="shared" si="64"/>
        <v>1900</v>
      </c>
    </row>
    <row r="1969" spans="2:3" x14ac:dyDescent="0.25">
      <c r="B1969" s="141">
        <f t="shared" si="65"/>
        <v>1</v>
      </c>
      <c r="C1969" s="25">
        <f t="shared" si="64"/>
        <v>1900</v>
      </c>
    </row>
    <row r="1970" spans="2:3" x14ac:dyDescent="0.25">
      <c r="B1970" s="141">
        <f t="shared" si="65"/>
        <v>1</v>
      </c>
      <c r="C1970" s="25">
        <f t="shared" si="64"/>
        <v>1900</v>
      </c>
    </row>
    <row r="1971" spans="2:3" x14ac:dyDescent="0.25">
      <c r="B1971" s="141">
        <f t="shared" si="65"/>
        <v>1</v>
      </c>
      <c r="C1971" s="25">
        <f t="shared" si="64"/>
        <v>1900</v>
      </c>
    </row>
    <row r="1972" spans="2:3" x14ac:dyDescent="0.25">
      <c r="B1972" s="141">
        <f t="shared" si="65"/>
        <v>1</v>
      </c>
      <c r="C1972" s="25">
        <f t="shared" si="64"/>
        <v>1900</v>
      </c>
    </row>
    <row r="1973" spans="2:3" x14ac:dyDescent="0.25">
      <c r="B1973" s="141">
        <f t="shared" si="65"/>
        <v>1</v>
      </c>
      <c r="C1973" s="25">
        <f t="shared" si="64"/>
        <v>1900</v>
      </c>
    </row>
    <row r="1974" spans="2:3" x14ac:dyDescent="0.25">
      <c r="B1974" s="141">
        <f t="shared" si="65"/>
        <v>1</v>
      </c>
      <c r="C1974" s="25">
        <f t="shared" si="64"/>
        <v>1900</v>
      </c>
    </row>
    <row r="1975" spans="2:3" x14ac:dyDescent="0.25">
      <c r="B1975" s="141">
        <f t="shared" si="65"/>
        <v>1</v>
      </c>
      <c r="C1975" s="25">
        <f t="shared" si="64"/>
        <v>1900</v>
      </c>
    </row>
    <row r="1976" spans="2:3" x14ac:dyDescent="0.25">
      <c r="B1976" s="141">
        <f t="shared" si="65"/>
        <v>1</v>
      </c>
      <c r="C1976" s="25">
        <f t="shared" si="64"/>
        <v>1900</v>
      </c>
    </row>
    <row r="1977" spans="2:3" x14ac:dyDescent="0.25">
      <c r="B1977" s="141">
        <f t="shared" si="65"/>
        <v>1</v>
      </c>
      <c r="C1977" s="25">
        <f t="shared" si="64"/>
        <v>1900</v>
      </c>
    </row>
    <row r="1978" spans="2:3" x14ac:dyDescent="0.25">
      <c r="B1978" s="141">
        <f t="shared" si="65"/>
        <v>1</v>
      </c>
      <c r="C1978" s="25">
        <f t="shared" si="64"/>
        <v>1900</v>
      </c>
    </row>
    <row r="1979" spans="2:3" x14ac:dyDescent="0.25">
      <c r="B1979" s="141">
        <f t="shared" si="65"/>
        <v>1</v>
      </c>
      <c r="C1979" s="25">
        <f t="shared" si="64"/>
        <v>1900</v>
      </c>
    </row>
    <row r="1980" spans="2:3" x14ac:dyDescent="0.25">
      <c r="B1980" s="141">
        <f t="shared" si="65"/>
        <v>1</v>
      </c>
      <c r="C1980" s="25">
        <f t="shared" si="64"/>
        <v>1900</v>
      </c>
    </row>
    <row r="1981" spans="2:3" x14ac:dyDescent="0.25">
      <c r="B1981" s="141">
        <f t="shared" si="65"/>
        <v>1</v>
      </c>
      <c r="C1981" s="25">
        <f t="shared" si="64"/>
        <v>1900</v>
      </c>
    </row>
    <row r="1982" spans="2:3" x14ac:dyDescent="0.25">
      <c r="B1982" s="141">
        <f t="shared" si="65"/>
        <v>1</v>
      </c>
      <c r="C1982" s="25">
        <f t="shared" si="64"/>
        <v>1900</v>
      </c>
    </row>
    <row r="1983" spans="2:3" x14ac:dyDescent="0.25">
      <c r="B1983" s="141">
        <f t="shared" si="65"/>
        <v>1</v>
      </c>
      <c r="C1983" s="25">
        <f t="shared" ref="C1983:C2046" si="66">YEAR((A1983))</f>
        <v>1900</v>
      </c>
    </row>
    <row r="1984" spans="2:3" x14ac:dyDescent="0.25">
      <c r="B1984" s="141">
        <f t="shared" si="65"/>
        <v>1</v>
      </c>
      <c r="C1984" s="25">
        <f t="shared" si="66"/>
        <v>1900</v>
      </c>
    </row>
    <row r="1985" spans="2:3" x14ac:dyDescent="0.25">
      <c r="B1985" s="141">
        <f t="shared" si="65"/>
        <v>1</v>
      </c>
      <c r="C1985" s="25">
        <f t="shared" si="66"/>
        <v>1900</v>
      </c>
    </row>
    <row r="1986" spans="2:3" x14ac:dyDescent="0.25">
      <c r="B1986" s="141">
        <f t="shared" si="65"/>
        <v>1</v>
      </c>
      <c r="C1986" s="25">
        <f t="shared" si="66"/>
        <v>1900</v>
      </c>
    </row>
    <row r="1987" spans="2:3" x14ac:dyDescent="0.25">
      <c r="B1987" s="141">
        <f t="shared" ref="B1987:B2050" si="67">MONTH(A1987)</f>
        <v>1</v>
      </c>
      <c r="C1987" s="25">
        <f t="shared" si="66"/>
        <v>1900</v>
      </c>
    </row>
    <row r="1988" spans="2:3" x14ac:dyDescent="0.25">
      <c r="B1988" s="141">
        <f t="shared" si="67"/>
        <v>1</v>
      </c>
      <c r="C1988" s="25">
        <f t="shared" si="66"/>
        <v>1900</v>
      </c>
    </row>
    <row r="1989" spans="2:3" x14ac:dyDescent="0.25">
      <c r="B1989" s="141">
        <f t="shared" si="67"/>
        <v>1</v>
      </c>
      <c r="C1989" s="25">
        <f t="shared" si="66"/>
        <v>1900</v>
      </c>
    </row>
    <row r="1990" spans="2:3" x14ac:dyDescent="0.25">
      <c r="B1990" s="141">
        <f t="shared" si="67"/>
        <v>1</v>
      </c>
      <c r="C1990" s="25">
        <f t="shared" si="66"/>
        <v>1900</v>
      </c>
    </row>
    <row r="1991" spans="2:3" x14ac:dyDescent="0.25">
      <c r="B1991" s="141">
        <f t="shared" si="67"/>
        <v>1</v>
      </c>
      <c r="C1991" s="25">
        <f t="shared" si="66"/>
        <v>1900</v>
      </c>
    </row>
    <row r="1992" spans="2:3" x14ac:dyDescent="0.25">
      <c r="B1992" s="141">
        <f t="shared" si="67"/>
        <v>1</v>
      </c>
      <c r="C1992" s="25">
        <f t="shared" si="66"/>
        <v>1900</v>
      </c>
    </row>
    <row r="1993" spans="2:3" x14ac:dyDescent="0.25">
      <c r="B1993" s="141">
        <f t="shared" si="67"/>
        <v>1</v>
      </c>
      <c r="C1993" s="25">
        <f t="shared" si="66"/>
        <v>1900</v>
      </c>
    </row>
    <row r="1994" spans="2:3" x14ac:dyDescent="0.25">
      <c r="B1994" s="141">
        <f t="shared" si="67"/>
        <v>1</v>
      </c>
      <c r="C1994" s="25">
        <f t="shared" si="66"/>
        <v>1900</v>
      </c>
    </row>
    <row r="1995" spans="2:3" x14ac:dyDescent="0.25">
      <c r="B1995" s="141">
        <f t="shared" si="67"/>
        <v>1</v>
      </c>
      <c r="C1995" s="25">
        <f t="shared" si="66"/>
        <v>1900</v>
      </c>
    </row>
    <row r="1996" spans="2:3" x14ac:dyDescent="0.25">
      <c r="B1996" s="141">
        <f t="shared" si="67"/>
        <v>1</v>
      </c>
      <c r="C1996" s="25">
        <f t="shared" si="66"/>
        <v>1900</v>
      </c>
    </row>
    <row r="1997" spans="2:3" x14ac:dyDescent="0.25">
      <c r="B1997" s="141">
        <f t="shared" si="67"/>
        <v>1</v>
      </c>
      <c r="C1997" s="25">
        <f t="shared" si="66"/>
        <v>1900</v>
      </c>
    </row>
    <row r="1998" spans="2:3" x14ac:dyDescent="0.25">
      <c r="B1998" s="141">
        <f t="shared" si="67"/>
        <v>1</v>
      </c>
      <c r="C1998" s="25">
        <f t="shared" si="66"/>
        <v>1900</v>
      </c>
    </row>
    <row r="1999" spans="2:3" x14ac:dyDescent="0.25">
      <c r="B1999" s="141">
        <f t="shared" si="67"/>
        <v>1</v>
      </c>
      <c r="C1999" s="25">
        <f t="shared" si="66"/>
        <v>1900</v>
      </c>
    </row>
    <row r="2000" spans="2:3" x14ac:dyDescent="0.25">
      <c r="B2000" s="141">
        <f t="shared" si="67"/>
        <v>1</v>
      </c>
      <c r="C2000" s="25">
        <f t="shared" si="66"/>
        <v>1900</v>
      </c>
    </row>
    <row r="2001" spans="2:20" x14ac:dyDescent="0.25">
      <c r="B2001" s="141">
        <f t="shared" si="67"/>
        <v>1</v>
      </c>
      <c r="C2001" s="25">
        <f t="shared" si="66"/>
        <v>1900</v>
      </c>
    </row>
    <row r="2002" spans="2:20" x14ac:dyDescent="0.25">
      <c r="B2002" s="141">
        <f t="shared" si="67"/>
        <v>1</v>
      </c>
      <c r="C2002" s="25">
        <f t="shared" si="66"/>
        <v>1900</v>
      </c>
    </row>
    <row r="2003" spans="2:20" x14ac:dyDescent="0.25">
      <c r="B2003" s="141">
        <f t="shared" si="67"/>
        <v>1</v>
      </c>
      <c r="C2003" s="25">
        <f t="shared" si="66"/>
        <v>1900</v>
      </c>
      <c r="T2003">
        <v>23500</v>
      </c>
    </row>
    <row r="2004" spans="2:20" x14ac:dyDescent="0.25">
      <c r="B2004" s="141">
        <f t="shared" si="67"/>
        <v>1</v>
      </c>
      <c r="C2004" s="25">
        <f t="shared" si="66"/>
        <v>1900</v>
      </c>
    </row>
    <row r="2005" spans="2:20" x14ac:dyDescent="0.25">
      <c r="B2005" s="141">
        <f t="shared" si="67"/>
        <v>1</v>
      </c>
      <c r="C2005" s="25">
        <f t="shared" si="66"/>
        <v>1900</v>
      </c>
    </row>
    <row r="2006" spans="2:20" x14ac:dyDescent="0.25">
      <c r="B2006" s="141">
        <f t="shared" si="67"/>
        <v>1</v>
      </c>
      <c r="C2006" s="25">
        <f t="shared" si="66"/>
        <v>1900</v>
      </c>
    </row>
    <row r="2007" spans="2:20" x14ac:dyDescent="0.25">
      <c r="B2007" s="141">
        <f t="shared" si="67"/>
        <v>1</v>
      </c>
      <c r="C2007" s="25">
        <f t="shared" si="66"/>
        <v>1900</v>
      </c>
    </row>
    <row r="2008" spans="2:20" x14ac:dyDescent="0.25">
      <c r="B2008" s="141">
        <f t="shared" si="67"/>
        <v>1</v>
      </c>
      <c r="C2008" s="25">
        <f t="shared" si="66"/>
        <v>1900</v>
      </c>
    </row>
    <row r="2009" spans="2:20" x14ac:dyDescent="0.25">
      <c r="B2009" s="141">
        <f t="shared" si="67"/>
        <v>1</v>
      </c>
      <c r="C2009" s="25">
        <f t="shared" si="66"/>
        <v>1900</v>
      </c>
    </row>
    <row r="2010" spans="2:20" x14ac:dyDescent="0.25">
      <c r="B2010" s="141">
        <f t="shared" si="67"/>
        <v>1</v>
      </c>
      <c r="C2010" s="25">
        <f t="shared" si="66"/>
        <v>1900</v>
      </c>
    </row>
    <row r="2011" spans="2:20" x14ac:dyDescent="0.25">
      <c r="B2011" s="141">
        <f t="shared" si="67"/>
        <v>1</v>
      </c>
      <c r="C2011" s="25">
        <f t="shared" si="66"/>
        <v>1900</v>
      </c>
    </row>
    <row r="2012" spans="2:20" x14ac:dyDescent="0.25">
      <c r="B2012" s="141">
        <f t="shared" si="67"/>
        <v>1</v>
      </c>
      <c r="C2012" s="25">
        <f t="shared" si="66"/>
        <v>1900</v>
      </c>
    </row>
    <row r="2013" spans="2:20" x14ac:dyDescent="0.25">
      <c r="B2013" s="141">
        <f t="shared" si="67"/>
        <v>1</v>
      </c>
      <c r="C2013" s="25">
        <f t="shared" si="66"/>
        <v>1900</v>
      </c>
    </row>
    <row r="2014" spans="2:20" x14ac:dyDescent="0.25">
      <c r="B2014" s="141">
        <f t="shared" si="67"/>
        <v>1</v>
      </c>
      <c r="C2014" s="25">
        <f t="shared" si="66"/>
        <v>1900</v>
      </c>
    </row>
    <row r="2015" spans="2:20" x14ac:dyDescent="0.25">
      <c r="B2015" s="141">
        <f t="shared" si="67"/>
        <v>1</v>
      </c>
      <c r="C2015" s="25">
        <f t="shared" si="66"/>
        <v>1900</v>
      </c>
    </row>
    <row r="2016" spans="2:20" x14ac:dyDescent="0.25">
      <c r="B2016" s="141">
        <f t="shared" si="67"/>
        <v>1</v>
      </c>
      <c r="C2016" s="25">
        <f t="shared" si="66"/>
        <v>1900</v>
      </c>
    </row>
    <row r="2017" spans="2:3" x14ac:dyDescent="0.25">
      <c r="B2017" s="141">
        <f t="shared" si="67"/>
        <v>1</v>
      </c>
      <c r="C2017" s="25">
        <f t="shared" si="66"/>
        <v>1900</v>
      </c>
    </row>
    <row r="2018" spans="2:3" x14ac:dyDescent="0.25">
      <c r="B2018" s="141">
        <f t="shared" si="67"/>
        <v>1</v>
      </c>
      <c r="C2018" s="25">
        <f t="shared" si="66"/>
        <v>1900</v>
      </c>
    </row>
    <row r="2019" spans="2:3" x14ac:dyDescent="0.25">
      <c r="B2019" s="141">
        <f t="shared" si="67"/>
        <v>1</v>
      </c>
      <c r="C2019" s="25">
        <f t="shared" si="66"/>
        <v>1900</v>
      </c>
    </row>
    <row r="2020" spans="2:3" x14ac:dyDescent="0.25">
      <c r="B2020" s="141">
        <f t="shared" si="67"/>
        <v>1</v>
      </c>
      <c r="C2020" s="25">
        <f t="shared" si="66"/>
        <v>1900</v>
      </c>
    </row>
    <row r="2021" spans="2:3" x14ac:dyDescent="0.25">
      <c r="B2021" s="141">
        <f t="shared" si="67"/>
        <v>1</v>
      </c>
      <c r="C2021" s="25">
        <f t="shared" si="66"/>
        <v>1900</v>
      </c>
    </row>
    <row r="2022" spans="2:3" x14ac:dyDescent="0.25">
      <c r="B2022" s="141">
        <f t="shared" si="67"/>
        <v>1</v>
      </c>
      <c r="C2022" s="25">
        <f t="shared" si="66"/>
        <v>1900</v>
      </c>
    </row>
    <row r="2023" spans="2:3" x14ac:dyDescent="0.25">
      <c r="B2023" s="141">
        <f t="shared" si="67"/>
        <v>1</v>
      </c>
      <c r="C2023" s="25">
        <f t="shared" si="66"/>
        <v>1900</v>
      </c>
    </row>
    <row r="2024" spans="2:3" x14ac:dyDescent="0.25">
      <c r="B2024" s="141">
        <f t="shared" si="67"/>
        <v>1</v>
      </c>
      <c r="C2024" s="25">
        <f t="shared" si="66"/>
        <v>1900</v>
      </c>
    </row>
    <row r="2025" spans="2:3" x14ac:dyDescent="0.25">
      <c r="B2025" s="141">
        <f t="shared" si="67"/>
        <v>1</v>
      </c>
      <c r="C2025" s="25">
        <f t="shared" si="66"/>
        <v>1900</v>
      </c>
    </row>
    <row r="2026" spans="2:3" x14ac:dyDescent="0.25">
      <c r="B2026" s="141">
        <f t="shared" si="67"/>
        <v>1</v>
      </c>
      <c r="C2026" s="25">
        <f t="shared" si="66"/>
        <v>1900</v>
      </c>
    </row>
    <row r="2027" spans="2:3" x14ac:dyDescent="0.25">
      <c r="B2027" s="141">
        <f t="shared" si="67"/>
        <v>1</v>
      </c>
      <c r="C2027" s="25">
        <f t="shared" si="66"/>
        <v>1900</v>
      </c>
    </row>
    <row r="2028" spans="2:3" x14ac:dyDescent="0.25">
      <c r="B2028" s="141">
        <f t="shared" si="67"/>
        <v>1</v>
      </c>
      <c r="C2028" s="25">
        <f t="shared" si="66"/>
        <v>1900</v>
      </c>
    </row>
    <row r="2029" spans="2:3" x14ac:dyDescent="0.25">
      <c r="B2029" s="141">
        <f t="shared" si="67"/>
        <v>1</v>
      </c>
      <c r="C2029" s="25">
        <f t="shared" si="66"/>
        <v>1900</v>
      </c>
    </row>
    <row r="2030" spans="2:3" x14ac:dyDescent="0.25">
      <c r="B2030" s="141">
        <f t="shared" si="67"/>
        <v>1</v>
      </c>
      <c r="C2030" s="25">
        <f t="shared" si="66"/>
        <v>1900</v>
      </c>
    </row>
    <row r="2031" spans="2:3" x14ac:dyDescent="0.25">
      <c r="B2031" s="141">
        <f t="shared" si="67"/>
        <v>1</v>
      </c>
      <c r="C2031" s="25">
        <f t="shared" si="66"/>
        <v>1900</v>
      </c>
    </row>
    <row r="2032" spans="2:3" x14ac:dyDescent="0.25">
      <c r="B2032" s="141">
        <f t="shared" si="67"/>
        <v>1</v>
      </c>
      <c r="C2032" s="25">
        <f t="shared" si="66"/>
        <v>1900</v>
      </c>
    </row>
    <row r="2033" spans="2:3" x14ac:dyDescent="0.25">
      <c r="B2033" s="141">
        <f t="shared" si="67"/>
        <v>1</v>
      </c>
      <c r="C2033" s="25">
        <f t="shared" si="66"/>
        <v>1900</v>
      </c>
    </row>
    <row r="2034" spans="2:3" x14ac:dyDescent="0.25">
      <c r="B2034" s="141">
        <f t="shared" si="67"/>
        <v>1</v>
      </c>
      <c r="C2034" s="25">
        <f t="shared" si="66"/>
        <v>1900</v>
      </c>
    </row>
    <row r="2035" spans="2:3" x14ac:dyDescent="0.25">
      <c r="B2035" s="141">
        <f t="shared" si="67"/>
        <v>1</v>
      </c>
      <c r="C2035" s="25">
        <f t="shared" si="66"/>
        <v>1900</v>
      </c>
    </row>
    <row r="2036" spans="2:3" x14ac:dyDescent="0.25">
      <c r="B2036" s="141">
        <f t="shared" si="67"/>
        <v>1</v>
      </c>
      <c r="C2036" s="25">
        <f t="shared" si="66"/>
        <v>1900</v>
      </c>
    </row>
    <row r="2037" spans="2:3" x14ac:dyDescent="0.25">
      <c r="B2037" s="141">
        <f t="shared" si="67"/>
        <v>1</v>
      </c>
      <c r="C2037" s="25">
        <f t="shared" si="66"/>
        <v>1900</v>
      </c>
    </row>
    <row r="2038" spans="2:3" x14ac:dyDescent="0.25">
      <c r="B2038" s="141">
        <f t="shared" si="67"/>
        <v>1</v>
      </c>
      <c r="C2038" s="25">
        <f t="shared" si="66"/>
        <v>1900</v>
      </c>
    </row>
    <row r="2039" spans="2:3" x14ac:dyDescent="0.25">
      <c r="B2039" s="141">
        <f t="shared" si="67"/>
        <v>1</v>
      </c>
      <c r="C2039" s="25">
        <f t="shared" si="66"/>
        <v>1900</v>
      </c>
    </row>
    <row r="2040" spans="2:3" x14ac:dyDescent="0.25">
      <c r="B2040" s="141">
        <f t="shared" si="67"/>
        <v>1</v>
      </c>
      <c r="C2040" s="25">
        <f t="shared" si="66"/>
        <v>1900</v>
      </c>
    </row>
    <row r="2041" spans="2:3" x14ac:dyDescent="0.25">
      <c r="B2041" s="141">
        <f t="shared" si="67"/>
        <v>1</v>
      </c>
      <c r="C2041" s="25">
        <f t="shared" si="66"/>
        <v>1900</v>
      </c>
    </row>
    <row r="2042" spans="2:3" x14ac:dyDescent="0.25">
      <c r="B2042" s="141">
        <f t="shared" si="67"/>
        <v>1</v>
      </c>
      <c r="C2042" s="25">
        <f t="shared" si="66"/>
        <v>1900</v>
      </c>
    </row>
    <row r="2043" spans="2:3" x14ac:dyDescent="0.25">
      <c r="B2043" s="141">
        <f t="shared" si="67"/>
        <v>1</v>
      </c>
      <c r="C2043" s="25">
        <f t="shared" si="66"/>
        <v>1900</v>
      </c>
    </row>
    <row r="2044" spans="2:3" x14ac:dyDescent="0.25">
      <c r="B2044" s="141">
        <f t="shared" si="67"/>
        <v>1</v>
      </c>
      <c r="C2044" s="25">
        <f t="shared" si="66"/>
        <v>1900</v>
      </c>
    </row>
    <row r="2045" spans="2:3" x14ac:dyDescent="0.25">
      <c r="B2045" s="141">
        <f t="shared" si="67"/>
        <v>1</v>
      </c>
      <c r="C2045" s="25">
        <f t="shared" si="66"/>
        <v>1900</v>
      </c>
    </row>
    <row r="2046" spans="2:3" x14ac:dyDescent="0.25">
      <c r="B2046" s="141">
        <f t="shared" si="67"/>
        <v>1</v>
      </c>
      <c r="C2046" s="25">
        <f t="shared" si="66"/>
        <v>1900</v>
      </c>
    </row>
    <row r="2047" spans="2:3" x14ac:dyDescent="0.25">
      <c r="B2047" s="141">
        <f t="shared" si="67"/>
        <v>1</v>
      </c>
      <c r="C2047" s="25">
        <f t="shared" ref="C2047:C2110" si="68">YEAR((A2047))</f>
        <v>1900</v>
      </c>
    </row>
    <row r="2048" spans="2:3" x14ac:dyDescent="0.25">
      <c r="B2048" s="141">
        <f t="shared" si="67"/>
        <v>1</v>
      </c>
      <c r="C2048" s="25">
        <f t="shared" si="68"/>
        <v>1900</v>
      </c>
    </row>
    <row r="2049" spans="2:3" x14ac:dyDescent="0.25">
      <c r="B2049" s="141">
        <f t="shared" si="67"/>
        <v>1</v>
      </c>
      <c r="C2049" s="25">
        <f t="shared" si="68"/>
        <v>1900</v>
      </c>
    </row>
    <row r="2050" spans="2:3" x14ac:dyDescent="0.25">
      <c r="B2050" s="141">
        <f t="shared" si="67"/>
        <v>1</v>
      </c>
      <c r="C2050" s="25">
        <f t="shared" si="68"/>
        <v>1900</v>
      </c>
    </row>
    <row r="2051" spans="2:3" x14ac:dyDescent="0.25">
      <c r="B2051" s="141">
        <f t="shared" ref="B2051:B2114" si="69">MONTH(A2051)</f>
        <v>1</v>
      </c>
      <c r="C2051" s="25">
        <f t="shared" si="68"/>
        <v>1900</v>
      </c>
    </row>
    <row r="2052" spans="2:3" x14ac:dyDescent="0.25">
      <c r="B2052" s="141">
        <f t="shared" si="69"/>
        <v>1</v>
      </c>
      <c r="C2052" s="25">
        <f t="shared" si="68"/>
        <v>1900</v>
      </c>
    </row>
    <row r="2053" spans="2:3" x14ac:dyDescent="0.25">
      <c r="B2053" s="141">
        <f t="shared" si="69"/>
        <v>1</v>
      </c>
      <c r="C2053" s="25">
        <f t="shared" si="68"/>
        <v>1900</v>
      </c>
    </row>
    <row r="2054" spans="2:3" x14ac:dyDescent="0.25">
      <c r="B2054" s="141">
        <f t="shared" si="69"/>
        <v>1</v>
      </c>
      <c r="C2054" s="25">
        <f t="shared" si="68"/>
        <v>1900</v>
      </c>
    </row>
    <row r="2055" spans="2:3" x14ac:dyDescent="0.25">
      <c r="B2055" s="141">
        <f t="shared" si="69"/>
        <v>1</v>
      </c>
      <c r="C2055" s="25">
        <f t="shared" si="68"/>
        <v>1900</v>
      </c>
    </row>
    <row r="2056" spans="2:3" x14ac:dyDescent="0.25">
      <c r="B2056" s="141">
        <f t="shared" si="69"/>
        <v>1</v>
      </c>
      <c r="C2056" s="25">
        <f t="shared" si="68"/>
        <v>1900</v>
      </c>
    </row>
    <row r="2057" spans="2:3" x14ac:dyDescent="0.25">
      <c r="B2057" s="141">
        <f t="shared" si="69"/>
        <v>1</v>
      </c>
      <c r="C2057" s="25">
        <f t="shared" si="68"/>
        <v>1900</v>
      </c>
    </row>
    <row r="2058" spans="2:3" x14ac:dyDescent="0.25">
      <c r="B2058" s="141">
        <f t="shared" si="69"/>
        <v>1</v>
      </c>
      <c r="C2058" s="25">
        <f t="shared" si="68"/>
        <v>1900</v>
      </c>
    </row>
    <row r="2059" spans="2:3" x14ac:dyDescent="0.25">
      <c r="B2059" s="141">
        <f t="shared" si="69"/>
        <v>1</v>
      </c>
      <c r="C2059" s="25">
        <f t="shared" si="68"/>
        <v>1900</v>
      </c>
    </row>
    <row r="2060" spans="2:3" x14ac:dyDescent="0.25">
      <c r="B2060" s="141">
        <f t="shared" si="69"/>
        <v>1</v>
      </c>
      <c r="C2060" s="25">
        <f t="shared" si="68"/>
        <v>1900</v>
      </c>
    </row>
    <row r="2061" spans="2:3" x14ac:dyDescent="0.25">
      <c r="B2061" s="141">
        <f t="shared" si="69"/>
        <v>1</v>
      </c>
      <c r="C2061" s="25">
        <f t="shared" si="68"/>
        <v>1900</v>
      </c>
    </row>
    <row r="2062" spans="2:3" x14ac:dyDescent="0.25">
      <c r="B2062" s="141">
        <f t="shared" si="69"/>
        <v>1</v>
      </c>
      <c r="C2062" s="25">
        <f t="shared" si="68"/>
        <v>1900</v>
      </c>
    </row>
    <row r="2063" spans="2:3" x14ac:dyDescent="0.25">
      <c r="B2063" s="141">
        <f t="shared" si="69"/>
        <v>1</v>
      </c>
      <c r="C2063" s="25">
        <f t="shared" si="68"/>
        <v>1900</v>
      </c>
    </row>
    <row r="2064" spans="2:3" x14ac:dyDescent="0.25">
      <c r="B2064" s="141">
        <f t="shared" si="69"/>
        <v>1</v>
      </c>
      <c r="C2064" s="25">
        <f t="shared" si="68"/>
        <v>1900</v>
      </c>
    </row>
    <row r="2065" spans="2:3" x14ac:dyDescent="0.25">
      <c r="B2065" s="141">
        <f t="shared" si="69"/>
        <v>1</v>
      </c>
      <c r="C2065" s="25">
        <f t="shared" si="68"/>
        <v>1900</v>
      </c>
    </row>
    <row r="2066" spans="2:3" x14ac:dyDescent="0.25">
      <c r="B2066" s="141">
        <f t="shared" si="69"/>
        <v>1</v>
      </c>
      <c r="C2066" s="25">
        <f t="shared" si="68"/>
        <v>1900</v>
      </c>
    </row>
    <row r="2067" spans="2:3" x14ac:dyDescent="0.25">
      <c r="B2067" s="141">
        <f t="shared" si="69"/>
        <v>1</v>
      </c>
      <c r="C2067" s="25">
        <f t="shared" si="68"/>
        <v>1900</v>
      </c>
    </row>
    <row r="2068" spans="2:3" x14ac:dyDescent="0.25">
      <c r="B2068" s="141">
        <f t="shared" si="69"/>
        <v>1</v>
      </c>
      <c r="C2068" s="25">
        <f t="shared" si="68"/>
        <v>1900</v>
      </c>
    </row>
    <row r="2069" spans="2:3" x14ac:dyDescent="0.25">
      <c r="B2069" s="141">
        <f t="shared" si="69"/>
        <v>1</v>
      </c>
      <c r="C2069" s="25">
        <f t="shared" si="68"/>
        <v>1900</v>
      </c>
    </row>
    <row r="2070" spans="2:3" x14ac:dyDescent="0.25">
      <c r="B2070" s="141">
        <f t="shared" si="69"/>
        <v>1</v>
      </c>
      <c r="C2070" s="25">
        <f t="shared" si="68"/>
        <v>1900</v>
      </c>
    </row>
    <row r="2071" spans="2:3" x14ac:dyDescent="0.25">
      <c r="B2071" s="141">
        <f t="shared" si="69"/>
        <v>1</v>
      </c>
      <c r="C2071" s="25">
        <f t="shared" si="68"/>
        <v>1900</v>
      </c>
    </row>
    <row r="2072" spans="2:3" x14ac:dyDescent="0.25">
      <c r="B2072" s="141">
        <f t="shared" si="69"/>
        <v>1</v>
      </c>
      <c r="C2072" s="25">
        <f t="shared" si="68"/>
        <v>1900</v>
      </c>
    </row>
    <row r="2073" spans="2:3" x14ac:dyDescent="0.25">
      <c r="B2073" s="141">
        <f t="shared" si="69"/>
        <v>1</v>
      </c>
      <c r="C2073" s="25">
        <f t="shared" si="68"/>
        <v>1900</v>
      </c>
    </row>
    <row r="2074" spans="2:3" x14ac:dyDescent="0.25">
      <c r="B2074" s="141">
        <f t="shared" si="69"/>
        <v>1</v>
      </c>
      <c r="C2074" s="25">
        <f t="shared" si="68"/>
        <v>1900</v>
      </c>
    </row>
    <row r="2075" spans="2:3" x14ac:dyDescent="0.25">
      <c r="B2075" s="141">
        <f t="shared" si="69"/>
        <v>1</v>
      </c>
      <c r="C2075" s="25">
        <f t="shared" si="68"/>
        <v>1900</v>
      </c>
    </row>
    <row r="2076" spans="2:3" x14ac:dyDescent="0.25">
      <c r="B2076" s="141">
        <f t="shared" si="69"/>
        <v>1</v>
      </c>
      <c r="C2076" s="25">
        <f t="shared" si="68"/>
        <v>1900</v>
      </c>
    </row>
    <row r="2077" spans="2:3" x14ac:dyDescent="0.25">
      <c r="B2077" s="141">
        <f t="shared" si="69"/>
        <v>1</v>
      </c>
      <c r="C2077" s="25">
        <f t="shared" si="68"/>
        <v>1900</v>
      </c>
    </row>
    <row r="2078" spans="2:3" x14ac:dyDescent="0.25">
      <c r="B2078" s="141">
        <f t="shared" si="69"/>
        <v>1</v>
      </c>
      <c r="C2078" s="25">
        <f t="shared" si="68"/>
        <v>1900</v>
      </c>
    </row>
    <row r="2079" spans="2:3" x14ac:dyDescent="0.25">
      <c r="B2079" s="141">
        <f t="shared" si="69"/>
        <v>1</v>
      </c>
      <c r="C2079" s="25">
        <f t="shared" si="68"/>
        <v>1900</v>
      </c>
    </row>
    <row r="2080" spans="2:3" x14ac:dyDescent="0.25">
      <c r="B2080" s="141">
        <f t="shared" si="69"/>
        <v>1</v>
      </c>
      <c r="C2080" s="25">
        <f t="shared" si="68"/>
        <v>1900</v>
      </c>
    </row>
    <row r="2081" spans="2:3" x14ac:dyDescent="0.25">
      <c r="B2081" s="141">
        <f t="shared" si="69"/>
        <v>1</v>
      </c>
      <c r="C2081" s="25">
        <f t="shared" si="68"/>
        <v>1900</v>
      </c>
    </row>
    <row r="2082" spans="2:3" x14ac:dyDescent="0.25">
      <c r="B2082" s="141">
        <f t="shared" si="69"/>
        <v>1</v>
      </c>
      <c r="C2082" s="25">
        <f t="shared" si="68"/>
        <v>1900</v>
      </c>
    </row>
    <row r="2083" spans="2:3" x14ac:dyDescent="0.25">
      <c r="B2083" s="141">
        <f t="shared" si="69"/>
        <v>1</v>
      </c>
      <c r="C2083" s="25">
        <f t="shared" si="68"/>
        <v>1900</v>
      </c>
    </row>
    <row r="2084" spans="2:3" x14ac:dyDescent="0.25">
      <c r="B2084" s="141">
        <f t="shared" si="69"/>
        <v>1</v>
      </c>
      <c r="C2084" s="25">
        <f t="shared" si="68"/>
        <v>1900</v>
      </c>
    </row>
    <row r="2085" spans="2:3" x14ac:dyDescent="0.25">
      <c r="B2085" s="141">
        <f t="shared" si="69"/>
        <v>1</v>
      </c>
      <c r="C2085" s="25">
        <f t="shared" si="68"/>
        <v>1900</v>
      </c>
    </row>
    <row r="2086" spans="2:3" x14ac:dyDescent="0.25">
      <c r="B2086" s="141">
        <f t="shared" si="69"/>
        <v>1</v>
      </c>
      <c r="C2086" s="25">
        <f t="shared" si="68"/>
        <v>1900</v>
      </c>
    </row>
    <row r="2087" spans="2:3" x14ac:dyDescent="0.25">
      <c r="B2087" s="141">
        <f t="shared" si="69"/>
        <v>1</v>
      </c>
      <c r="C2087" s="25">
        <f t="shared" si="68"/>
        <v>1900</v>
      </c>
    </row>
    <row r="2088" spans="2:3" x14ac:dyDescent="0.25">
      <c r="B2088" s="141">
        <f t="shared" si="69"/>
        <v>1</v>
      </c>
      <c r="C2088" s="25">
        <f t="shared" si="68"/>
        <v>1900</v>
      </c>
    </row>
    <row r="2089" spans="2:3" x14ac:dyDescent="0.25">
      <c r="B2089" s="141">
        <f t="shared" si="69"/>
        <v>1</v>
      </c>
      <c r="C2089" s="25">
        <f t="shared" si="68"/>
        <v>1900</v>
      </c>
    </row>
    <row r="2090" spans="2:3" x14ac:dyDescent="0.25">
      <c r="B2090" s="141">
        <f t="shared" si="69"/>
        <v>1</v>
      </c>
      <c r="C2090" s="25">
        <f t="shared" si="68"/>
        <v>1900</v>
      </c>
    </row>
    <row r="2091" spans="2:3" x14ac:dyDescent="0.25">
      <c r="B2091" s="141">
        <f t="shared" si="69"/>
        <v>1</v>
      </c>
      <c r="C2091" s="25">
        <f t="shared" si="68"/>
        <v>1900</v>
      </c>
    </row>
    <row r="2092" spans="2:3" x14ac:dyDescent="0.25">
      <c r="B2092" s="141">
        <f t="shared" si="69"/>
        <v>1</v>
      </c>
      <c r="C2092" s="25">
        <f t="shared" si="68"/>
        <v>1900</v>
      </c>
    </row>
    <row r="2093" spans="2:3" x14ac:dyDescent="0.25">
      <c r="B2093" s="141">
        <f t="shared" si="69"/>
        <v>1</v>
      </c>
      <c r="C2093" s="25">
        <f t="shared" si="68"/>
        <v>1900</v>
      </c>
    </row>
    <row r="2094" spans="2:3" x14ac:dyDescent="0.25">
      <c r="B2094" s="141">
        <f t="shared" si="69"/>
        <v>1</v>
      </c>
      <c r="C2094" s="25">
        <f t="shared" si="68"/>
        <v>1900</v>
      </c>
    </row>
    <row r="2095" spans="2:3" x14ac:dyDescent="0.25">
      <c r="B2095" s="141">
        <f t="shared" si="69"/>
        <v>1</v>
      </c>
      <c r="C2095" s="25">
        <f t="shared" si="68"/>
        <v>1900</v>
      </c>
    </row>
    <row r="2096" spans="2:3" x14ac:dyDescent="0.25">
      <c r="B2096" s="141">
        <f t="shared" si="69"/>
        <v>1</v>
      </c>
      <c r="C2096" s="25">
        <f t="shared" si="68"/>
        <v>1900</v>
      </c>
    </row>
    <row r="2097" spans="2:3" x14ac:dyDescent="0.25">
      <c r="B2097" s="141">
        <f t="shared" si="69"/>
        <v>1</v>
      </c>
      <c r="C2097" s="25">
        <f t="shared" si="68"/>
        <v>1900</v>
      </c>
    </row>
    <row r="2098" spans="2:3" x14ac:dyDescent="0.25">
      <c r="B2098" s="141">
        <f t="shared" si="69"/>
        <v>1</v>
      </c>
      <c r="C2098" s="25">
        <f t="shared" si="68"/>
        <v>1900</v>
      </c>
    </row>
    <row r="2099" spans="2:3" x14ac:dyDescent="0.25">
      <c r="B2099" s="141">
        <f t="shared" si="69"/>
        <v>1</v>
      </c>
      <c r="C2099" s="25">
        <f t="shared" si="68"/>
        <v>1900</v>
      </c>
    </row>
    <row r="2100" spans="2:3" x14ac:dyDescent="0.25">
      <c r="B2100" s="141">
        <f t="shared" si="69"/>
        <v>1</v>
      </c>
      <c r="C2100" s="25">
        <f t="shared" si="68"/>
        <v>1900</v>
      </c>
    </row>
    <row r="2101" spans="2:3" x14ac:dyDescent="0.25">
      <c r="B2101" s="141">
        <f t="shared" si="69"/>
        <v>1</v>
      </c>
      <c r="C2101" s="25">
        <f t="shared" si="68"/>
        <v>1900</v>
      </c>
    </row>
    <row r="2102" spans="2:3" x14ac:dyDescent="0.25">
      <c r="B2102" s="141">
        <f t="shared" si="69"/>
        <v>1</v>
      </c>
      <c r="C2102" s="25">
        <f t="shared" si="68"/>
        <v>1900</v>
      </c>
    </row>
    <row r="2103" spans="2:3" x14ac:dyDescent="0.25">
      <c r="B2103" s="141">
        <f t="shared" si="69"/>
        <v>1</v>
      </c>
      <c r="C2103" s="25">
        <f t="shared" si="68"/>
        <v>1900</v>
      </c>
    </row>
    <row r="2104" spans="2:3" x14ac:dyDescent="0.25">
      <c r="B2104" s="141">
        <f t="shared" si="69"/>
        <v>1</v>
      </c>
      <c r="C2104" s="25">
        <f t="shared" si="68"/>
        <v>1900</v>
      </c>
    </row>
    <row r="2105" spans="2:3" x14ac:dyDescent="0.25">
      <c r="B2105" s="141">
        <f t="shared" si="69"/>
        <v>1</v>
      </c>
      <c r="C2105" s="25">
        <f t="shared" si="68"/>
        <v>1900</v>
      </c>
    </row>
    <row r="2106" spans="2:3" x14ac:dyDescent="0.25">
      <c r="B2106" s="141">
        <f t="shared" si="69"/>
        <v>1</v>
      </c>
      <c r="C2106" s="25">
        <f t="shared" si="68"/>
        <v>1900</v>
      </c>
    </row>
    <row r="2107" spans="2:3" x14ac:dyDescent="0.25">
      <c r="B2107" s="141">
        <f t="shared" si="69"/>
        <v>1</v>
      </c>
      <c r="C2107" s="25">
        <f t="shared" si="68"/>
        <v>1900</v>
      </c>
    </row>
    <row r="2108" spans="2:3" x14ac:dyDescent="0.25">
      <c r="B2108" s="141">
        <f t="shared" si="69"/>
        <v>1</v>
      </c>
      <c r="C2108" s="25">
        <f t="shared" si="68"/>
        <v>1900</v>
      </c>
    </row>
    <row r="2109" spans="2:3" x14ac:dyDescent="0.25">
      <c r="B2109" s="141">
        <f t="shared" si="69"/>
        <v>1</v>
      </c>
      <c r="C2109" s="25">
        <f t="shared" si="68"/>
        <v>1900</v>
      </c>
    </row>
    <row r="2110" spans="2:3" x14ac:dyDescent="0.25">
      <c r="B2110" s="141">
        <f t="shared" si="69"/>
        <v>1</v>
      </c>
      <c r="C2110" s="25">
        <f t="shared" si="68"/>
        <v>1900</v>
      </c>
    </row>
    <row r="2111" spans="2:3" x14ac:dyDescent="0.25">
      <c r="B2111" s="141">
        <f t="shared" si="69"/>
        <v>1</v>
      </c>
      <c r="C2111" s="25">
        <f t="shared" ref="C2111:C2174" si="70">YEAR((A2111))</f>
        <v>1900</v>
      </c>
    </row>
    <row r="2112" spans="2:3" x14ac:dyDescent="0.25">
      <c r="B2112" s="141">
        <f t="shared" si="69"/>
        <v>1</v>
      </c>
      <c r="C2112" s="25">
        <f t="shared" si="70"/>
        <v>1900</v>
      </c>
    </row>
    <row r="2113" spans="2:3" x14ac:dyDescent="0.25">
      <c r="B2113" s="141">
        <f t="shared" si="69"/>
        <v>1</v>
      </c>
      <c r="C2113" s="25">
        <f t="shared" si="70"/>
        <v>1900</v>
      </c>
    </row>
    <row r="2114" spans="2:3" x14ac:dyDescent="0.25">
      <c r="B2114" s="141">
        <f t="shared" si="69"/>
        <v>1</v>
      </c>
      <c r="C2114" s="25">
        <f t="shared" si="70"/>
        <v>1900</v>
      </c>
    </row>
    <row r="2115" spans="2:3" x14ac:dyDescent="0.25">
      <c r="B2115" s="141">
        <f t="shared" ref="B2115:B2178" si="71">MONTH(A2115)</f>
        <v>1</v>
      </c>
      <c r="C2115" s="25">
        <f t="shared" si="70"/>
        <v>1900</v>
      </c>
    </row>
    <row r="2116" spans="2:3" x14ac:dyDescent="0.25">
      <c r="B2116" s="141">
        <f t="shared" si="71"/>
        <v>1</v>
      </c>
      <c r="C2116" s="25">
        <f t="shared" si="70"/>
        <v>1900</v>
      </c>
    </row>
    <row r="2117" spans="2:3" x14ac:dyDescent="0.25">
      <c r="B2117" s="141">
        <f t="shared" si="71"/>
        <v>1</v>
      </c>
      <c r="C2117" s="25">
        <f t="shared" si="70"/>
        <v>1900</v>
      </c>
    </row>
    <row r="2118" spans="2:3" x14ac:dyDescent="0.25">
      <c r="B2118" s="141">
        <f t="shared" si="71"/>
        <v>1</v>
      </c>
      <c r="C2118" s="25">
        <f t="shared" si="70"/>
        <v>1900</v>
      </c>
    </row>
    <row r="2119" spans="2:3" x14ac:dyDescent="0.25">
      <c r="B2119" s="141">
        <f t="shared" si="71"/>
        <v>1</v>
      </c>
      <c r="C2119" s="25">
        <f t="shared" si="70"/>
        <v>1900</v>
      </c>
    </row>
    <row r="2120" spans="2:3" x14ac:dyDescent="0.25">
      <c r="B2120" s="141">
        <f t="shared" si="71"/>
        <v>1</v>
      </c>
      <c r="C2120" s="25">
        <f t="shared" si="70"/>
        <v>1900</v>
      </c>
    </row>
    <row r="2121" spans="2:3" x14ac:dyDescent="0.25">
      <c r="B2121" s="141">
        <f t="shared" si="71"/>
        <v>1</v>
      </c>
      <c r="C2121" s="25">
        <f t="shared" si="70"/>
        <v>1900</v>
      </c>
    </row>
    <row r="2122" spans="2:3" x14ac:dyDescent="0.25">
      <c r="B2122" s="141">
        <f t="shared" si="71"/>
        <v>1</v>
      </c>
      <c r="C2122" s="25">
        <f t="shared" si="70"/>
        <v>1900</v>
      </c>
    </row>
    <row r="2123" spans="2:3" x14ac:dyDescent="0.25">
      <c r="B2123" s="141">
        <f t="shared" si="71"/>
        <v>1</v>
      </c>
      <c r="C2123" s="25">
        <f t="shared" si="70"/>
        <v>1900</v>
      </c>
    </row>
    <row r="2124" spans="2:3" x14ac:dyDescent="0.25">
      <c r="B2124" s="141">
        <f t="shared" si="71"/>
        <v>1</v>
      </c>
      <c r="C2124" s="25">
        <f t="shared" si="70"/>
        <v>1900</v>
      </c>
    </row>
    <row r="2125" spans="2:3" x14ac:dyDescent="0.25">
      <c r="B2125" s="141">
        <f t="shared" si="71"/>
        <v>1</v>
      </c>
      <c r="C2125" s="25">
        <f t="shared" si="70"/>
        <v>1900</v>
      </c>
    </row>
    <row r="2126" spans="2:3" x14ac:dyDescent="0.25">
      <c r="B2126" s="141">
        <f t="shared" si="71"/>
        <v>1</v>
      </c>
      <c r="C2126" s="25">
        <f t="shared" si="70"/>
        <v>1900</v>
      </c>
    </row>
    <row r="2127" spans="2:3" x14ac:dyDescent="0.25">
      <c r="B2127" s="141">
        <f t="shared" si="71"/>
        <v>1</v>
      </c>
      <c r="C2127" s="25">
        <f t="shared" si="70"/>
        <v>1900</v>
      </c>
    </row>
    <row r="2128" spans="2:3" x14ac:dyDescent="0.25">
      <c r="B2128" s="141">
        <f t="shared" si="71"/>
        <v>1</v>
      </c>
      <c r="C2128" s="25">
        <f t="shared" si="70"/>
        <v>1900</v>
      </c>
    </row>
    <row r="2129" spans="2:3" x14ac:dyDescent="0.25">
      <c r="B2129" s="141">
        <f t="shared" si="71"/>
        <v>1</v>
      </c>
      <c r="C2129" s="25">
        <f t="shared" si="70"/>
        <v>1900</v>
      </c>
    </row>
    <row r="2130" spans="2:3" x14ac:dyDescent="0.25">
      <c r="B2130" s="141">
        <f t="shared" si="71"/>
        <v>1</v>
      </c>
      <c r="C2130" s="25">
        <f t="shared" si="70"/>
        <v>1900</v>
      </c>
    </row>
    <row r="2131" spans="2:3" x14ac:dyDescent="0.25">
      <c r="B2131" s="141">
        <f t="shared" si="71"/>
        <v>1</v>
      </c>
      <c r="C2131" s="25">
        <f t="shared" si="70"/>
        <v>1900</v>
      </c>
    </row>
    <row r="2132" spans="2:3" x14ac:dyDescent="0.25">
      <c r="B2132" s="141">
        <f t="shared" si="71"/>
        <v>1</v>
      </c>
      <c r="C2132" s="25">
        <f t="shared" si="70"/>
        <v>1900</v>
      </c>
    </row>
    <row r="2133" spans="2:3" x14ac:dyDescent="0.25">
      <c r="B2133" s="141">
        <f t="shared" si="71"/>
        <v>1</v>
      </c>
      <c r="C2133" s="25">
        <f t="shared" si="70"/>
        <v>1900</v>
      </c>
    </row>
    <row r="2134" spans="2:3" x14ac:dyDescent="0.25">
      <c r="B2134" s="141">
        <f t="shared" si="71"/>
        <v>1</v>
      </c>
      <c r="C2134" s="25">
        <f t="shared" si="70"/>
        <v>1900</v>
      </c>
    </row>
    <row r="2135" spans="2:3" x14ac:dyDescent="0.25">
      <c r="B2135" s="141">
        <f t="shared" si="71"/>
        <v>1</v>
      </c>
      <c r="C2135" s="25">
        <f t="shared" si="70"/>
        <v>1900</v>
      </c>
    </row>
    <row r="2136" spans="2:3" x14ac:dyDescent="0.25">
      <c r="B2136" s="141">
        <f t="shared" si="71"/>
        <v>1</v>
      </c>
      <c r="C2136" s="25">
        <f t="shared" si="70"/>
        <v>1900</v>
      </c>
    </row>
    <row r="2137" spans="2:3" x14ac:dyDescent="0.25">
      <c r="B2137" s="141">
        <f t="shared" si="71"/>
        <v>1</v>
      </c>
      <c r="C2137" s="25">
        <f t="shared" si="70"/>
        <v>1900</v>
      </c>
    </row>
    <row r="2138" spans="2:3" x14ac:dyDescent="0.25">
      <c r="B2138" s="141">
        <f t="shared" si="71"/>
        <v>1</v>
      </c>
      <c r="C2138" s="25">
        <f t="shared" si="70"/>
        <v>1900</v>
      </c>
    </row>
    <row r="2139" spans="2:3" x14ac:dyDescent="0.25">
      <c r="B2139" s="141">
        <f t="shared" si="71"/>
        <v>1</v>
      </c>
      <c r="C2139" s="25">
        <f t="shared" si="70"/>
        <v>1900</v>
      </c>
    </row>
    <row r="2140" spans="2:3" x14ac:dyDescent="0.25">
      <c r="B2140" s="141">
        <f t="shared" si="71"/>
        <v>1</v>
      </c>
      <c r="C2140" s="25">
        <f t="shared" si="70"/>
        <v>1900</v>
      </c>
    </row>
    <row r="2141" spans="2:3" x14ac:dyDescent="0.25">
      <c r="B2141" s="141">
        <f t="shared" si="71"/>
        <v>1</v>
      </c>
      <c r="C2141" s="25">
        <f t="shared" si="70"/>
        <v>1900</v>
      </c>
    </row>
    <row r="2142" spans="2:3" x14ac:dyDescent="0.25">
      <c r="B2142" s="141">
        <f t="shared" si="71"/>
        <v>1</v>
      </c>
      <c r="C2142" s="25">
        <f t="shared" si="70"/>
        <v>1900</v>
      </c>
    </row>
    <row r="2143" spans="2:3" x14ac:dyDescent="0.25">
      <c r="B2143" s="141">
        <f t="shared" si="71"/>
        <v>1</v>
      </c>
      <c r="C2143" s="25">
        <f t="shared" si="70"/>
        <v>1900</v>
      </c>
    </row>
    <row r="2144" spans="2:3" x14ac:dyDescent="0.25">
      <c r="B2144" s="141">
        <f t="shared" si="71"/>
        <v>1</v>
      </c>
      <c r="C2144" s="25">
        <f t="shared" si="70"/>
        <v>1900</v>
      </c>
    </row>
    <row r="2145" spans="2:3" x14ac:dyDescent="0.25">
      <c r="B2145" s="141">
        <f t="shared" si="71"/>
        <v>1</v>
      </c>
      <c r="C2145" s="25">
        <f t="shared" si="70"/>
        <v>1900</v>
      </c>
    </row>
    <row r="2146" spans="2:3" x14ac:dyDescent="0.25">
      <c r="B2146" s="141">
        <f t="shared" si="71"/>
        <v>1</v>
      </c>
      <c r="C2146" s="25">
        <f t="shared" si="70"/>
        <v>1900</v>
      </c>
    </row>
    <row r="2147" spans="2:3" x14ac:dyDescent="0.25">
      <c r="B2147" s="141">
        <f t="shared" si="71"/>
        <v>1</v>
      </c>
      <c r="C2147" s="25">
        <f t="shared" si="70"/>
        <v>1900</v>
      </c>
    </row>
    <row r="2148" spans="2:3" x14ac:dyDescent="0.25">
      <c r="B2148" s="141">
        <f t="shared" si="71"/>
        <v>1</v>
      </c>
      <c r="C2148" s="25">
        <f t="shared" si="70"/>
        <v>1900</v>
      </c>
    </row>
    <row r="2149" spans="2:3" x14ac:dyDescent="0.25">
      <c r="B2149" s="141">
        <f t="shared" si="71"/>
        <v>1</v>
      </c>
      <c r="C2149" s="25">
        <f t="shared" si="70"/>
        <v>1900</v>
      </c>
    </row>
    <row r="2150" spans="2:3" x14ac:dyDescent="0.25">
      <c r="B2150" s="141">
        <f t="shared" si="71"/>
        <v>1</v>
      </c>
      <c r="C2150" s="25">
        <f t="shared" si="70"/>
        <v>1900</v>
      </c>
    </row>
    <row r="2151" spans="2:3" x14ac:dyDescent="0.25">
      <c r="B2151" s="141">
        <f t="shared" si="71"/>
        <v>1</v>
      </c>
      <c r="C2151" s="25">
        <f t="shared" si="70"/>
        <v>1900</v>
      </c>
    </row>
    <row r="2152" spans="2:3" x14ac:dyDescent="0.25">
      <c r="B2152" s="141">
        <f t="shared" si="71"/>
        <v>1</v>
      </c>
      <c r="C2152" s="25">
        <f t="shared" si="70"/>
        <v>1900</v>
      </c>
    </row>
    <row r="2153" spans="2:3" x14ac:dyDescent="0.25">
      <c r="B2153" s="141">
        <f t="shared" si="71"/>
        <v>1</v>
      </c>
      <c r="C2153" s="25">
        <f t="shared" si="70"/>
        <v>1900</v>
      </c>
    </row>
    <row r="2154" spans="2:3" x14ac:dyDescent="0.25">
      <c r="B2154" s="141">
        <f t="shared" si="71"/>
        <v>1</v>
      </c>
      <c r="C2154" s="25">
        <f t="shared" si="70"/>
        <v>1900</v>
      </c>
    </row>
    <row r="2155" spans="2:3" x14ac:dyDescent="0.25">
      <c r="B2155" s="141">
        <f t="shared" si="71"/>
        <v>1</v>
      </c>
      <c r="C2155" s="25">
        <f t="shared" si="70"/>
        <v>1900</v>
      </c>
    </row>
    <row r="2156" spans="2:3" x14ac:dyDescent="0.25">
      <c r="B2156" s="141">
        <f t="shared" si="71"/>
        <v>1</v>
      </c>
      <c r="C2156" s="25">
        <f t="shared" si="70"/>
        <v>1900</v>
      </c>
    </row>
    <row r="2157" spans="2:3" x14ac:dyDescent="0.25">
      <c r="B2157" s="141">
        <f t="shared" si="71"/>
        <v>1</v>
      </c>
      <c r="C2157" s="25">
        <f t="shared" si="70"/>
        <v>1900</v>
      </c>
    </row>
    <row r="2158" spans="2:3" x14ac:dyDescent="0.25">
      <c r="B2158" s="141">
        <f t="shared" si="71"/>
        <v>1</v>
      </c>
      <c r="C2158" s="25">
        <f t="shared" si="70"/>
        <v>1900</v>
      </c>
    </row>
    <row r="2159" spans="2:3" x14ac:dyDescent="0.25">
      <c r="B2159" s="141">
        <f t="shared" si="71"/>
        <v>1</v>
      </c>
      <c r="C2159" s="25">
        <f t="shared" si="70"/>
        <v>1900</v>
      </c>
    </row>
    <row r="2160" spans="2:3" x14ac:dyDescent="0.25">
      <c r="B2160" s="141">
        <f t="shared" si="71"/>
        <v>1</v>
      </c>
      <c r="C2160" s="25">
        <f t="shared" si="70"/>
        <v>1900</v>
      </c>
    </row>
    <row r="2161" spans="2:3" x14ac:dyDescent="0.25">
      <c r="B2161" s="141">
        <f t="shared" si="71"/>
        <v>1</v>
      </c>
      <c r="C2161" s="25">
        <f t="shared" si="70"/>
        <v>1900</v>
      </c>
    </row>
    <row r="2162" spans="2:3" x14ac:dyDescent="0.25">
      <c r="B2162" s="141">
        <f t="shared" si="71"/>
        <v>1</v>
      </c>
      <c r="C2162" s="25">
        <f t="shared" si="70"/>
        <v>1900</v>
      </c>
    </row>
    <row r="2163" spans="2:3" x14ac:dyDescent="0.25">
      <c r="B2163" s="141">
        <f t="shared" si="71"/>
        <v>1</v>
      </c>
      <c r="C2163" s="25">
        <f t="shared" si="70"/>
        <v>1900</v>
      </c>
    </row>
    <row r="2164" spans="2:3" x14ac:dyDescent="0.25">
      <c r="B2164" s="141">
        <f t="shared" si="71"/>
        <v>1</v>
      </c>
      <c r="C2164" s="25">
        <f t="shared" si="70"/>
        <v>1900</v>
      </c>
    </row>
    <row r="2165" spans="2:3" x14ac:dyDescent="0.25">
      <c r="B2165" s="141">
        <f t="shared" si="71"/>
        <v>1</v>
      </c>
      <c r="C2165" s="25">
        <f t="shared" si="70"/>
        <v>1900</v>
      </c>
    </row>
    <row r="2166" spans="2:3" x14ac:dyDescent="0.25">
      <c r="B2166" s="141">
        <f t="shared" si="71"/>
        <v>1</v>
      </c>
      <c r="C2166" s="25">
        <f t="shared" si="70"/>
        <v>1900</v>
      </c>
    </row>
    <row r="2167" spans="2:3" x14ac:dyDescent="0.25">
      <c r="B2167" s="141">
        <f t="shared" si="71"/>
        <v>1</v>
      </c>
      <c r="C2167" s="25">
        <f t="shared" si="70"/>
        <v>1900</v>
      </c>
    </row>
    <row r="2168" spans="2:3" x14ac:dyDescent="0.25">
      <c r="B2168" s="141">
        <f t="shared" si="71"/>
        <v>1</v>
      </c>
      <c r="C2168" s="25">
        <f t="shared" si="70"/>
        <v>1900</v>
      </c>
    </row>
    <row r="2169" spans="2:3" x14ac:dyDescent="0.25">
      <c r="B2169" s="141">
        <f t="shared" si="71"/>
        <v>1</v>
      </c>
      <c r="C2169" s="25">
        <f t="shared" si="70"/>
        <v>1900</v>
      </c>
    </row>
    <row r="2170" spans="2:3" x14ac:dyDescent="0.25">
      <c r="B2170" s="141">
        <f t="shared" si="71"/>
        <v>1</v>
      </c>
      <c r="C2170" s="25">
        <f t="shared" si="70"/>
        <v>1900</v>
      </c>
    </row>
    <row r="2171" spans="2:3" x14ac:dyDescent="0.25">
      <c r="B2171" s="141">
        <f t="shared" si="71"/>
        <v>1</v>
      </c>
      <c r="C2171" s="25">
        <f t="shared" si="70"/>
        <v>1900</v>
      </c>
    </row>
    <row r="2172" spans="2:3" x14ac:dyDescent="0.25">
      <c r="B2172" s="141">
        <f t="shared" si="71"/>
        <v>1</v>
      </c>
      <c r="C2172" s="25">
        <f t="shared" si="70"/>
        <v>1900</v>
      </c>
    </row>
    <row r="2173" spans="2:3" x14ac:dyDescent="0.25">
      <c r="B2173" s="141">
        <f t="shared" si="71"/>
        <v>1</v>
      </c>
      <c r="C2173" s="25">
        <f t="shared" si="70"/>
        <v>1900</v>
      </c>
    </row>
    <row r="2174" spans="2:3" x14ac:dyDescent="0.25">
      <c r="B2174" s="141">
        <f t="shared" si="71"/>
        <v>1</v>
      </c>
      <c r="C2174" s="25">
        <f t="shared" si="70"/>
        <v>1900</v>
      </c>
    </row>
    <row r="2175" spans="2:3" x14ac:dyDescent="0.25">
      <c r="B2175" s="141">
        <f t="shared" si="71"/>
        <v>1</v>
      </c>
      <c r="C2175" s="25">
        <f t="shared" ref="C2175:C2189" si="72">YEAR((A2175))</f>
        <v>1900</v>
      </c>
    </row>
    <row r="2176" spans="2:3" x14ac:dyDescent="0.25">
      <c r="B2176" s="141">
        <f t="shared" si="71"/>
        <v>1</v>
      </c>
      <c r="C2176" s="25">
        <f t="shared" si="72"/>
        <v>1900</v>
      </c>
    </row>
    <row r="2177" spans="2:3" x14ac:dyDescent="0.25">
      <c r="B2177" s="141">
        <f t="shared" si="71"/>
        <v>1</v>
      </c>
      <c r="C2177" s="25">
        <f t="shared" si="72"/>
        <v>1900</v>
      </c>
    </row>
    <row r="2178" spans="2:3" x14ac:dyDescent="0.25">
      <c r="B2178" s="141">
        <f t="shared" si="71"/>
        <v>1</v>
      </c>
      <c r="C2178" s="25">
        <f t="shared" si="72"/>
        <v>1900</v>
      </c>
    </row>
    <row r="2179" spans="2:3" x14ac:dyDescent="0.25">
      <c r="B2179" s="141">
        <f t="shared" ref="B2179:B2189" si="73">MONTH(A2179)</f>
        <v>1</v>
      </c>
      <c r="C2179" s="25">
        <f t="shared" si="72"/>
        <v>1900</v>
      </c>
    </row>
    <row r="2180" spans="2:3" x14ac:dyDescent="0.25">
      <c r="B2180" s="141">
        <f t="shared" si="73"/>
        <v>1</v>
      </c>
      <c r="C2180" s="25">
        <f t="shared" si="72"/>
        <v>1900</v>
      </c>
    </row>
    <row r="2181" spans="2:3" x14ac:dyDescent="0.25">
      <c r="B2181" s="141">
        <f t="shared" si="73"/>
        <v>1</v>
      </c>
      <c r="C2181" s="25">
        <f t="shared" si="72"/>
        <v>1900</v>
      </c>
    </row>
    <row r="2182" spans="2:3" x14ac:dyDescent="0.25">
      <c r="B2182" s="141">
        <f t="shared" si="73"/>
        <v>1</v>
      </c>
      <c r="C2182" s="25">
        <f t="shared" si="72"/>
        <v>1900</v>
      </c>
    </row>
    <row r="2183" spans="2:3" x14ac:dyDescent="0.25">
      <c r="B2183" s="141">
        <f t="shared" si="73"/>
        <v>1</v>
      </c>
      <c r="C2183" s="25">
        <f t="shared" si="72"/>
        <v>1900</v>
      </c>
    </row>
    <row r="2184" spans="2:3" x14ac:dyDescent="0.25">
      <c r="B2184" s="141">
        <f t="shared" si="73"/>
        <v>1</v>
      </c>
      <c r="C2184" s="25">
        <f t="shared" si="72"/>
        <v>1900</v>
      </c>
    </row>
    <row r="2185" spans="2:3" x14ac:dyDescent="0.25">
      <c r="B2185" s="141">
        <f t="shared" si="73"/>
        <v>1</v>
      </c>
      <c r="C2185" s="25">
        <f t="shared" si="72"/>
        <v>1900</v>
      </c>
    </row>
    <row r="2186" spans="2:3" x14ac:dyDescent="0.25">
      <c r="B2186" s="141">
        <f t="shared" si="73"/>
        <v>1</v>
      </c>
      <c r="C2186" s="25">
        <f t="shared" si="72"/>
        <v>1900</v>
      </c>
    </row>
    <row r="2187" spans="2:3" x14ac:dyDescent="0.25">
      <c r="B2187" s="141">
        <f t="shared" si="73"/>
        <v>1</v>
      </c>
      <c r="C2187" s="25">
        <f t="shared" si="72"/>
        <v>1900</v>
      </c>
    </row>
    <row r="2188" spans="2:3" x14ac:dyDescent="0.25">
      <c r="B2188" s="141">
        <f t="shared" si="73"/>
        <v>1</v>
      </c>
      <c r="C2188" s="25">
        <f t="shared" si="72"/>
        <v>1900</v>
      </c>
    </row>
    <row r="2189" spans="2:3" x14ac:dyDescent="0.25">
      <c r="B2189" s="141">
        <f t="shared" si="73"/>
        <v>1</v>
      </c>
      <c r="C2189" s="25">
        <f t="shared" si="72"/>
        <v>1900</v>
      </c>
    </row>
    <row r="1026431" spans="1:15" x14ac:dyDescent="0.25">
      <c r="A1026431" s="67"/>
      <c r="B1026431"/>
      <c r="C1026431"/>
      <c r="D1026431" s="1"/>
      <c r="E1026431" s="4"/>
      <c r="F1026431" s="11"/>
      <c r="G1026431" s="11"/>
      <c r="H1026431"/>
      <c r="I1026431"/>
      <c r="J1026431" s="16"/>
      <c r="K1026431" s="150"/>
      <c r="L1026431" s="150"/>
      <c r="M1026431" s="150"/>
      <c r="O1026431"/>
    </row>
  </sheetData>
  <autoFilter ref="A2:S2189"/>
  <sortState ref="A5:J5515">
    <sortCondition ref="A5510"/>
  </sortState>
  <dataValidations count="3">
    <dataValidation type="list" allowBlank="1" showInputMessage="1" showErrorMessage="1" sqref="D1:D1048576">
      <formula1>$Q$3:$Q$112</formula1>
    </dataValidation>
    <dataValidation type="list" allowBlank="1" showInputMessage="1" showErrorMessage="1" sqref="E1:E1048576">
      <formula1>$R$3:$R$22</formula1>
    </dataValidation>
    <dataValidation type="list" allowBlank="1" showInputMessage="1" showErrorMessage="1" sqref="H1:H1048576">
      <formula1>$S$3:$S$7</formula1>
    </dataValidation>
  </dataValidations>
  <pageMargins left="0.23622047244094491" right="0.23622047244094491" top="0.74803149606299213" bottom="0.7480314960629921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62"/>
  <sheetViews>
    <sheetView tabSelected="1" zoomScaleNormal="100" workbookViewId="0">
      <pane ySplit="2" topLeftCell="A1775" activePane="bottomLeft" state="frozen"/>
      <selection pane="bottomLeft" activeCell="J1782" sqref="J1782"/>
    </sheetView>
  </sheetViews>
  <sheetFormatPr baseColWidth="10" defaultRowHeight="15" x14ac:dyDescent="0.25"/>
  <cols>
    <col min="1" max="1" width="11.7109375" style="54" customWidth="1"/>
    <col min="2" max="2" width="4" style="25" customWidth="1"/>
    <col min="3" max="3" width="7" style="25" customWidth="1"/>
    <col min="4" max="4" width="31.28515625" style="104" customWidth="1"/>
    <col min="5" max="5" width="15.28515625" style="104" customWidth="1"/>
    <col min="6" max="6" width="38" style="104" customWidth="1"/>
    <col min="7" max="7" width="31.28515625" style="104" customWidth="1"/>
    <col min="8" max="8" width="9.42578125" style="7" customWidth="1"/>
    <col min="9" max="9" width="9.85546875" style="7" customWidth="1"/>
    <col min="10" max="10" width="13.7109375" style="61" customWidth="1"/>
    <col min="11" max="11" width="14.140625" style="61" bestFit="1" customWidth="1"/>
    <col min="12" max="12" width="15" style="28" bestFit="1" customWidth="1"/>
    <col min="13" max="13" width="16.85546875" style="28" bestFit="1" customWidth="1"/>
    <col min="14" max="14" width="16.85546875" style="27" customWidth="1"/>
    <col min="15" max="15" width="14.42578125" style="27" customWidth="1"/>
    <col min="17" max="17" width="24.42578125" customWidth="1"/>
    <col min="18" max="18" width="19.28515625" customWidth="1"/>
    <col min="19" max="19" width="26.140625" customWidth="1"/>
  </cols>
  <sheetData>
    <row r="1" spans="1:19" ht="41.1" customHeight="1" x14ac:dyDescent="0.25">
      <c r="A1" s="113"/>
      <c r="B1" s="51"/>
      <c r="C1" s="51"/>
      <c r="D1" s="64"/>
      <c r="E1" s="64"/>
      <c r="F1" s="64"/>
      <c r="G1" s="64"/>
      <c r="H1" s="51"/>
      <c r="I1" s="51"/>
      <c r="J1" s="64"/>
      <c r="K1" s="64"/>
      <c r="L1" s="51"/>
      <c r="M1" s="51"/>
      <c r="N1" s="51"/>
      <c r="O1" s="51"/>
    </row>
    <row r="2" spans="1:19" ht="39" customHeight="1" x14ac:dyDescent="0.25">
      <c r="A2" s="59" t="s">
        <v>88</v>
      </c>
      <c r="B2" s="57" t="s">
        <v>13</v>
      </c>
      <c r="C2" s="57" t="s">
        <v>14</v>
      </c>
      <c r="D2" s="57" t="s">
        <v>12</v>
      </c>
      <c r="E2" s="57" t="s">
        <v>91</v>
      </c>
      <c r="F2" s="57" t="s">
        <v>2</v>
      </c>
      <c r="G2" s="57" t="s">
        <v>96</v>
      </c>
      <c r="H2" s="57"/>
      <c r="I2" s="57"/>
      <c r="J2" s="57" t="s">
        <v>94</v>
      </c>
      <c r="K2" s="57" t="s">
        <v>95</v>
      </c>
      <c r="L2" s="57" t="s">
        <v>3</v>
      </c>
      <c r="M2" s="57" t="s">
        <v>4</v>
      </c>
      <c r="N2" s="58" t="s">
        <v>894</v>
      </c>
      <c r="O2" s="58" t="s">
        <v>883</v>
      </c>
      <c r="Q2" s="53" t="s">
        <v>57</v>
      </c>
      <c r="R2" s="53" t="s">
        <v>90</v>
      </c>
      <c r="S2" s="53" t="s">
        <v>108</v>
      </c>
    </row>
    <row r="3" spans="1:19" ht="15.95" customHeight="1" x14ac:dyDescent="0.25">
      <c r="A3" s="55">
        <v>45132</v>
      </c>
      <c r="B3" s="24">
        <f t="shared" ref="B3:B66" si="0">MONTH(A3)</f>
        <v>7</v>
      </c>
      <c r="C3" s="24">
        <f t="shared" ref="C3:C66" si="1">YEAR(A3)</f>
        <v>2023</v>
      </c>
      <c r="D3" s="103" t="s">
        <v>23</v>
      </c>
      <c r="E3" s="103" t="s">
        <v>93</v>
      </c>
      <c r="F3" s="103" t="s">
        <v>113</v>
      </c>
      <c r="G3" s="103"/>
      <c r="H3" s="22"/>
      <c r="I3" s="22"/>
      <c r="J3" s="63">
        <v>3000</v>
      </c>
      <c r="K3" s="63"/>
      <c r="L3" s="56">
        <f>3000+1950</f>
        <v>4950</v>
      </c>
      <c r="M3" s="56">
        <v>0</v>
      </c>
      <c r="O3" s="26"/>
      <c r="Q3" s="53" t="s">
        <v>89</v>
      </c>
      <c r="R3" s="53" t="s">
        <v>92</v>
      </c>
      <c r="S3" s="53" t="s">
        <v>97</v>
      </c>
    </row>
    <row r="4" spans="1:19" x14ac:dyDescent="0.25">
      <c r="A4" s="55">
        <v>45132</v>
      </c>
      <c r="B4" s="24">
        <f t="shared" si="0"/>
        <v>7</v>
      </c>
      <c r="C4" s="24">
        <f t="shared" si="1"/>
        <v>2023</v>
      </c>
      <c r="L4" s="49">
        <f t="shared" ref="L4:L67" si="2">IF((L3+M3+J4-K4)&gt;0,(L3+M3+J4-K4),0)</f>
        <v>4950</v>
      </c>
      <c r="M4" s="50">
        <f t="shared" ref="M4:M67" si="3">IF((L3+M3+J4-K4)&lt;0,(L3+M3+J4-K4),0)</f>
        <v>0</v>
      </c>
      <c r="N4" s="143"/>
      <c r="O4" s="26"/>
      <c r="Q4" s="53" t="s">
        <v>148</v>
      </c>
      <c r="R4" s="53" t="s">
        <v>93</v>
      </c>
      <c r="S4" s="53" t="s">
        <v>98</v>
      </c>
    </row>
    <row r="5" spans="1:19" x14ac:dyDescent="0.25">
      <c r="A5" s="54">
        <v>45132</v>
      </c>
      <c r="B5" s="24">
        <f t="shared" si="0"/>
        <v>7</v>
      </c>
      <c r="C5" s="24">
        <f t="shared" si="1"/>
        <v>2023</v>
      </c>
      <c r="D5" s="104" t="s">
        <v>89</v>
      </c>
      <c r="E5" s="104" t="s">
        <v>93</v>
      </c>
      <c r="F5" s="104" t="s">
        <v>114</v>
      </c>
      <c r="J5" s="61">
        <v>60000</v>
      </c>
      <c r="L5" s="49">
        <f t="shared" si="2"/>
        <v>64950</v>
      </c>
      <c r="M5" s="50">
        <f t="shared" si="3"/>
        <v>0</v>
      </c>
      <c r="N5" s="143"/>
      <c r="O5" s="26"/>
      <c r="Q5" s="53" t="s">
        <v>23</v>
      </c>
      <c r="R5" s="53"/>
      <c r="S5" s="53" t="s">
        <v>99</v>
      </c>
    </row>
    <row r="6" spans="1:19" x14ac:dyDescent="0.25">
      <c r="A6" s="54">
        <v>45133</v>
      </c>
      <c r="B6" s="24">
        <f t="shared" si="0"/>
        <v>7</v>
      </c>
      <c r="C6" s="24">
        <f t="shared" si="1"/>
        <v>2023</v>
      </c>
      <c r="D6" s="104" t="s">
        <v>109</v>
      </c>
      <c r="E6" s="104" t="s">
        <v>93</v>
      </c>
      <c r="F6" s="104" t="s">
        <v>114</v>
      </c>
      <c r="K6" s="61">
        <v>5200</v>
      </c>
      <c r="L6" s="49">
        <f t="shared" si="2"/>
        <v>59750</v>
      </c>
      <c r="M6" s="50">
        <f t="shared" si="3"/>
        <v>0</v>
      </c>
      <c r="N6" s="143"/>
      <c r="O6" s="26"/>
      <c r="Q6" s="53" t="s">
        <v>110</v>
      </c>
      <c r="R6" s="53"/>
      <c r="S6" s="53" t="s">
        <v>100</v>
      </c>
    </row>
    <row r="7" spans="1:19" x14ac:dyDescent="0.25">
      <c r="A7" s="54">
        <v>45133</v>
      </c>
      <c r="B7" s="24">
        <f t="shared" si="0"/>
        <v>7</v>
      </c>
      <c r="C7" s="24">
        <f t="shared" si="1"/>
        <v>2023</v>
      </c>
      <c r="D7" s="104" t="s">
        <v>123</v>
      </c>
      <c r="E7" s="104" t="s">
        <v>93</v>
      </c>
      <c r="F7" s="104" t="s">
        <v>115</v>
      </c>
      <c r="J7" s="61">
        <v>64388.86</v>
      </c>
      <c r="L7" s="49">
        <f t="shared" si="2"/>
        <v>124138.86</v>
      </c>
      <c r="M7" s="50">
        <f t="shared" si="3"/>
        <v>0</v>
      </c>
      <c r="N7" s="143"/>
      <c r="O7" s="26"/>
      <c r="Q7" s="53" t="s">
        <v>30</v>
      </c>
      <c r="R7" s="53"/>
      <c r="S7" s="53" t="s">
        <v>101</v>
      </c>
    </row>
    <row r="8" spans="1:19" x14ac:dyDescent="0.25">
      <c r="A8" s="54">
        <v>45133</v>
      </c>
      <c r="B8" s="24">
        <f t="shared" si="0"/>
        <v>7</v>
      </c>
      <c r="C8" s="24">
        <f t="shared" si="1"/>
        <v>2023</v>
      </c>
      <c r="D8" s="104" t="s">
        <v>124</v>
      </c>
      <c r="E8" s="104" t="s">
        <v>93</v>
      </c>
      <c r="F8" s="104" t="s">
        <v>115</v>
      </c>
      <c r="G8" s="104" t="s">
        <v>125</v>
      </c>
      <c r="K8" s="61">
        <v>64388.86</v>
      </c>
      <c r="L8" s="49">
        <f t="shared" si="2"/>
        <v>59750</v>
      </c>
      <c r="M8" s="50">
        <f t="shared" si="3"/>
        <v>0</v>
      </c>
      <c r="N8" s="143"/>
      <c r="O8" s="26"/>
      <c r="Q8" s="53" t="s">
        <v>111</v>
      </c>
      <c r="R8" s="53"/>
      <c r="S8" s="53" t="s">
        <v>102</v>
      </c>
    </row>
    <row r="9" spans="1:19" x14ac:dyDescent="0.25">
      <c r="A9" s="54">
        <v>45133</v>
      </c>
      <c r="B9" s="24">
        <f t="shared" si="0"/>
        <v>7</v>
      </c>
      <c r="C9" s="24">
        <f t="shared" si="1"/>
        <v>2023</v>
      </c>
      <c r="D9" s="104" t="s">
        <v>123</v>
      </c>
      <c r="E9" s="104" t="s">
        <v>93</v>
      </c>
      <c r="F9" s="104" t="s">
        <v>115</v>
      </c>
      <c r="J9" s="61">
        <v>38631.07</v>
      </c>
      <c r="L9" s="49">
        <f t="shared" si="2"/>
        <v>98381.07</v>
      </c>
      <c r="M9" s="50">
        <f t="shared" si="3"/>
        <v>0</v>
      </c>
      <c r="N9" s="143"/>
      <c r="O9" s="26"/>
      <c r="Q9" s="53" t="s">
        <v>112</v>
      </c>
      <c r="R9" s="53"/>
      <c r="S9" s="53" t="s">
        <v>103</v>
      </c>
    </row>
    <row r="10" spans="1:19" x14ac:dyDescent="0.25">
      <c r="A10" s="54">
        <v>45133</v>
      </c>
      <c r="B10" s="24">
        <f t="shared" si="0"/>
        <v>7</v>
      </c>
      <c r="C10" s="24">
        <f t="shared" si="1"/>
        <v>2023</v>
      </c>
      <c r="D10" s="104" t="s">
        <v>124</v>
      </c>
      <c r="E10" s="104" t="s">
        <v>93</v>
      </c>
      <c r="G10" s="104" t="s">
        <v>107</v>
      </c>
      <c r="K10" s="61">
        <v>38631.07</v>
      </c>
      <c r="L10" s="49">
        <f t="shared" si="2"/>
        <v>59750.000000000007</v>
      </c>
      <c r="M10" s="50">
        <f t="shared" si="3"/>
        <v>0</v>
      </c>
      <c r="N10" s="143"/>
      <c r="O10" s="26"/>
      <c r="Q10" s="53" t="s">
        <v>122</v>
      </c>
      <c r="R10" s="53"/>
      <c r="S10" s="53" t="s">
        <v>104</v>
      </c>
    </row>
    <row r="11" spans="1:19" x14ac:dyDescent="0.25">
      <c r="A11" s="54">
        <v>45133</v>
      </c>
      <c r="B11" s="24">
        <f t="shared" si="0"/>
        <v>7</v>
      </c>
      <c r="C11" s="24">
        <f t="shared" si="1"/>
        <v>2023</v>
      </c>
      <c r="D11" s="104" t="s">
        <v>92</v>
      </c>
      <c r="E11" s="104" t="s">
        <v>92</v>
      </c>
      <c r="F11" s="104" t="s">
        <v>116</v>
      </c>
      <c r="K11" s="61">
        <v>2800</v>
      </c>
      <c r="L11" s="49">
        <f t="shared" si="2"/>
        <v>56950.000000000007</v>
      </c>
      <c r="M11" s="50">
        <f t="shared" si="3"/>
        <v>0</v>
      </c>
      <c r="N11" s="143"/>
      <c r="O11" s="26"/>
      <c r="Q11" s="53" t="s">
        <v>123</v>
      </c>
      <c r="R11" s="53"/>
      <c r="S11" s="53" t="s">
        <v>105</v>
      </c>
    </row>
    <row r="12" spans="1:19" x14ac:dyDescent="0.25">
      <c r="A12" s="54">
        <v>45133</v>
      </c>
      <c r="B12" s="24">
        <f t="shared" si="0"/>
        <v>7</v>
      </c>
      <c r="C12" s="24">
        <f t="shared" si="1"/>
        <v>2023</v>
      </c>
      <c r="D12" s="104" t="s">
        <v>89</v>
      </c>
      <c r="E12" s="104" t="s">
        <v>93</v>
      </c>
      <c r="J12" s="61">
        <v>8000</v>
      </c>
      <c r="L12" s="49">
        <f t="shared" si="2"/>
        <v>64950.000000000007</v>
      </c>
      <c r="M12" s="50">
        <f t="shared" si="3"/>
        <v>0</v>
      </c>
      <c r="N12" s="143"/>
      <c r="O12" s="26"/>
      <c r="Q12" s="53" t="s">
        <v>124</v>
      </c>
      <c r="R12" s="53"/>
      <c r="S12" s="53" t="s">
        <v>106</v>
      </c>
    </row>
    <row r="13" spans="1:19" x14ac:dyDescent="0.25">
      <c r="A13" s="54">
        <v>45133</v>
      </c>
      <c r="B13" s="24">
        <f t="shared" si="0"/>
        <v>7</v>
      </c>
      <c r="C13" s="24">
        <f t="shared" si="1"/>
        <v>2023</v>
      </c>
      <c r="D13" s="104" t="s">
        <v>135</v>
      </c>
      <c r="E13" s="104" t="s">
        <v>93</v>
      </c>
      <c r="J13" s="115">
        <v>4500</v>
      </c>
      <c r="L13" s="49">
        <f t="shared" si="2"/>
        <v>69450</v>
      </c>
      <c r="M13" s="50">
        <f t="shared" si="3"/>
        <v>0</v>
      </c>
      <c r="N13" s="143"/>
      <c r="O13" s="26"/>
      <c r="Q13" s="53" t="s">
        <v>92</v>
      </c>
      <c r="R13" s="53"/>
      <c r="S13" s="53" t="s">
        <v>107</v>
      </c>
    </row>
    <row r="14" spans="1:19" x14ac:dyDescent="0.25">
      <c r="A14" s="54">
        <v>45133</v>
      </c>
      <c r="B14" s="24">
        <f t="shared" si="0"/>
        <v>7</v>
      </c>
      <c r="C14" s="24">
        <f t="shared" si="1"/>
        <v>2023</v>
      </c>
      <c r="D14" s="104" t="s">
        <v>122</v>
      </c>
      <c r="E14" s="104" t="s">
        <v>93</v>
      </c>
      <c r="F14" s="104" t="s">
        <v>117</v>
      </c>
      <c r="K14" s="61">
        <v>64500</v>
      </c>
      <c r="L14" s="49">
        <f t="shared" si="2"/>
        <v>4950</v>
      </c>
      <c r="M14" s="50">
        <f t="shared" si="3"/>
        <v>0</v>
      </c>
      <c r="N14" s="143"/>
      <c r="O14" s="26"/>
      <c r="Q14" s="53" t="s">
        <v>109</v>
      </c>
      <c r="R14" s="53"/>
      <c r="S14" s="53" t="s">
        <v>125</v>
      </c>
    </row>
    <row r="15" spans="1:19" x14ac:dyDescent="0.25">
      <c r="A15" s="54">
        <v>45134</v>
      </c>
      <c r="B15" s="24">
        <f t="shared" si="0"/>
        <v>7</v>
      </c>
      <c r="C15" s="24">
        <f t="shared" si="1"/>
        <v>2023</v>
      </c>
      <c r="D15" s="104" t="s">
        <v>89</v>
      </c>
      <c r="E15" s="104" t="s">
        <v>93</v>
      </c>
      <c r="J15" s="61">
        <v>25000</v>
      </c>
      <c r="L15" s="49">
        <f t="shared" si="2"/>
        <v>29950</v>
      </c>
      <c r="M15" s="50">
        <f t="shared" si="3"/>
        <v>0</v>
      </c>
      <c r="N15" s="143"/>
      <c r="O15" s="26"/>
      <c r="Q15" s="53" t="s">
        <v>51</v>
      </c>
      <c r="R15" s="53"/>
      <c r="S15" s="53" t="s">
        <v>584</v>
      </c>
    </row>
    <row r="16" spans="1:19" x14ac:dyDescent="0.25">
      <c r="A16" s="54">
        <v>45134</v>
      </c>
      <c r="B16" s="24">
        <f t="shared" si="0"/>
        <v>7</v>
      </c>
      <c r="C16" s="24">
        <f t="shared" si="1"/>
        <v>2023</v>
      </c>
      <c r="D16" s="104" t="s">
        <v>89</v>
      </c>
      <c r="E16" s="104" t="s">
        <v>93</v>
      </c>
      <c r="J16" s="61">
        <f>49960+4340</f>
        <v>54300</v>
      </c>
      <c r="L16" s="49">
        <f t="shared" si="2"/>
        <v>84250</v>
      </c>
      <c r="M16" s="50">
        <f t="shared" si="3"/>
        <v>0</v>
      </c>
      <c r="N16" s="143"/>
      <c r="O16" s="26"/>
      <c r="Q16" s="53" t="s">
        <v>135</v>
      </c>
      <c r="R16" s="53"/>
      <c r="S16" s="53" t="s">
        <v>333</v>
      </c>
    </row>
    <row r="17" spans="1:19" x14ac:dyDescent="0.25">
      <c r="A17" s="54">
        <v>45134</v>
      </c>
      <c r="B17" s="24">
        <f t="shared" si="0"/>
        <v>7</v>
      </c>
      <c r="C17" s="24">
        <f t="shared" si="1"/>
        <v>2023</v>
      </c>
      <c r="D17" s="104" t="s">
        <v>122</v>
      </c>
      <c r="E17" s="104" t="s">
        <v>93</v>
      </c>
      <c r="F17" s="104" t="s">
        <v>127</v>
      </c>
      <c r="K17" s="61">
        <v>54300</v>
      </c>
      <c r="L17" s="49">
        <f t="shared" si="2"/>
        <v>29950</v>
      </c>
      <c r="M17" s="50">
        <f t="shared" si="3"/>
        <v>0</v>
      </c>
      <c r="N17" s="143"/>
      <c r="O17" s="26"/>
      <c r="Q17" s="53" t="s">
        <v>147</v>
      </c>
      <c r="R17" s="53"/>
      <c r="S17" s="53" t="s">
        <v>927</v>
      </c>
    </row>
    <row r="18" spans="1:19" x14ac:dyDescent="0.25">
      <c r="A18" s="54">
        <v>45134</v>
      </c>
      <c r="B18" s="24">
        <f t="shared" si="0"/>
        <v>7</v>
      </c>
      <c r="C18" s="24">
        <f t="shared" si="1"/>
        <v>2023</v>
      </c>
      <c r="D18" s="104" t="s">
        <v>89</v>
      </c>
      <c r="E18" s="104" t="s">
        <v>93</v>
      </c>
      <c r="F18" s="104" t="s">
        <v>126</v>
      </c>
      <c r="K18" s="61">
        <v>4340</v>
      </c>
      <c r="L18" s="49">
        <f t="shared" si="2"/>
        <v>25610</v>
      </c>
      <c r="M18" s="50">
        <f t="shared" si="3"/>
        <v>0</v>
      </c>
      <c r="N18" s="143"/>
      <c r="O18" s="26"/>
      <c r="Q18" s="53" t="s">
        <v>5</v>
      </c>
      <c r="R18" s="53"/>
      <c r="S18" s="53" t="s">
        <v>665</v>
      </c>
    </row>
    <row r="19" spans="1:19" x14ac:dyDescent="0.25">
      <c r="A19" s="54">
        <v>45134</v>
      </c>
      <c r="B19" s="24">
        <f t="shared" si="0"/>
        <v>7</v>
      </c>
      <c r="C19" s="24">
        <f t="shared" si="1"/>
        <v>2023</v>
      </c>
      <c r="D19" s="104" t="s">
        <v>123</v>
      </c>
      <c r="E19" s="104" t="s">
        <v>93</v>
      </c>
      <c r="F19" s="104" t="s">
        <v>121</v>
      </c>
      <c r="J19" s="61">
        <v>25000</v>
      </c>
      <c r="L19" s="49">
        <f t="shared" si="2"/>
        <v>50610</v>
      </c>
      <c r="M19" s="50">
        <f t="shared" si="3"/>
        <v>0</v>
      </c>
      <c r="N19" s="143"/>
      <c r="O19" s="26"/>
      <c r="Q19" s="84" t="s">
        <v>55</v>
      </c>
      <c r="R19" s="53"/>
      <c r="S19" s="53" t="s">
        <v>936</v>
      </c>
    </row>
    <row r="20" spans="1:19" x14ac:dyDescent="0.25">
      <c r="A20" s="54">
        <v>45134</v>
      </c>
      <c r="B20" s="24">
        <f t="shared" si="0"/>
        <v>7</v>
      </c>
      <c r="C20" s="24">
        <f t="shared" si="1"/>
        <v>2023</v>
      </c>
      <c r="D20" s="104" t="s">
        <v>109</v>
      </c>
      <c r="E20" s="104" t="s">
        <v>93</v>
      </c>
      <c r="F20" s="104" t="s">
        <v>118</v>
      </c>
      <c r="K20" s="61">
        <v>25000</v>
      </c>
      <c r="L20" s="49">
        <f t="shared" si="2"/>
        <v>25610</v>
      </c>
      <c r="M20" s="50">
        <f t="shared" si="3"/>
        <v>0</v>
      </c>
      <c r="N20" s="143"/>
      <c r="O20" s="26"/>
      <c r="Q20" s="84" t="s">
        <v>500</v>
      </c>
      <c r="R20" s="53"/>
      <c r="S20" s="53" t="s">
        <v>574</v>
      </c>
    </row>
    <row r="21" spans="1:19" x14ac:dyDescent="0.25">
      <c r="A21" s="54">
        <v>45134</v>
      </c>
      <c r="B21" s="24">
        <f t="shared" si="0"/>
        <v>7</v>
      </c>
      <c r="C21" s="24">
        <f t="shared" si="1"/>
        <v>2023</v>
      </c>
      <c r="D21" s="104" t="s">
        <v>123</v>
      </c>
      <c r="E21" s="104" t="s">
        <v>93</v>
      </c>
      <c r="F21" s="104" t="s">
        <v>121</v>
      </c>
      <c r="J21" s="61">
        <v>2000</v>
      </c>
      <c r="L21" s="49">
        <f t="shared" si="2"/>
        <v>27610</v>
      </c>
      <c r="M21" s="50">
        <f t="shared" si="3"/>
        <v>0</v>
      </c>
      <c r="N21" s="143"/>
      <c r="O21" s="26"/>
      <c r="Q21" s="84" t="s">
        <v>501</v>
      </c>
      <c r="R21" s="53"/>
      <c r="S21" s="53" t="s">
        <v>475</v>
      </c>
    </row>
    <row r="22" spans="1:19" x14ac:dyDescent="0.25">
      <c r="A22" s="54">
        <v>45134</v>
      </c>
      <c r="B22" s="24">
        <f t="shared" si="0"/>
        <v>7</v>
      </c>
      <c r="C22" s="24">
        <f t="shared" si="1"/>
        <v>2023</v>
      </c>
      <c r="D22" s="104" t="s">
        <v>92</v>
      </c>
      <c r="E22" s="104" t="s">
        <v>92</v>
      </c>
      <c r="F22" s="104" t="s">
        <v>120</v>
      </c>
      <c r="K22" s="61">
        <v>1380</v>
      </c>
      <c r="L22" s="49">
        <f t="shared" si="2"/>
        <v>26230</v>
      </c>
      <c r="M22" s="50">
        <f t="shared" si="3"/>
        <v>0</v>
      </c>
      <c r="N22" s="143"/>
      <c r="O22" s="26"/>
      <c r="Q22" s="84" t="s">
        <v>502</v>
      </c>
      <c r="R22" s="53"/>
      <c r="S22" s="53" t="s">
        <v>281</v>
      </c>
    </row>
    <row r="23" spans="1:19" x14ac:dyDescent="0.25">
      <c r="A23" s="54">
        <v>45134</v>
      </c>
      <c r="B23" s="24">
        <f t="shared" si="0"/>
        <v>7</v>
      </c>
      <c r="C23" s="24">
        <f t="shared" si="1"/>
        <v>2023</v>
      </c>
      <c r="D23" s="104" t="s">
        <v>51</v>
      </c>
      <c r="E23" s="104" t="s">
        <v>93</v>
      </c>
      <c r="F23" s="104" t="s">
        <v>119</v>
      </c>
      <c r="K23" s="61">
        <v>2000</v>
      </c>
      <c r="L23" s="49">
        <f t="shared" si="2"/>
        <v>24230</v>
      </c>
      <c r="M23" s="50">
        <f t="shared" si="3"/>
        <v>0</v>
      </c>
      <c r="N23" s="143"/>
      <c r="O23" s="26"/>
      <c r="Q23" s="84" t="s">
        <v>503</v>
      </c>
      <c r="R23" s="53"/>
      <c r="S23" s="53" t="s">
        <v>935</v>
      </c>
    </row>
    <row r="24" spans="1:19" x14ac:dyDescent="0.25">
      <c r="A24" s="54">
        <v>45134</v>
      </c>
      <c r="B24" s="24">
        <f t="shared" si="0"/>
        <v>7</v>
      </c>
      <c r="C24" s="24">
        <f t="shared" si="1"/>
        <v>2023</v>
      </c>
      <c r="D24" s="104" t="s">
        <v>122</v>
      </c>
      <c r="E24" s="104" t="s">
        <v>93</v>
      </c>
      <c r="F24" s="104" t="s">
        <v>117</v>
      </c>
      <c r="K24" s="61">
        <f>22280-3000</f>
        <v>19280</v>
      </c>
      <c r="L24" s="49">
        <f t="shared" si="2"/>
        <v>4950</v>
      </c>
      <c r="M24" s="50">
        <f t="shared" si="3"/>
        <v>0</v>
      </c>
      <c r="N24" s="143"/>
      <c r="O24" s="26"/>
      <c r="Q24" s="142" t="s">
        <v>731</v>
      </c>
      <c r="R24" s="53"/>
      <c r="S24" s="53" t="s">
        <v>826</v>
      </c>
    </row>
    <row r="25" spans="1:19" x14ac:dyDescent="0.25">
      <c r="A25" s="54">
        <v>45135</v>
      </c>
      <c r="B25" s="24">
        <f t="shared" si="0"/>
        <v>7</v>
      </c>
      <c r="C25" s="24">
        <f t="shared" si="1"/>
        <v>2023</v>
      </c>
      <c r="D25" s="104" t="s">
        <v>123</v>
      </c>
      <c r="E25" s="104" t="s">
        <v>93</v>
      </c>
      <c r="J25" s="61">
        <v>19200</v>
      </c>
      <c r="L25" s="49">
        <f t="shared" si="2"/>
        <v>24150</v>
      </c>
      <c r="M25" s="50">
        <f t="shared" si="3"/>
        <v>0</v>
      </c>
      <c r="N25" s="143"/>
      <c r="O25" s="26"/>
      <c r="Q25" s="84" t="s">
        <v>505</v>
      </c>
      <c r="R25" s="53"/>
      <c r="S25" s="53" t="s">
        <v>964</v>
      </c>
    </row>
    <row r="26" spans="1:19" x14ac:dyDescent="0.25">
      <c r="A26" s="54">
        <v>45135</v>
      </c>
      <c r="B26" s="24">
        <f t="shared" si="0"/>
        <v>7</v>
      </c>
      <c r="C26" s="24">
        <f t="shared" si="1"/>
        <v>2023</v>
      </c>
      <c r="D26" s="104" t="s">
        <v>124</v>
      </c>
      <c r="E26" s="104" t="s">
        <v>93</v>
      </c>
      <c r="G26" s="104" t="s">
        <v>98</v>
      </c>
      <c r="K26" s="61">
        <v>19280</v>
      </c>
      <c r="L26" s="49">
        <f t="shared" si="2"/>
        <v>4870</v>
      </c>
      <c r="M26" s="50">
        <f t="shared" si="3"/>
        <v>0</v>
      </c>
      <c r="N26" s="143"/>
      <c r="O26" s="26"/>
      <c r="Q26" s="84" t="s">
        <v>28</v>
      </c>
      <c r="R26" s="53"/>
      <c r="S26" s="53" t="s">
        <v>829</v>
      </c>
    </row>
    <row r="27" spans="1:19" x14ac:dyDescent="0.25">
      <c r="A27" s="54">
        <v>45135</v>
      </c>
      <c r="B27" s="24">
        <f t="shared" si="0"/>
        <v>7</v>
      </c>
      <c r="C27" s="24">
        <f t="shared" si="1"/>
        <v>2023</v>
      </c>
      <c r="D27" s="104" t="s">
        <v>123</v>
      </c>
      <c r="E27" s="104" t="s">
        <v>93</v>
      </c>
      <c r="J27" s="61">
        <v>25000</v>
      </c>
      <c r="L27" s="49">
        <f t="shared" si="2"/>
        <v>29870</v>
      </c>
      <c r="M27" s="50">
        <f t="shared" si="3"/>
        <v>0</v>
      </c>
      <c r="N27" s="143"/>
      <c r="O27" s="26"/>
      <c r="Q27" s="84" t="s">
        <v>506</v>
      </c>
      <c r="R27" s="53"/>
      <c r="S27" s="53" t="s">
        <v>998</v>
      </c>
    </row>
    <row r="28" spans="1:19" x14ac:dyDescent="0.25">
      <c r="A28" s="54">
        <v>45135</v>
      </c>
      <c r="B28" s="24">
        <f t="shared" si="0"/>
        <v>7</v>
      </c>
      <c r="C28" s="24">
        <f t="shared" si="1"/>
        <v>2023</v>
      </c>
      <c r="D28" s="104" t="s">
        <v>109</v>
      </c>
      <c r="E28" s="104" t="s">
        <v>93</v>
      </c>
      <c r="F28" s="104" t="s">
        <v>118</v>
      </c>
      <c r="K28" s="61">
        <v>25000</v>
      </c>
      <c r="L28" s="49">
        <f t="shared" si="2"/>
        <v>4870</v>
      </c>
      <c r="M28" s="50">
        <f t="shared" si="3"/>
        <v>0</v>
      </c>
      <c r="N28" s="143"/>
      <c r="O28" s="26"/>
      <c r="Q28" s="53" t="s">
        <v>507</v>
      </c>
      <c r="R28" s="53"/>
      <c r="S28" s="53" t="s">
        <v>999</v>
      </c>
    </row>
    <row r="29" spans="1:19" x14ac:dyDescent="0.25">
      <c r="A29" s="54">
        <v>45135</v>
      </c>
      <c r="B29" s="24">
        <f t="shared" si="0"/>
        <v>7</v>
      </c>
      <c r="C29" s="24">
        <f t="shared" si="1"/>
        <v>2023</v>
      </c>
      <c r="D29" s="104" t="s">
        <v>123</v>
      </c>
      <c r="E29" s="104" t="s">
        <v>92</v>
      </c>
      <c r="J29" s="61">
        <v>22500</v>
      </c>
      <c r="L29" s="49">
        <f t="shared" si="2"/>
        <v>27370</v>
      </c>
      <c r="M29" s="50">
        <f t="shared" si="3"/>
        <v>0</v>
      </c>
      <c r="N29" s="143"/>
      <c r="O29" s="26"/>
      <c r="Q29" s="53"/>
      <c r="R29" s="53"/>
      <c r="S29" s="53" t="s">
        <v>844</v>
      </c>
    </row>
    <row r="30" spans="1:19" x14ac:dyDescent="0.25">
      <c r="A30" s="54">
        <v>45135</v>
      </c>
      <c r="B30" s="24">
        <f t="shared" si="0"/>
        <v>7</v>
      </c>
      <c r="C30" s="24">
        <f t="shared" si="1"/>
        <v>2023</v>
      </c>
      <c r="D30" s="104" t="s">
        <v>92</v>
      </c>
      <c r="E30" s="104" t="s">
        <v>92</v>
      </c>
      <c r="F30" s="104" t="s">
        <v>138</v>
      </c>
      <c r="K30" s="61">
        <v>22500</v>
      </c>
      <c r="L30" s="49">
        <f t="shared" si="2"/>
        <v>4870</v>
      </c>
      <c r="M30" s="50">
        <f t="shared" si="3"/>
        <v>0</v>
      </c>
      <c r="N30" s="143"/>
      <c r="O30" s="26"/>
      <c r="P30" s="15"/>
      <c r="Q30" s="53"/>
      <c r="R30" s="53"/>
      <c r="S30" s="53"/>
    </row>
    <row r="31" spans="1:19" x14ac:dyDescent="0.25">
      <c r="A31" s="54">
        <v>45135</v>
      </c>
      <c r="B31" s="24">
        <f t="shared" si="0"/>
        <v>7</v>
      </c>
      <c r="C31" s="24">
        <f t="shared" si="1"/>
        <v>2023</v>
      </c>
      <c r="D31" s="104" t="s">
        <v>123</v>
      </c>
      <c r="E31" s="104" t="s">
        <v>93</v>
      </c>
      <c r="J31" s="61">
        <v>2600</v>
      </c>
      <c r="L31" s="49">
        <f t="shared" si="2"/>
        <v>7470</v>
      </c>
      <c r="M31" s="50">
        <f t="shared" si="3"/>
        <v>0</v>
      </c>
      <c r="N31" s="143"/>
      <c r="O31" s="26"/>
      <c r="P31" s="15"/>
      <c r="Q31" s="53"/>
      <c r="R31" s="53"/>
      <c r="S31" s="53"/>
    </row>
    <row r="32" spans="1:19" x14ac:dyDescent="0.25">
      <c r="A32" s="54">
        <v>45135</v>
      </c>
      <c r="B32" s="24">
        <f t="shared" si="0"/>
        <v>7</v>
      </c>
      <c r="C32" s="24">
        <f t="shared" si="1"/>
        <v>2023</v>
      </c>
      <c r="D32" s="104" t="s">
        <v>109</v>
      </c>
      <c r="E32" s="104" t="s">
        <v>93</v>
      </c>
      <c r="F32" s="104" t="s">
        <v>139</v>
      </c>
      <c r="K32" s="61">
        <v>2600</v>
      </c>
      <c r="L32" s="49">
        <f t="shared" si="2"/>
        <v>4870</v>
      </c>
      <c r="M32" s="50">
        <f t="shared" si="3"/>
        <v>0</v>
      </c>
      <c r="N32" s="143"/>
      <c r="O32" s="26"/>
      <c r="Q32" s="53"/>
      <c r="R32" s="53"/>
      <c r="S32" s="53"/>
    </row>
    <row r="33" spans="1:21" x14ac:dyDescent="0.25">
      <c r="A33" s="54">
        <v>45135</v>
      </c>
      <c r="B33" s="24">
        <f t="shared" si="0"/>
        <v>7</v>
      </c>
      <c r="C33" s="24">
        <f t="shared" si="1"/>
        <v>2023</v>
      </c>
      <c r="D33" s="104" t="s">
        <v>89</v>
      </c>
      <c r="E33" s="104" t="s">
        <v>93</v>
      </c>
      <c r="F33" s="104" t="s">
        <v>140</v>
      </c>
      <c r="J33" s="61">
        <v>4500</v>
      </c>
      <c r="L33" s="49">
        <f t="shared" si="2"/>
        <v>9370</v>
      </c>
      <c r="M33" s="50">
        <f t="shared" si="3"/>
        <v>0</v>
      </c>
      <c r="N33" s="143"/>
      <c r="O33" s="26"/>
      <c r="Q33" s="53"/>
      <c r="R33" s="53"/>
      <c r="S33" s="53"/>
    </row>
    <row r="34" spans="1:21" x14ac:dyDescent="0.25">
      <c r="A34" s="54">
        <v>45135</v>
      </c>
      <c r="B34" s="24">
        <f t="shared" si="0"/>
        <v>7</v>
      </c>
      <c r="C34" s="24">
        <f t="shared" si="1"/>
        <v>2023</v>
      </c>
      <c r="D34" s="104" t="s">
        <v>89</v>
      </c>
      <c r="E34" s="104" t="s">
        <v>93</v>
      </c>
      <c r="J34" s="61">
        <v>223820</v>
      </c>
      <c r="L34" s="49">
        <f t="shared" si="2"/>
        <v>233190</v>
      </c>
      <c r="M34" s="50">
        <f t="shared" si="3"/>
        <v>0</v>
      </c>
      <c r="N34" s="143"/>
      <c r="O34" s="26"/>
      <c r="Q34" s="53"/>
      <c r="R34" s="53"/>
      <c r="S34" s="53"/>
    </row>
    <row r="35" spans="1:21" x14ac:dyDescent="0.25">
      <c r="A35" s="54">
        <v>45135</v>
      </c>
      <c r="B35" s="24">
        <f t="shared" si="0"/>
        <v>7</v>
      </c>
      <c r="C35" s="24">
        <f t="shared" si="1"/>
        <v>2023</v>
      </c>
      <c r="D35" s="104" t="s">
        <v>122</v>
      </c>
      <c r="E35" s="104" t="s">
        <v>93</v>
      </c>
      <c r="F35" s="104" t="s">
        <v>117</v>
      </c>
      <c r="K35" s="61">
        <v>230190</v>
      </c>
      <c r="L35" s="49">
        <f t="shared" si="2"/>
        <v>3000</v>
      </c>
      <c r="M35" s="50">
        <f t="shared" si="3"/>
        <v>0</v>
      </c>
      <c r="N35" s="143"/>
      <c r="O35" s="26"/>
      <c r="Q35" s="53"/>
      <c r="R35" s="53"/>
      <c r="S35" s="53"/>
    </row>
    <row r="36" spans="1:21" x14ac:dyDescent="0.25">
      <c r="A36" s="54">
        <v>45136</v>
      </c>
      <c r="B36" s="24">
        <f t="shared" si="0"/>
        <v>7</v>
      </c>
      <c r="C36" s="24">
        <f t="shared" si="1"/>
        <v>2023</v>
      </c>
      <c r="D36" s="104" t="s">
        <v>110</v>
      </c>
      <c r="E36" s="104" t="s">
        <v>93</v>
      </c>
      <c r="J36" s="61">
        <v>3000</v>
      </c>
      <c r="L36" s="49">
        <f t="shared" si="2"/>
        <v>6000</v>
      </c>
      <c r="M36" s="50">
        <f t="shared" si="3"/>
        <v>0</v>
      </c>
      <c r="N36" s="143"/>
      <c r="O36" s="26"/>
      <c r="Q36" s="53"/>
      <c r="R36" s="53"/>
      <c r="S36" s="53"/>
    </row>
    <row r="37" spans="1:21" x14ac:dyDescent="0.25">
      <c r="A37" s="54">
        <v>45136</v>
      </c>
      <c r="B37" s="24">
        <f t="shared" si="0"/>
        <v>7</v>
      </c>
      <c r="C37" s="24">
        <f t="shared" si="1"/>
        <v>2023</v>
      </c>
      <c r="D37" s="104" t="s">
        <v>109</v>
      </c>
      <c r="E37" s="104" t="s">
        <v>93</v>
      </c>
      <c r="F37" s="104" t="s">
        <v>142</v>
      </c>
      <c r="K37" s="61">
        <v>3000</v>
      </c>
      <c r="L37" s="49">
        <f t="shared" si="2"/>
        <v>3000</v>
      </c>
      <c r="M37" s="50">
        <f t="shared" si="3"/>
        <v>0</v>
      </c>
      <c r="N37" s="143"/>
      <c r="O37" s="26"/>
      <c r="Q37" s="53"/>
      <c r="R37" s="53"/>
      <c r="S37" s="53"/>
    </row>
    <row r="38" spans="1:21" x14ac:dyDescent="0.25">
      <c r="A38" s="54">
        <v>45136</v>
      </c>
      <c r="B38" s="24">
        <f t="shared" si="0"/>
        <v>7</v>
      </c>
      <c r="C38" s="24">
        <f t="shared" si="1"/>
        <v>2023</v>
      </c>
      <c r="D38" s="104" t="s">
        <v>89</v>
      </c>
      <c r="E38" s="104" t="s">
        <v>93</v>
      </c>
      <c r="J38" s="61">
        <v>70000</v>
      </c>
      <c r="L38" s="49">
        <f t="shared" si="2"/>
        <v>73000</v>
      </c>
      <c r="M38" s="50">
        <f t="shared" si="3"/>
        <v>0</v>
      </c>
      <c r="N38" s="143"/>
      <c r="O38" s="26"/>
      <c r="Q38" s="53"/>
      <c r="R38" s="53"/>
      <c r="S38" s="53"/>
    </row>
    <row r="39" spans="1:21" x14ac:dyDescent="0.25">
      <c r="A39" s="54">
        <v>45136</v>
      </c>
      <c r="B39" s="24">
        <f t="shared" si="0"/>
        <v>7</v>
      </c>
      <c r="C39" s="24">
        <f t="shared" si="1"/>
        <v>2023</v>
      </c>
      <c r="D39" s="104" t="s">
        <v>122</v>
      </c>
      <c r="E39" s="104" t="s">
        <v>93</v>
      </c>
      <c r="K39" s="61">
        <v>70000</v>
      </c>
      <c r="L39" s="49">
        <f t="shared" si="2"/>
        <v>3000</v>
      </c>
      <c r="M39" s="50">
        <f t="shared" si="3"/>
        <v>0</v>
      </c>
      <c r="N39" s="143"/>
      <c r="O39" s="26"/>
      <c r="Q39" s="53"/>
      <c r="R39" s="53"/>
      <c r="S39" s="53"/>
    </row>
    <row r="40" spans="1:21" x14ac:dyDescent="0.25">
      <c r="A40" s="54">
        <v>45138</v>
      </c>
      <c r="B40" s="24">
        <f t="shared" si="0"/>
        <v>7</v>
      </c>
      <c r="C40" s="24">
        <f t="shared" si="1"/>
        <v>2023</v>
      </c>
      <c r="D40" s="104" t="s">
        <v>89</v>
      </c>
      <c r="E40" s="104" t="s">
        <v>93</v>
      </c>
      <c r="J40" s="61">
        <v>86850</v>
      </c>
      <c r="L40" s="49">
        <f t="shared" si="2"/>
        <v>89850</v>
      </c>
      <c r="M40" s="50">
        <f t="shared" si="3"/>
        <v>0</v>
      </c>
      <c r="N40" s="143"/>
      <c r="O40" s="26"/>
      <c r="Q40" s="53"/>
      <c r="R40" s="53"/>
      <c r="S40" s="53"/>
    </row>
    <row r="41" spans="1:21" x14ac:dyDescent="0.25">
      <c r="A41" s="54">
        <v>45138</v>
      </c>
      <c r="B41" s="24">
        <f t="shared" si="0"/>
        <v>7</v>
      </c>
      <c r="C41" s="24">
        <f t="shared" si="1"/>
        <v>2023</v>
      </c>
      <c r="D41" s="104" t="s">
        <v>89</v>
      </c>
      <c r="E41" s="104" t="s">
        <v>93</v>
      </c>
      <c r="J41" s="61">
        <v>70000</v>
      </c>
      <c r="L41" s="49">
        <f t="shared" si="2"/>
        <v>159850</v>
      </c>
      <c r="M41" s="50">
        <f t="shared" si="3"/>
        <v>0</v>
      </c>
      <c r="N41" s="143"/>
      <c r="O41" s="26"/>
      <c r="Q41" s="53"/>
      <c r="R41" s="53"/>
      <c r="S41" s="53"/>
    </row>
    <row r="42" spans="1:21" x14ac:dyDescent="0.25">
      <c r="A42" s="54">
        <v>45138</v>
      </c>
      <c r="B42" s="24">
        <f t="shared" si="0"/>
        <v>7</v>
      </c>
      <c r="C42" s="24">
        <f t="shared" si="1"/>
        <v>2023</v>
      </c>
      <c r="D42" s="104" t="s">
        <v>89</v>
      </c>
      <c r="E42" s="104" t="s">
        <v>93</v>
      </c>
      <c r="J42" s="61">
        <v>13800</v>
      </c>
      <c r="L42" s="49">
        <f t="shared" si="2"/>
        <v>173650</v>
      </c>
      <c r="M42" s="50">
        <f t="shared" si="3"/>
        <v>0</v>
      </c>
      <c r="N42" s="143"/>
      <c r="O42" s="26"/>
      <c r="Q42" s="53"/>
      <c r="R42" s="53"/>
      <c r="S42" s="53"/>
    </row>
    <row r="43" spans="1:21" x14ac:dyDescent="0.25">
      <c r="A43" s="54">
        <v>45138</v>
      </c>
      <c r="B43" s="24">
        <f t="shared" si="0"/>
        <v>7</v>
      </c>
      <c r="C43" s="24">
        <f t="shared" si="1"/>
        <v>2023</v>
      </c>
      <c r="D43" s="104" t="s">
        <v>112</v>
      </c>
      <c r="E43" s="104" t="s">
        <v>93</v>
      </c>
      <c r="K43" s="61">
        <v>3500</v>
      </c>
      <c r="L43" s="49">
        <f t="shared" si="2"/>
        <v>170150</v>
      </c>
      <c r="M43" s="50">
        <f t="shared" si="3"/>
        <v>0</v>
      </c>
      <c r="N43" s="143"/>
      <c r="O43" s="26"/>
      <c r="Q43" s="53"/>
      <c r="R43" s="53"/>
      <c r="S43" s="53"/>
    </row>
    <row r="44" spans="1:21" s="15" customFormat="1" x14ac:dyDescent="0.25">
      <c r="A44" s="54">
        <v>45138</v>
      </c>
      <c r="B44" s="24">
        <f t="shared" si="0"/>
        <v>7</v>
      </c>
      <c r="C44" s="24">
        <f t="shared" si="1"/>
        <v>2023</v>
      </c>
      <c r="D44" s="104" t="s">
        <v>122</v>
      </c>
      <c r="E44" s="104" t="s">
        <v>93</v>
      </c>
      <c r="F44" s="104"/>
      <c r="G44" s="104"/>
      <c r="H44" s="7"/>
      <c r="I44" s="7"/>
      <c r="J44" s="61"/>
      <c r="K44" s="61">
        <v>170150</v>
      </c>
      <c r="L44" s="49">
        <f t="shared" si="2"/>
        <v>0</v>
      </c>
      <c r="M44" s="50">
        <f t="shared" si="3"/>
        <v>0</v>
      </c>
      <c r="N44" s="143"/>
      <c r="O44" s="26"/>
      <c r="P44"/>
      <c r="Q44" s="53"/>
      <c r="R44" s="53"/>
      <c r="S44" s="53"/>
      <c r="U44"/>
    </row>
    <row r="45" spans="1:21" s="15" customFormat="1" x14ac:dyDescent="0.25">
      <c r="A45" s="54">
        <v>45139</v>
      </c>
      <c r="B45" s="24">
        <f t="shared" si="0"/>
        <v>8</v>
      </c>
      <c r="C45" s="24">
        <f t="shared" si="1"/>
        <v>2023</v>
      </c>
      <c r="D45" s="104" t="s">
        <v>123</v>
      </c>
      <c r="E45" s="104" t="s">
        <v>93</v>
      </c>
      <c r="F45" s="104"/>
      <c r="G45" s="104"/>
      <c r="H45" s="7"/>
      <c r="I45" s="7"/>
      <c r="J45" s="61">
        <v>3000</v>
      </c>
      <c r="K45" s="61"/>
      <c r="L45" s="49">
        <f t="shared" si="2"/>
        <v>3000</v>
      </c>
      <c r="M45" s="50">
        <f t="shared" si="3"/>
        <v>0</v>
      </c>
      <c r="N45" s="143"/>
      <c r="O45" s="26"/>
      <c r="P45"/>
      <c r="Q45" s="53"/>
      <c r="R45" s="53"/>
      <c r="S45" s="53"/>
      <c r="U45"/>
    </row>
    <row r="46" spans="1:21" x14ac:dyDescent="0.25">
      <c r="A46" s="54">
        <v>45139</v>
      </c>
      <c r="B46" s="24">
        <f t="shared" si="0"/>
        <v>8</v>
      </c>
      <c r="C46" s="24">
        <f t="shared" si="1"/>
        <v>2023</v>
      </c>
      <c r="D46" s="104" t="s">
        <v>51</v>
      </c>
      <c r="E46" s="104" t="s">
        <v>93</v>
      </c>
      <c r="K46" s="61">
        <v>3000</v>
      </c>
      <c r="L46" s="49">
        <f t="shared" si="2"/>
        <v>0</v>
      </c>
      <c r="M46" s="50">
        <f t="shared" si="3"/>
        <v>0</v>
      </c>
      <c r="N46" s="143"/>
      <c r="O46" s="26"/>
      <c r="Q46" s="53"/>
      <c r="R46" s="53"/>
      <c r="S46" s="53"/>
    </row>
    <row r="47" spans="1:21" x14ac:dyDescent="0.25">
      <c r="A47" s="54">
        <v>45139</v>
      </c>
      <c r="B47" s="24">
        <f t="shared" si="0"/>
        <v>8</v>
      </c>
      <c r="C47" s="24">
        <f t="shared" si="1"/>
        <v>2023</v>
      </c>
      <c r="D47" s="104" t="s">
        <v>123</v>
      </c>
      <c r="E47" s="104" t="s">
        <v>93</v>
      </c>
      <c r="J47" s="61">
        <v>17520</v>
      </c>
      <c r="L47" s="49">
        <f t="shared" si="2"/>
        <v>17520</v>
      </c>
      <c r="M47" s="50">
        <f t="shared" si="3"/>
        <v>0</v>
      </c>
      <c r="N47" s="143"/>
      <c r="O47" s="26"/>
      <c r="Q47" s="53"/>
      <c r="R47" s="53"/>
      <c r="S47" s="53"/>
    </row>
    <row r="48" spans="1:21" x14ac:dyDescent="0.25">
      <c r="A48" s="54">
        <v>45139</v>
      </c>
      <c r="B48" s="24">
        <f t="shared" si="0"/>
        <v>8</v>
      </c>
      <c r="C48" s="24">
        <f t="shared" si="1"/>
        <v>2023</v>
      </c>
      <c r="D48" s="104" t="s">
        <v>109</v>
      </c>
      <c r="E48" s="104" t="s">
        <v>93</v>
      </c>
      <c r="F48" s="104" t="s">
        <v>145</v>
      </c>
      <c r="K48" s="61">
        <v>17520</v>
      </c>
      <c r="L48" s="49">
        <f t="shared" si="2"/>
        <v>0</v>
      </c>
      <c r="M48" s="50">
        <f t="shared" si="3"/>
        <v>0</v>
      </c>
      <c r="N48" s="143"/>
      <c r="O48" s="26"/>
      <c r="Q48" s="53"/>
      <c r="R48" s="53"/>
      <c r="S48" s="53"/>
    </row>
    <row r="49" spans="1:21" x14ac:dyDescent="0.25">
      <c r="A49" s="54">
        <v>45139</v>
      </c>
      <c r="B49" s="24">
        <f t="shared" si="0"/>
        <v>8</v>
      </c>
      <c r="C49" s="24">
        <f t="shared" si="1"/>
        <v>2023</v>
      </c>
      <c r="D49" s="104" t="s">
        <v>123</v>
      </c>
      <c r="E49" s="104" t="s">
        <v>93</v>
      </c>
      <c r="J49" s="61">
        <v>46000</v>
      </c>
      <c r="L49" s="49">
        <f t="shared" si="2"/>
        <v>46000</v>
      </c>
      <c r="M49" s="50">
        <f t="shared" si="3"/>
        <v>0</v>
      </c>
      <c r="N49" s="143"/>
      <c r="O49" s="26"/>
      <c r="Q49" s="53"/>
      <c r="R49" s="53"/>
      <c r="S49" s="53"/>
    </row>
    <row r="50" spans="1:21" x14ac:dyDescent="0.25">
      <c r="A50" s="54">
        <v>45139</v>
      </c>
      <c r="B50" s="24">
        <f t="shared" si="0"/>
        <v>8</v>
      </c>
      <c r="C50" s="24">
        <f t="shared" si="1"/>
        <v>2023</v>
      </c>
      <c r="D50" s="104" t="s">
        <v>135</v>
      </c>
      <c r="E50" s="104" t="s">
        <v>93</v>
      </c>
      <c r="K50" s="61">
        <v>46000</v>
      </c>
      <c r="L50" s="49">
        <f t="shared" si="2"/>
        <v>0</v>
      </c>
      <c r="M50" s="50">
        <f t="shared" si="3"/>
        <v>0</v>
      </c>
      <c r="N50" s="143"/>
      <c r="O50" s="26"/>
      <c r="Q50" s="53"/>
      <c r="R50" s="53"/>
      <c r="S50" s="53"/>
    </row>
    <row r="51" spans="1:21" x14ac:dyDescent="0.25">
      <c r="A51" s="54">
        <v>45139</v>
      </c>
      <c r="B51" s="24">
        <f t="shared" si="0"/>
        <v>8</v>
      </c>
      <c r="C51" s="24">
        <f t="shared" si="1"/>
        <v>2023</v>
      </c>
      <c r="D51" s="104" t="s">
        <v>89</v>
      </c>
      <c r="E51" s="104" t="s">
        <v>93</v>
      </c>
      <c r="F51" s="104" t="s">
        <v>146</v>
      </c>
      <c r="J51" s="61">
        <v>51000</v>
      </c>
      <c r="L51" s="49">
        <f t="shared" si="2"/>
        <v>51000</v>
      </c>
      <c r="M51" s="50">
        <f t="shared" si="3"/>
        <v>0</v>
      </c>
      <c r="N51" s="143"/>
      <c r="O51" s="26"/>
      <c r="Q51" s="53"/>
      <c r="R51" s="53"/>
      <c r="S51" s="53"/>
    </row>
    <row r="52" spans="1:21" x14ac:dyDescent="0.25">
      <c r="A52" s="54">
        <v>45139</v>
      </c>
      <c r="B52" s="24">
        <f t="shared" si="0"/>
        <v>8</v>
      </c>
      <c r="C52" s="24">
        <f t="shared" si="1"/>
        <v>2023</v>
      </c>
      <c r="D52" s="104" t="s">
        <v>148</v>
      </c>
      <c r="E52" s="104" t="s">
        <v>93</v>
      </c>
      <c r="K52" s="61">
        <v>11444.71</v>
      </c>
      <c r="L52" s="49">
        <f t="shared" si="2"/>
        <v>39555.29</v>
      </c>
      <c r="M52" s="50">
        <f t="shared" si="3"/>
        <v>0</v>
      </c>
      <c r="N52" s="143"/>
      <c r="O52" s="26"/>
      <c r="Q52" s="53"/>
      <c r="R52" s="53"/>
      <c r="S52" s="53"/>
    </row>
    <row r="53" spans="1:21" x14ac:dyDescent="0.25">
      <c r="A53" s="54">
        <v>45139</v>
      </c>
      <c r="B53" s="24">
        <f t="shared" si="0"/>
        <v>8</v>
      </c>
      <c r="C53" s="24">
        <f t="shared" si="1"/>
        <v>2023</v>
      </c>
      <c r="D53" s="104" t="s">
        <v>148</v>
      </c>
      <c r="E53" s="104" t="s">
        <v>92</v>
      </c>
      <c r="K53" s="61">
        <v>44834.14</v>
      </c>
      <c r="L53" s="49">
        <f t="shared" si="2"/>
        <v>0</v>
      </c>
      <c r="M53" s="50">
        <f t="shared" si="3"/>
        <v>-5278.8499999999985</v>
      </c>
      <c r="N53" s="143"/>
      <c r="O53" s="26"/>
      <c r="Q53" s="53"/>
      <c r="R53" s="53"/>
      <c r="S53" s="53"/>
    </row>
    <row r="54" spans="1:21" x14ac:dyDescent="0.25">
      <c r="A54" s="54">
        <v>45139</v>
      </c>
      <c r="B54" s="24">
        <f t="shared" si="0"/>
        <v>8</v>
      </c>
      <c r="C54" s="24">
        <f t="shared" si="1"/>
        <v>2023</v>
      </c>
      <c r="D54" s="104" t="s">
        <v>123</v>
      </c>
      <c r="E54" s="104" t="s">
        <v>93</v>
      </c>
      <c r="J54" s="61">
        <v>100000</v>
      </c>
      <c r="L54" s="49">
        <f t="shared" si="2"/>
        <v>94721.15</v>
      </c>
      <c r="M54" s="50">
        <f t="shared" si="3"/>
        <v>0</v>
      </c>
      <c r="N54" s="143"/>
      <c r="O54" s="26"/>
      <c r="Q54" s="53"/>
      <c r="R54" s="53"/>
      <c r="S54" s="53"/>
    </row>
    <row r="55" spans="1:21" x14ac:dyDescent="0.25">
      <c r="A55" s="54">
        <v>45139</v>
      </c>
      <c r="B55" s="24">
        <f t="shared" si="0"/>
        <v>8</v>
      </c>
      <c r="C55" s="24">
        <f t="shared" si="1"/>
        <v>2023</v>
      </c>
      <c r="D55" s="104" t="s">
        <v>109</v>
      </c>
      <c r="E55" s="104" t="s">
        <v>93</v>
      </c>
      <c r="F55" s="104" t="s">
        <v>149</v>
      </c>
      <c r="K55" s="61">
        <v>100000</v>
      </c>
      <c r="L55" s="49">
        <f t="shared" si="2"/>
        <v>0</v>
      </c>
      <c r="M55" s="50">
        <f t="shared" si="3"/>
        <v>-5278.8500000000058</v>
      </c>
      <c r="N55" s="143"/>
      <c r="O55" s="26"/>
      <c r="Q55" s="53"/>
      <c r="R55" s="53"/>
      <c r="S55" s="53"/>
    </row>
    <row r="56" spans="1:21" x14ac:dyDescent="0.25">
      <c r="A56" s="54">
        <v>45139</v>
      </c>
      <c r="B56" s="24">
        <f t="shared" si="0"/>
        <v>8</v>
      </c>
      <c r="C56" s="24">
        <f t="shared" si="1"/>
        <v>2023</v>
      </c>
      <c r="D56" s="104" t="s">
        <v>123</v>
      </c>
      <c r="E56" s="104" t="s">
        <v>93</v>
      </c>
      <c r="J56" s="61">
        <v>5000</v>
      </c>
      <c r="L56" s="49">
        <f t="shared" si="2"/>
        <v>0</v>
      </c>
      <c r="M56" s="50">
        <f t="shared" si="3"/>
        <v>-278.85000000000582</v>
      </c>
      <c r="N56" s="143"/>
      <c r="O56" s="26"/>
      <c r="Q56" s="53"/>
      <c r="R56" s="53"/>
      <c r="S56" s="53"/>
    </row>
    <row r="57" spans="1:21" x14ac:dyDescent="0.25">
      <c r="A57" s="54">
        <v>45139</v>
      </c>
      <c r="B57" s="24">
        <f t="shared" si="0"/>
        <v>8</v>
      </c>
      <c r="C57" s="24">
        <f t="shared" si="1"/>
        <v>2023</v>
      </c>
      <c r="D57" s="104" t="s">
        <v>51</v>
      </c>
      <c r="E57" s="104" t="s">
        <v>93</v>
      </c>
      <c r="K57" s="61">
        <v>5000</v>
      </c>
      <c r="L57" s="49">
        <f t="shared" si="2"/>
        <v>0</v>
      </c>
      <c r="M57" s="50">
        <f t="shared" si="3"/>
        <v>-5278.8500000000058</v>
      </c>
      <c r="N57" s="143"/>
      <c r="O57" s="26"/>
      <c r="Q57" s="53"/>
      <c r="R57" s="53"/>
      <c r="S57" s="53"/>
    </row>
    <row r="58" spans="1:21" x14ac:dyDescent="0.25">
      <c r="A58" s="54">
        <v>45139</v>
      </c>
      <c r="B58" s="24">
        <f t="shared" si="0"/>
        <v>8</v>
      </c>
      <c r="C58" s="24">
        <f t="shared" si="1"/>
        <v>2023</v>
      </c>
      <c r="D58" s="104" t="s">
        <v>89</v>
      </c>
      <c r="E58" s="104" t="s">
        <v>93</v>
      </c>
      <c r="F58" s="104" t="s">
        <v>151</v>
      </c>
      <c r="J58" s="61">
        <v>2610</v>
      </c>
      <c r="L58" s="49">
        <f t="shared" si="2"/>
        <v>0</v>
      </c>
      <c r="M58" s="50">
        <f t="shared" si="3"/>
        <v>-2668.8500000000058</v>
      </c>
      <c r="N58" s="143"/>
      <c r="O58" s="26"/>
      <c r="Q58" s="53"/>
      <c r="R58" s="53"/>
      <c r="S58" s="53"/>
    </row>
    <row r="59" spans="1:21" x14ac:dyDescent="0.25">
      <c r="A59" s="54">
        <v>45139</v>
      </c>
      <c r="B59" s="24">
        <f t="shared" si="0"/>
        <v>8</v>
      </c>
      <c r="C59" s="24">
        <f t="shared" si="1"/>
        <v>2023</v>
      </c>
      <c r="D59" s="104" t="s">
        <v>89</v>
      </c>
      <c r="E59" s="104" t="s">
        <v>93</v>
      </c>
      <c r="J59" s="61">
        <v>58800</v>
      </c>
      <c r="L59" s="49">
        <f t="shared" si="2"/>
        <v>56131.149999999994</v>
      </c>
      <c r="M59" s="50">
        <f t="shared" si="3"/>
        <v>0</v>
      </c>
      <c r="N59" s="143"/>
      <c r="O59" s="26"/>
      <c r="Q59" s="53"/>
      <c r="R59" s="53"/>
      <c r="S59" s="53"/>
    </row>
    <row r="60" spans="1:21" x14ac:dyDescent="0.25">
      <c r="A60" s="54">
        <v>45139</v>
      </c>
      <c r="B60" s="24">
        <f t="shared" si="0"/>
        <v>8</v>
      </c>
      <c r="C60" s="24">
        <f t="shared" si="1"/>
        <v>2023</v>
      </c>
      <c r="D60" s="104" t="s">
        <v>122</v>
      </c>
      <c r="E60" s="104" t="s">
        <v>93</v>
      </c>
      <c r="K60" s="61">
        <v>56131.15</v>
      </c>
      <c r="L60" s="49">
        <f t="shared" si="2"/>
        <v>0</v>
      </c>
      <c r="M60" s="50">
        <f t="shared" si="3"/>
        <v>-7.2759576141834259E-12</v>
      </c>
      <c r="N60" s="143"/>
      <c r="O60" s="26"/>
      <c r="P60" s="17"/>
      <c r="Q60" s="53"/>
      <c r="R60" s="53"/>
      <c r="S60" s="53"/>
    </row>
    <row r="61" spans="1:21" x14ac:dyDescent="0.25">
      <c r="A61" s="54">
        <v>45140</v>
      </c>
      <c r="B61" s="24">
        <f t="shared" si="0"/>
        <v>8</v>
      </c>
      <c r="C61" s="24">
        <f t="shared" si="1"/>
        <v>2023</v>
      </c>
      <c r="D61" s="104" t="s">
        <v>89</v>
      </c>
      <c r="E61" s="104" t="s">
        <v>93</v>
      </c>
      <c r="F61" s="104" t="s">
        <v>152</v>
      </c>
      <c r="J61" s="61">
        <v>52862.5</v>
      </c>
      <c r="L61" s="49">
        <f t="shared" si="2"/>
        <v>52862.499999999993</v>
      </c>
      <c r="M61" s="50">
        <f t="shared" si="3"/>
        <v>0</v>
      </c>
      <c r="N61" s="143"/>
      <c r="O61" s="26"/>
      <c r="P61" s="17"/>
      <c r="Q61" s="53"/>
      <c r="R61" s="53"/>
      <c r="S61" s="53"/>
    </row>
    <row r="62" spans="1:21" s="17" customFormat="1" x14ac:dyDescent="0.25">
      <c r="A62" s="54">
        <v>45140</v>
      </c>
      <c r="B62" s="24">
        <f t="shared" si="0"/>
        <v>8</v>
      </c>
      <c r="C62" s="24">
        <f t="shared" si="1"/>
        <v>2023</v>
      </c>
      <c r="D62" s="104" t="s">
        <v>124</v>
      </c>
      <c r="E62" s="104" t="s">
        <v>93</v>
      </c>
      <c r="F62" s="104"/>
      <c r="G62" s="104"/>
      <c r="H62" s="7"/>
      <c r="I62" s="7"/>
      <c r="J62" s="61"/>
      <c r="K62" s="61">
        <v>3860</v>
      </c>
      <c r="L62" s="49">
        <f t="shared" si="2"/>
        <v>49002.499999999993</v>
      </c>
      <c r="M62" s="50">
        <f t="shared" si="3"/>
        <v>0</v>
      </c>
      <c r="N62" s="143"/>
      <c r="O62" s="26"/>
      <c r="P62" s="16"/>
      <c r="Q62" s="53"/>
      <c r="R62" s="53"/>
      <c r="S62" s="53"/>
      <c r="U62"/>
    </row>
    <row r="63" spans="1:21" s="17" customFormat="1" x14ac:dyDescent="0.25">
      <c r="A63" s="54">
        <v>45140</v>
      </c>
      <c r="B63" s="24">
        <f t="shared" si="0"/>
        <v>8</v>
      </c>
      <c r="C63" s="24">
        <f t="shared" si="1"/>
        <v>2023</v>
      </c>
      <c r="D63" s="104" t="s">
        <v>112</v>
      </c>
      <c r="E63" s="104" t="s">
        <v>93</v>
      </c>
      <c r="F63" s="104"/>
      <c r="G63" s="104"/>
      <c r="H63" s="7"/>
      <c r="I63" s="7"/>
      <c r="J63" s="61"/>
      <c r="K63" s="61">
        <v>3000</v>
      </c>
      <c r="L63" s="49">
        <f t="shared" si="2"/>
        <v>46002.499999999993</v>
      </c>
      <c r="M63" s="50">
        <f t="shared" si="3"/>
        <v>0</v>
      </c>
      <c r="N63" s="143"/>
      <c r="O63" s="26"/>
      <c r="P63"/>
      <c r="Q63" s="53"/>
      <c r="R63" s="53"/>
      <c r="S63" s="53"/>
      <c r="U63"/>
    </row>
    <row r="64" spans="1:21" s="16" customFormat="1" x14ac:dyDescent="0.25">
      <c r="A64" s="54">
        <v>45140</v>
      </c>
      <c r="B64" s="24">
        <f t="shared" si="0"/>
        <v>8</v>
      </c>
      <c r="C64" s="24">
        <f t="shared" si="1"/>
        <v>2023</v>
      </c>
      <c r="D64" s="104" t="s">
        <v>122</v>
      </c>
      <c r="E64" s="104" t="s">
        <v>93</v>
      </c>
      <c r="F64" s="104"/>
      <c r="G64" s="104"/>
      <c r="H64" s="7"/>
      <c r="I64" s="7"/>
      <c r="J64" s="61"/>
      <c r="K64" s="61">
        <v>46002.5</v>
      </c>
      <c r="L64" s="49">
        <f t="shared" si="2"/>
        <v>0</v>
      </c>
      <c r="M64" s="50">
        <f t="shared" si="3"/>
        <v>-7.2759576141834259E-12</v>
      </c>
      <c r="N64" s="143"/>
      <c r="O64" s="26"/>
      <c r="P64"/>
      <c r="Q64" s="53"/>
      <c r="R64" s="53"/>
      <c r="S64" s="53"/>
      <c r="U64"/>
    </row>
    <row r="65" spans="1:19" x14ac:dyDescent="0.25">
      <c r="A65" s="54">
        <v>45141</v>
      </c>
      <c r="B65" s="24">
        <f t="shared" si="0"/>
        <v>8</v>
      </c>
      <c r="C65" s="24">
        <f t="shared" si="1"/>
        <v>2023</v>
      </c>
      <c r="D65" s="104" t="s">
        <v>123</v>
      </c>
      <c r="E65" s="104" t="s">
        <v>93</v>
      </c>
      <c r="J65" s="61">
        <v>60000</v>
      </c>
      <c r="L65" s="49">
        <f t="shared" si="2"/>
        <v>59999.999999999993</v>
      </c>
      <c r="M65" s="50">
        <f t="shared" si="3"/>
        <v>0</v>
      </c>
      <c r="N65" s="143"/>
      <c r="O65" s="26"/>
      <c r="Q65" s="53"/>
      <c r="R65" s="53"/>
      <c r="S65" s="53"/>
    </row>
    <row r="66" spans="1:19" x14ac:dyDescent="0.25">
      <c r="A66" s="54">
        <v>37471</v>
      </c>
      <c r="B66" s="24">
        <f t="shared" si="0"/>
        <v>8</v>
      </c>
      <c r="C66" s="24">
        <f t="shared" si="1"/>
        <v>2002</v>
      </c>
      <c r="D66" s="104" t="s">
        <v>109</v>
      </c>
      <c r="E66" s="104" t="s">
        <v>93</v>
      </c>
      <c r="F66" s="104" t="s">
        <v>153</v>
      </c>
      <c r="K66" s="61">
        <v>60000</v>
      </c>
      <c r="L66" s="49">
        <f t="shared" si="2"/>
        <v>0</v>
      </c>
      <c r="M66" s="50">
        <f t="shared" si="3"/>
        <v>-7.2759576141834259E-12</v>
      </c>
      <c r="N66" s="143"/>
      <c r="O66" s="26"/>
      <c r="Q66" s="53"/>
      <c r="R66" s="53"/>
      <c r="S66" s="53"/>
    </row>
    <row r="67" spans="1:19" x14ac:dyDescent="0.25">
      <c r="A67" s="54">
        <v>45141</v>
      </c>
      <c r="B67" s="24">
        <f t="shared" ref="B67:B130" si="4">MONTH(A67)</f>
        <v>8</v>
      </c>
      <c r="C67" s="24">
        <f t="shared" ref="C67:C130" si="5">YEAR(A67)</f>
        <v>2023</v>
      </c>
      <c r="D67" s="104" t="s">
        <v>123</v>
      </c>
      <c r="E67" s="104" t="s">
        <v>93</v>
      </c>
      <c r="J67" s="61">
        <v>78300</v>
      </c>
      <c r="L67" s="49">
        <f t="shared" si="2"/>
        <v>78300</v>
      </c>
      <c r="M67" s="50">
        <f t="shared" si="3"/>
        <v>0</v>
      </c>
      <c r="N67" s="143"/>
      <c r="O67" s="26"/>
      <c r="Q67" s="53"/>
      <c r="R67" s="53"/>
      <c r="S67" s="53"/>
    </row>
    <row r="68" spans="1:19" x14ac:dyDescent="0.25">
      <c r="A68" s="54">
        <v>45141</v>
      </c>
      <c r="B68" s="24">
        <f t="shared" si="4"/>
        <v>8</v>
      </c>
      <c r="C68" s="24">
        <f t="shared" si="5"/>
        <v>2023</v>
      </c>
      <c r="D68" s="104" t="s">
        <v>109</v>
      </c>
      <c r="E68" s="104" t="s">
        <v>93</v>
      </c>
      <c r="F68" s="104" t="s">
        <v>154</v>
      </c>
      <c r="K68" s="61">
        <v>78300</v>
      </c>
      <c r="L68" s="49">
        <f t="shared" ref="L68:L131" si="6">IF((L67+M67+J68-K68)&gt;0,(L67+M67+J68-K68),0)</f>
        <v>0</v>
      </c>
      <c r="M68" s="50">
        <f t="shared" ref="M68:M131" si="7">IF((L67+M67+J68-K68)&lt;0,(L67+M67+J68-K68),0)</f>
        <v>0</v>
      </c>
      <c r="N68" s="143"/>
      <c r="O68" s="26"/>
      <c r="Q68" s="53"/>
      <c r="R68" s="53"/>
      <c r="S68" s="53"/>
    </row>
    <row r="69" spans="1:19" x14ac:dyDescent="0.25">
      <c r="A69" s="54">
        <v>45141</v>
      </c>
      <c r="B69" s="24">
        <f t="shared" si="4"/>
        <v>8</v>
      </c>
      <c r="C69" s="24">
        <f t="shared" si="5"/>
        <v>2023</v>
      </c>
      <c r="D69" s="104" t="s">
        <v>123</v>
      </c>
      <c r="E69" s="104" t="s">
        <v>93</v>
      </c>
      <c r="J69" s="61">
        <v>30000</v>
      </c>
      <c r="L69" s="49">
        <f t="shared" si="6"/>
        <v>30000</v>
      </c>
      <c r="M69" s="50">
        <f t="shared" si="7"/>
        <v>0</v>
      </c>
      <c r="N69" s="143"/>
      <c r="O69" s="26"/>
      <c r="Q69" s="53"/>
      <c r="R69" s="53"/>
      <c r="S69" s="53"/>
    </row>
    <row r="70" spans="1:19" x14ac:dyDescent="0.25">
      <c r="A70" s="54">
        <v>45141</v>
      </c>
      <c r="B70" s="24">
        <f t="shared" si="4"/>
        <v>8</v>
      </c>
      <c r="C70" s="24">
        <f t="shared" si="5"/>
        <v>2023</v>
      </c>
      <c r="D70" s="104" t="s">
        <v>109</v>
      </c>
      <c r="E70" s="104" t="s">
        <v>93</v>
      </c>
      <c r="F70" s="104" t="s">
        <v>156</v>
      </c>
      <c r="K70" s="61">
        <v>10300</v>
      </c>
      <c r="L70" s="49">
        <f t="shared" si="6"/>
        <v>19700</v>
      </c>
      <c r="M70" s="50">
        <f t="shared" si="7"/>
        <v>0</v>
      </c>
      <c r="N70" s="143"/>
      <c r="O70" s="26"/>
      <c r="Q70" s="53"/>
      <c r="R70" s="53"/>
      <c r="S70" s="53"/>
    </row>
    <row r="71" spans="1:19" x14ac:dyDescent="0.25">
      <c r="A71" s="54">
        <v>45141</v>
      </c>
      <c r="B71" s="24">
        <f t="shared" si="4"/>
        <v>8</v>
      </c>
      <c r="C71" s="24">
        <f t="shared" si="5"/>
        <v>2023</v>
      </c>
      <c r="D71" s="104" t="s">
        <v>109</v>
      </c>
      <c r="E71" s="104" t="s">
        <v>93</v>
      </c>
      <c r="F71" s="104" t="s">
        <v>157</v>
      </c>
      <c r="K71" s="61">
        <v>1500</v>
      </c>
      <c r="L71" s="49">
        <f t="shared" si="6"/>
        <v>18200</v>
      </c>
      <c r="M71" s="50">
        <f t="shared" si="7"/>
        <v>0</v>
      </c>
      <c r="N71" s="143"/>
      <c r="O71" s="26"/>
      <c r="Q71" s="53"/>
      <c r="R71" s="53"/>
      <c r="S71" s="53"/>
    </row>
    <row r="72" spans="1:19" x14ac:dyDescent="0.25">
      <c r="A72" s="54">
        <v>45141</v>
      </c>
      <c r="B72" s="24">
        <f t="shared" si="4"/>
        <v>8</v>
      </c>
      <c r="C72" s="24">
        <f t="shared" si="5"/>
        <v>2023</v>
      </c>
      <c r="D72" s="104" t="s">
        <v>89</v>
      </c>
      <c r="E72" s="104" t="s">
        <v>93</v>
      </c>
      <c r="F72" s="104" t="s">
        <v>158</v>
      </c>
      <c r="J72" s="61">
        <v>134500</v>
      </c>
      <c r="L72" s="49">
        <f t="shared" si="6"/>
        <v>152700</v>
      </c>
      <c r="M72" s="50">
        <f t="shared" si="7"/>
        <v>0</v>
      </c>
      <c r="N72" s="143"/>
      <c r="O72" s="26"/>
      <c r="Q72" s="53"/>
      <c r="R72" s="53"/>
      <c r="S72" s="53"/>
    </row>
    <row r="73" spans="1:19" x14ac:dyDescent="0.25">
      <c r="A73" s="54">
        <v>45141</v>
      </c>
      <c r="B73" s="24">
        <f t="shared" si="4"/>
        <v>8</v>
      </c>
      <c r="C73" s="24">
        <f t="shared" si="5"/>
        <v>2023</v>
      </c>
      <c r="D73" s="104" t="s">
        <v>89</v>
      </c>
      <c r="E73" s="104" t="s">
        <v>93</v>
      </c>
      <c r="F73" s="104" t="s">
        <v>159</v>
      </c>
      <c r="J73" s="61">
        <v>28000</v>
      </c>
      <c r="L73" s="49">
        <f t="shared" si="6"/>
        <v>180700</v>
      </c>
      <c r="M73" s="50">
        <f t="shared" si="7"/>
        <v>0</v>
      </c>
      <c r="N73" s="143"/>
      <c r="O73" s="26"/>
      <c r="Q73" s="53"/>
      <c r="R73" s="53"/>
      <c r="S73" s="53"/>
    </row>
    <row r="74" spans="1:19" x14ac:dyDescent="0.25">
      <c r="A74" s="54">
        <v>45141</v>
      </c>
      <c r="B74" s="24">
        <f t="shared" si="4"/>
        <v>8</v>
      </c>
      <c r="C74" s="24">
        <f t="shared" si="5"/>
        <v>2023</v>
      </c>
      <c r="D74" s="104" t="s">
        <v>89</v>
      </c>
      <c r="E74" s="104" t="s">
        <v>93</v>
      </c>
      <c r="F74" s="104" t="s">
        <v>160</v>
      </c>
      <c r="J74" s="61">
        <v>45000</v>
      </c>
      <c r="L74" s="49">
        <f t="shared" si="6"/>
        <v>225700</v>
      </c>
      <c r="M74" s="50">
        <f t="shared" si="7"/>
        <v>0</v>
      </c>
      <c r="N74" s="143"/>
      <c r="O74" s="26"/>
      <c r="Q74" s="53"/>
      <c r="R74" s="53"/>
      <c r="S74" s="53"/>
    </row>
    <row r="75" spans="1:19" x14ac:dyDescent="0.25">
      <c r="A75" s="54">
        <v>45141</v>
      </c>
      <c r="B75" s="24">
        <f t="shared" si="4"/>
        <v>8</v>
      </c>
      <c r="C75" s="24">
        <f t="shared" si="5"/>
        <v>2023</v>
      </c>
      <c r="D75" s="104" t="s">
        <v>122</v>
      </c>
      <c r="E75" s="104" t="s">
        <v>93</v>
      </c>
      <c r="K75" s="61">
        <v>225700</v>
      </c>
      <c r="L75" s="49">
        <f t="shared" si="6"/>
        <v>0</v>
      </c>
      <c r="M75" s="50">
        <f t="shared" si="7"/>
        <v>0</v>
      </c>
      <c r="N75" s="143"/>
      <c r="O75" s="26"/>
      <c r="Q75" s="53"/>
      <c r="R75" s="53"/>
      <c r="S75" s="53"/>
    </row>
    <row r="76" spans="1:19" x14ac:dyDescent="0.25">
      <c r="A76" s="54">
        <v>45142</v>
      </c>
      <c r="B76" s="24">
        <f t="shared" si="4"/>
        <v>8</v>
      </c>
      <c r="C76" s="24">
        <f t="shared" si="5"/>
        <v>2023</v>
      </c>
      <c r="D76" s="104" t="s">
        <v>123</v>
      </c>
      <c r="E76" s="104" t="s">
        <v>93</v>
      </c>
      <c r="J76" s="61">
        <v>30000</v>
      </c>
      <c r="L76" s="49">
        <f t="shared" si="6"/>
        <v>30000</v>
      </c>
      <c r="M76" s="50">
        <f t="shared" si="7"/>
        <v>0</v>
      </c>
      <c r="N76" s="143"/>
      <c r="O76" s="26"/>
      <c r="Q76" s="53"/>
      <c r="R76" s="53"/>
      <c r="S76" s="53"/>
    </row>
    <row r="77" spans="1:19" x14ac:dyDescent="0.25">
      <c r="A77" s="54">
        <v>45142</v>
      </c>
      <c r="B77" s="24">
        <f t="shared" si="4"/>
        <v>8</v>
      </c>
      <c r="C77" s="24">
        <f t="shared" si="5"/>
        <v>2023</v>
      </c>
      <c r="D77" s="104" t="s">
        <v>109</v>
      </c>
      <c r="E77" s="104" t="s">
        <v>93</v>
      </c>
      <c r="F77" s="104" t="s">
        <v>162</v>
      </c>
      <c r="K77" s="61">
        <v>4030</v>
      </c>
      <c r="L77" s="49">
        <f t="shared" si="6"/>
        <v>25970</v>
      </c>
      <c r="M77" s="50">
        <f t="shared" si="7"/>
        <v>0</v>
      </c>
      <c r="N77" s="143"/>
      <c r="O77" s="26"/>
      <c r="Q77" s="53"/>
      <c r="R77" s="53"/>
      <c r="S77" s="53"/>
    </row>
    <row r="78" spans="1:19" x14ac:dyDescent="0.25">
      <c r="A78" s="54">
        <v>45142</v>
      </c>
      <c r="B78" s="24">
        <f t="shared" si="4"/>
        <v>8</v>
      </c>
      <c r="C78" s="24">
        <f t="shared" si="5"/>
        <v>2023</v>
      </c>
      <c r="D78" s="104" t="s">
        <v>109</v>
      </c>
      <c r="E78" s="104" t="s">
        <v>93</v>
      </c>
      <c r="F78" s="104" t="s">
        <v>163</v>
      </c>
      <c r="K78" s="61">
        <v>2000</v>
      </c>
      <c r="L78" s="49">
        <f t="shared" si="6"/>
        <v>23970</v>
      </c>
      <c r="M78" s="50">
        <f t="shared" si="7"/>
        <v>0</v>
      </c>
      <c r="N78" s="143"/>
      <c r="O78" s="26"/>
      <c r="Q78" s="53"/>
      <c r="R78" s="53"/>
      <c r="S78" s="53"/>
    </row>
    <row r="79" spans="1:19" x14ac:dyDescent="0.25">
      <c r="A79" s="54">
        <v>45142</v>
      </c>
      <c r="B79" s="24">
        <f t="shared" si="4"/>
        <v>8</v>
      </c>
      <c r="C79" s="24">
        <f t="shared" si="5"/>
        <v>2023</v>
      </c>
      <c r="D79" s="104" t="s">
        <v>89</v>
      </c>
      <c r="E79" s="104" t="s">
        <v>93</v>
      </c>
      <c r="J79" s="61">
        <v>23800</v>
      </c>
      <c r="L79" s="49">
        <f t="shared" si="6"/>
        <v>47770</v>
      </c>
      <c r="M79" s="50">
        <f t="shared" si="7"/>
        <v>0</v>
      </c>
      <c r="N79" s="143"/>
      <c r="O79" s="26"/>
      <c r="Q79" s="53"/>
      <c r="R79" s="53"/>
      <c r="S79" s="53"/>
    </row>
    <row r="80" spans="1:19" x14ac:dyDescent="0.25">
      <c r="A80" s="54">
        <v>45142</v>
      </c>
      <c r="B80" s="24">
        <f t="shared" si="4"/>
        <v>8</v>
      </c>
      <c r="C80" s="24">
        <f t="shared" si="5"/>
        <v>2023</v>
      </c>
      <c r="D80" s="104" t="s">
        <v>110</v>
      </c>
      <c r="E80" s="104" t="s">
        <v>93</v>
      </c>
      <c r="F80" s="104" t="s">
        <v>166</v>
      </c>
      <c r="J80" s="61">
        <v>2000</v>
      </c>
      <c r="L80" s="49">
        <f t="shared" si="6"/>
        <v>49770</v>
      </c>
      <c r="M80" s="50">
        <f t="shared" si="7"/>
        <v>0</v>
      </c>
      <c r="N80" s="143"/>
      <c r="O80" s="26"/>
      <c r="Q80" s="53"/>
      <c r="R80" s="53"/>
      <c r="S80" s="53"/>
    </row>
    <row r="81" spans="1:19" x14ac:dyDescent="0.25">
      <c r="A81" s="54">
        <v>45142</v>
      </c>
      <c r="B81" s="24">
        <f t="shared" si="4"/>
        <v>8</v>
      </c>
      <c r="C81" s="24">
        <f t="shared" si="5"/>
        <v>2023</v>
      </c>
      <c r="D81" s="104" t="s">
        <v>89</v>
      </c>
      <c r="E81" s="104" t="s">
        <v>93</v>
      </c>
      <c r="F81" s="104" t="s">
        <v>167</v>
      </c>
      <c r="J81" s="61">
        <v>89400</v>
      </c>
      <c r="L81" s="49">
        <f t="shared" si="6"/>
        <v>139170</v>
      </c>
      <c r="M81" s="50">
        <f t="shared" si="7"/>
        <v>0</v>
      </c>
      <c r="N81" s="143"/>
      <c r="O81" s="26"/>
      <c r="Q81" s="53"/>
      <c r="R81" s="53"/>
      <c r="S81" s="53"/>
    </row>
    <row r="82" spans="1:19" x14ac:dyDescent="0.25">
      <c r="A82" s="54">
        <v>45142</v>
      </c>
      <c r="B82" s="24">
        <f t="shared" si="4"/>
        <v>8</v>
      </c>
      <c r="C82" s="24">
        <f t="shared" si="5"/>
        <v>2023</v>
      </c>
      <c r="D82" s="104" t="s">
        <v>124</v>
      </c>
      <c r="E82" s="104" t="s">
        <v>93</v>
      </c>
      <c r="G82" s="104" t="s">
        <v>97</v>
      </c>
      <c r="K82" s="61">
        <v>89400</v>
      </c>
      <c r="L82" s="49">
        <f t="shared" si="6"/>
        <v>49770</v>
      </c>
      <c r="M82" s="50">
        <f t="shared" si="7"/>
        <v>0</v>
      </c>
      <c r="N82" s="143"/>
      <c r="O82" s="26"/>
      <c r="Q82" s="53"/>
      <c r="R82" s="53"/>
      <c r="S82" s="53"/>
    </row>
    <row r="83" spans="1:19" x14ac:dyDescent="0.25">
      <c r="A83" s="54">
        <v>45142</v>
      </c>
      <c r="B83" s="24">
        <f t="shared" si="4"/>
        <v>8</v>
      </c>
      <c r="C83" s="24">
        <f t="shared" si="5"/>
        <v>2023</v>
      </c>
      <c r="D83" s="104" t="s">
        <v>89</v>
      </c>
      <c r="E83" s="104" t="s">
        <v>93</v>
      </c>
      <c r="J83" s="61">
        <v>10000</v>
      </c>
      <c r="L83" s="49">
        <f t="shared" si="6"/>
        <v>59770</v>
      </c>
      <c r="M83" s="50">
        <f t="shared" si="7"/>
        <v>0</v>
      </c>
      <c r="N83" s="143"/>
      <c r="O83" s="26"/>
      <c r="Q83" s="53"/>
      <c r="R83" s="53"/>
      <c r="S83" s="53"/>
    </row>
    <row r="84" spans="1:19" x14ac:dyDescent="0.25">
      <c r="A84" s="54">
        <v>45142</v>
      </c>
      <c r="B84" s="24">
        <f t="shared" si="4"/>
        <v>8</v>
      </c>
      <c r="C84" s="24">
        <f t="shared" si="5"/>
        <v>2023</v>
      </c>
      <c r="D84" s="104" t="s">
        <v>122</v>
      </c>
      <c r="E84" s="104" t="s">
        <v>93</v>
      </c>
      <c r="K84" s="61">
        <v>59770</v>
      </c>
      <c r="L84" s="49">
        <f t="shared" si="6"/>
        <v>0</v>
      </c>
      <c r="M84" s="50">
        <f t="shared" si="7"/>
        <v>0</v>
      </c>
      <c r="N84" s="143"/>
      <c r="O84" s="26"/>
      <c r="Q84" s="53"/>
      <c r="R84" s="53"/>
      <c r="S84" s="53"/>
    </row>
    <row r="85" spans="1:19" x14ac:dyDescent="0.25">
      <c r="A85" s="54">
        <v>45145</v>
      </c>
      <c r="B85" s="24">
        <f t="shared" si="4"/>
        <v>8</v>
      </c>
      <c r="C85" s="24">
        <f t="shared" si="5"/>
        <v>2023</v>
      </c>
      <c r="D85" s="104" t="s">
        <v>123</v>
      </c>
      <c r="E85" s="104" t="s">
        <v>93</v>
      </c>
      <c r="J85" s="61">
        <v>30000</v>
      </c>
      <c r="L85" s="49">
        <f t="shared" si="6"/>
        <v>30000</v>
      </c>
      <c r="M85" s="50">
        <f t="shared" si="7"/>
        <v>0</v>
      </c>
      <c r="N85" s="143"/>
      <c r="O85" s="26"/>
      <c r="Q85" s="53"/>
      <c r="R85" s="53"/>
      <c r="S85" s="53"/>
    </row>
    <row r="86" spans="1:19" x14ac:dyDescent="0.25">
      <c r="A86" s="54">
        <v>45145</v>
      </c>
      <c r="B86" s="24">
        <f t="shared" si="4"/>
        <v>8</v>
      </c>
      <c r="C86" s="24">
        <f t="shared" si="5"/>
        <v>2023</v>
      </c>
      <c r="D86" s="104" t="s">
        <v>110</v>
      </c>
      <c r="E86" s="104" t="s">
        <v>93</v>
      </c>
      <c r="F86" s="104" t="s">
        <v>169</v>
      </c>
      <c r="J86" s="61">
        <v>750</v>
      </c>
      <c r="L86" s="49">
        <f t="shared" si="6"/>
        <v>30750</v>
      </c>
      <c r="M86" s="50">
        <f t="shared" si="7"/>
        <v>0</v>
      </c>
      <c r="N86" s="143"/>
      <c r="O86" s="26"/>
      <c r="Q86" s="53"/>
      <c r="R86" s="53"/>
      <c r="S86" s="53"/>
    </row>
    <row r="87" spans="1:19" x14ac:dyDescent="0.25">
      <c r="A87" s="54">
        <v>45145</v>
      </c>
      <c r="B87" s="24">
        <f t="shared" si="4"/>
        <v>8</v>
      </c>
      <c r="C87" s="24">
        <f t="shared" si="5"/>
        <v>2023</v>
      </c>
      <c r="D87" s="104" t="s">
        <v>123</v>
      </c>
      <c r="E87" s="104" t="s">
        <v>93</v>
      </c>
      <c r="J87" s="61">
        <v>170000</v>
      </c>
      <c r="L87" s="49">
        <f t="shared" si="6"/>
        <v>200750</v>
      </c>
      <c r="M87" s="50">
        <f t="shared" si="7"/>
        <v>0</v>
      </c>
      <c r="N87" s="143"/>
      <c r="O87" s="26"/>
      <c r="Q87" s="53"/>
      <c r="R87" s="53"/>
      <c r="S87" s="53"/>
    </row>
    <row r="88" spans="1:19" x14ac:dyDescent="0.25">
      <c r="A88" s="54">
        <v>45145</v>
      </c>
      <c r="B88" s="24">
        <f t="shared" si="4"/>
        <v>8</v>
      </c>
      <c r="C88" s="24">
        <f t="shared" si="5"/>
        <v>2023</v>
      </c>
      <c r="D88" s="104" t="s">
        <v>92</v>
      </c>
      <c r="E88" s="104" t="s">
        <v>93</v>
      </c>
      <c r="F88" s="104" t="s">
        <v>170</v>
      </c>
      <c r="K88" s="61">
        <v>170000</v>
      </c>
      <c r="L88" s="49">
        <f t="shared" si="6"/>
        <v>30750</v>
      </c>
      <c r="M88" s="50">
        <f t="shared" si="7"/>
        <v>0</v>
      </c>
      <c r="N88" s="143"/>
      <c r="O88" s="26"/>
      <c r="Q88" s="53"/>
      <c r="R88" s="53"/>
      <c r="S88" s="53"/>
    </row>
    <row r="89" spans="1:19" x14ac:dyDescent="0.25">
      <c r="A89" s="54">
        <v>45145</v>
      </c>
      <c r="B89" s="24">
        <f t="shared" si="4"/>
        <v>8</v>
      </c>
      <c r="C89" s="24">
        <f t="shared" si="5"/>
        <v>2023</v>
      </c>
      <c r="D89" s="104" t="s">
        <v>89</v>
      </c>
      <c r="E89" s="104" t="s">
        <v>93</v>
      </c>
      <c r="F89" s="104" t="s">
        <v>171</v>
      </c>
      <c r="J89" s="61">
        <v>63000</v>
      </c>
      <c r="L89" s="49">
        <f t="shared" si="6"/>
        <v>93750</v>
      </c>
      <c r="M89" s="50">
        <f t="shared" si="7"/>
        <v>0</v>
      </c>
      <c r="N89" s="143"/>
      <c r="O89" s="26"/>
      <c r="Q89" s="53"/>
      <c r="R89" s="53"/>
      <c r="S89" s="53"/>
    </row>
    <row r="90" spans="1:19" x14ac:dyDescent="0.25">
      <c r="A90" s="54">
        <v>45145</v>
      </c>
      <c r="B90" s="24">
        <f t="shared" si="4"/>
        <v>8</v>
      </c>
      <c r="C90" s="24">
        <f t="shared" si="5"/>
        <v>2023</v>
      </c>
      <c r="D90" s="104" t="s">
        <v>124</v>
      </c>
      <c r="E90" s="104" t="s">
        <v>93</v>
      </c>
      <c r="G90" s="104" t="s">
        <v>97</v>
      </c>
      <c r="K90" s="61">
        <v>63000</v>
      </c>
      <c r="L90" s="49">
        <f t="shared" si="6"/>
        <v>30750</v>
      </c>
      <c r="M90" s="50">
        <f t="shared" si="7"/>
        <v>0</v>
      </c>
      <c r="N90" s="143"/>
      <c r="O90" s="26"/>
      <c r="Q90" s="53"/>
      <c r="R90" s="53"/>
      <c r="S90" s="53"/>
    </row>
    <row r="91" spans="1:19" x14ac:dyDescent="0.25">
      <c r="A91" s="54">
        <v>45145</v>
      </c>
      <c r="B91" s="24">
        <f t="shared" si="4"/>
        <v>8</v>
      </c>
      <c r="C91" s="24">
        <f t="shared" si="5"/>
        <v>2023</v>
      </c>
      <c r="D91" s="104" t="s">
        <v>123</v>
      </c>
      <c r="E91" s="104" t="s">
        <v>93</v>
      </c>
      <c r="J91" s="61">
        <v>60000</v>
      </c>
      <c r="L91" s="49">
        <f t="shared" si="6"/>
        <v>90750</v>
      </c>
      <c r="M91" s="50">
        <f t="shared" si="7"/>
        <v>0</v>
      </c>
      <c r="N91" s="143"/>
      <c r="O91" s="26"/>
      <c r="Q91" s="53"/>
      <c r="R91" s="53"/>
      <c r="S91" s="53"/>
    </row>
    <row r="92" spans="1:19" x14ac:dyDescent="0.25">
      <c r="A92" s="54">
        <v>45145</v>
      </c>
      <c r="B92" s="24">
        <f t="shared" si="4"/>
        <v>8</v>
      </c>
      <c r="C92" s="24">
        <f t="shared" si="5"/>
        <v>2023</v>
      </c>
      <c r="D92" s="104" t="s">
        <v>147</v>
      </c>
      <c r="E92" s="104" t="s">
        <v>93</v>
      </c>
      <c r="F92" s="104" t="s">
        <v>172</v>
      </c>
      <c r="K92" s="61">
        <v>21868.79</v>
      </c>
      <c r="L92" s="49">
        <f t="shared" si="6"/>
        <v>68881.209999999992</v>
      </c>
      <c r="M92" s="50">
        <f t="shared" si="7"/>
        <v>0</v>
      </c>
      <c r="N92" s="143"/>
      <c r="O92" s="26"/>
      <c r="Q92" s="53"/>
      <c r="R92" s="53"/>
      <c r="S92" s="53"/>
    </row>
    <row r="93" spans="1:19" x14ac:dyDescent="0.25">
      <c r="A93" s="54">
        <v>45145</v>
      </c>
      <c r="B93" s="24">
        <f t="shared" si="4"/>
        <v>8</v>
      </c>
      <c r="C93" s="24">
        <f t="shared" si="5"/>
        <v>2023</v>
      </c>
      <c r="D93" s="104" t="s">
        <v>147</v>
      </c>
      <c r="E93" s="104" t="s">
        <v>92</v>
      </c>
      <c r="F93" s="104" t="s">
        <v>173</v>
      </c>
      <c r="K93" s="61">
        <v>3741.52</v>
      </c>
      <c r="L93" s="49">
        <f t="shared" si="6"/>
        <v>65139.689999999995</v>
      </c>
      <c r="M93" s="50">
        <f t="shared" si="7"/>
        <v>0</v>
      </c>
      <c r="N93" s="143"/>
      <c r="O93" s="26"/>
      <c r="Q93" s="53"/>
      <c r="R93" s="53"/>
      <c r="S93" s="53"/>
    </row>
    <row r="94" spans="1:19" x14ac:dyDescent="0.25">
      <c r="A94" s="54">
        <v>45145</v>
      </c>
      <c r="B94" s="24">
        <f t="shared" si="4"/>
        <v>8</v>
      </c>
      <c r="C94" s="24">
        <f t="shared" si="5"/>
        <v>2023</v>
      </c>
      <c r="D94" s="104" t="s">
        <v>147</v>
      </c>
      <c r="E94" s="104" t="s">
        <v>92</v>
      </c>
      <c r="F94" s="104" t="s">
        <v>174</v>
      </c>
      <c r="K94" s="61">
        <v>7839.96</v>
      </c>
      <c r="L94" s="49">
        <f t="shared" si="6"/>
        <v>57299.729999999996</v>
      </c>
      <c r="M94" s="50">
        <f t="shared" si="7"/>
        <v>0</v>
      </c>
      <c r="N94" s="143"/>
      <c r="O94" s="26"/>
      <c r="Q94" s="53"/>
      <c r="R94" s="53"/>
      <c r="S94" s="53"/>
    </row>
    <row r="95" spans="1:19" x14ac:dyDescent="0.25">
      <c r="A95" s="54">
        <v>45145</v>
      </c>
      <c r="B95" s="24">
        <f t="shared" si="4"/>
        <v>8</v>
      </c>
      <c r="C95" s="24">
        <f t="shared" si="5"/>
        <v>2023</v>
      </c>
      <c r="D95" s="104" t="s">
        <v>147</v>
      </c>
      <c r="E95" s="104" t="s">
        <v>92</v>
      </c>
      <c r="F95" s="104" t="s">
        <v>175</v>
      </c>
      <c r="K95" s="61">
        <v>20573</v>
      </c>
      <c r="L95" s="49">
        <f t="shared" si="6"/>
        <v>36726.729999999996</v>
      </c>
      <c r="M95" s="50">
        <f t="shared" si="7"/>
        <v>0</v>
      </c>
      <c r="N95" s="143"/>
      <c r="O95" s="26"/>
      <c r="Q95" s="53"/>
      <c r="R95" s="53"/>
      <c r="S95" s="53"/>
    </row>
    <row r="96" spans="1:19" x14ac:dyDescent="0.25">
      <c r="A96" s="54">
        <v>45145</v>
      </c>
      <c r="B96" s="24">
        <f t="shared" si="4"/>
        <v>8</v>
      </c>
      <c r="C96" s="24">
        <f t="shared" si="5"/>
        <v>2023</v>
      </c>
      <c r="D96" s="104" t="s">
        <v>147</v>
      </c>
      <c r="E96" s="104" t="s">
        <v>93</v>
      </c>
      <c r="F96" s="104" t="s">
        <v>176</v>
      </c>
      <c r="K96" s="61">
        <v>6000</v>
      </c>
      <c r="L96" s="49">
        <f t="shared" si="6"/>
        <v>30726.729999999996</v>
      </c>
      <c r="M96" s="50">
        <f t="shared" si="7"/>
        <v>0</v>
      </c>
      <c r="N96" s="143"/>
      <c r="O96" s="26"/>
      <c r="Q96" s="53"/>
      <c r="R96" s="53"/>
      <c r="S96" s="53"/>
    </row>
    <row r="97" spans="1:19" x14ac:dyDescent="0.25">
      <c r="A97" s="54">
        <v>45145</v>
      </c>
      <c r="B97" s="24">
        <f t="shared" si="4"/>
        <v>8</v>
      </c>
      <c r="C97" s="24">
        <f t="shared" si="5"/>
        <v>2023</v>
      </c>
      <c r="D97" s="104" t="s">
        <v>122</v>
      </c>
      <c r="E97" s="104" t="s">
        <v>93</v>
      </c>
      <c r="K97" s="61">
        <v>30726.73</v>
      </c>
      <c r="L97" s="49">
        <f t="shared" si="6"/>
        <v>0</v>
      </c>
      <c r="M97" s="50">
        <f t="shared" si="7"/>
        <v>-3.637978807091713E-12</v>
      </c>
      <c r="N97" s="143"/>
      <c r="O97" s="26"/>
      <c r="Q97" s="53"/>
      <c r="R97" s="53"/>
      <c r="S97" s="53"/>
    </row>
    <row r="98" spans="1:19" x14ac:dyDescent="0.25">
      <c r="A98" s="54">
        <v>45146</v>
      </c>
      <c r="B98" s="24">
        <f t="shared" si="4"/>
        <v>8</v>
      </c>
      <c r="C98" s="24">
        <f t="shared" si="5"/>
        <v>2023</v>
      </c>
      <c r="D98" s="104" t="s">
        <v>89</v>
      </c>
      <c r="E98" s="104" t="s">
        <v>93</v>
      </c>
      <c r="F98" s="104" t="s">
        <v>177</v>
      </c>
      <c r="J98" s="61">
        <v>50000</v>
      </c>
      <c r="L98" s="49">
        <f t="shared" si="6"/>
        <v>50000</v>
      </c>
      <c r="M98" s="50">
        <f t="shared" si="7"/>
        <v>0</v>
      </c>
      <c r="N98" s="143"/>
      <c r="O98" s="26"/>
      <c r="Q98" s="53"/>
      <c r="R98" s="53"/>
      <c r="S98" s="53"/>
    </row>
    <row r="99" spans="1:19" x14ac:dyDescent="0.25">
      <c r="A99" s="54">
        <v>45146</v>
      </c>
      <c r="B99" s="24">
        <f t="shared" si="4"/>
        <v>8</v>
      </c>
      <c r="C99" s="24">
        <f t="shared" si="5"/>
        <v>2023</v>
      </c>
      <c r="D99" s="104" t="s">
        <v>122</v>
      </c>
      <c r="E99" s="104" t="s">
        <v>93</v>
      </c>
      <c r="K99" s="61">
        <v>50000</v>
      </c>
      <c r="L99" s="49">
        <f t="shared" si="6"/>
        <v>0</v>
      </c>
      <c r="M99" s="50">
        <f t="shared" si="7"/>
        <v>0</v>
      </c>
      <c r="N99" s="143"/>
      <c r="O99" s="26"/>
      <c r="Q99" s="53"/>
      <c r="R99" s="53"/>
      <c r="S99" s="53"/>
    </row>
    <row r="100" spans="1:19" x14ac:dyDescent="0.25">
      <c r="A100" s="54">
        <v>45147</v>
      </c>
      <c r="B100" s="24">
        <f t="shared" si="4"/>
        <v>8</v>
      </c>
      <c r="C100" s="24">
        <f t="shared" si="5"/>
        <v>2023</v>
      </c>
      <c r="D100" s="104" t="s">
        <v>123</v>
      </c>
      <c r="E100" s="104" t="s">
        <v>93</v>
      </c>
      <c r="J100" s="61">
        <v>2000</v>
      </c>
      <c r="L100" s="49">
        <f t="shared" si="6"/>
        <v>2000</v>
      </c>
      <c r="M100" s="50">
        <f t="shared" si="7"/>
        <v>0</v>
      </c>
      <c r="N100" s="143"/>
      <c r="O100" s="26"/>
      <c r="Q100" s="53"/>
      <c r="R100" s="53"/>
      <c r="S100" s="53"/>
    </row>
    <row r="101" spans="1:19" x14ac:dyDescent="0.25">
      <c r="A101" s="54">
        <v>45147</v>
      </c>
      <c r="B101" s="24">
        <f t="shared" si="4"/>
        <v>8</v>
      </c>
      <c r="C101" s="24">
        <f t="shared" si="5"/>
        <v>2023</v>
      </c>
      <c r="D101" s="104" t="s">
        <v>112</v>
      </c>
      <c r="E101" s="104" t="s">
        <v>93</v>
      </c>
      <c r="K101" s="61">
        <v>2000</v>
      </c>
      <c r="L101" s="49">
        <f t="shared" si="6"/>
        <v>0</v>
      </c>
      <c r="M101" s="50">
        <f t="shared" si="7"/>
        <v>0</v>
      </c>
      <c r="N101" s="143"/>
      <c r="O101" s="26"/>
      <c r="Q101" s="53"/>
      <c r="R101" s="53"/>
      <c r="S101" s="53"/>
    </row>
    <row r="102" spans="1:19" x14ac:dyDescent="0.25">
      <c r="A102" s="54">
        <v>45147</v>
      </c>
      <c r="B102" s="24">
        <f t="shared" si="4"/>
        <v>8</v>
      </c>
      <c r="C102" s="24">
        <f t="shared" si="5"/>
        <v>2023</v>
      </c>
      <c r="D102" s="104" t="s">
        <v>123</v>
      </c>
      <c r="E102" s="104" t="s">
        <v>93</v>
      </c>
      <c r="J102" s="61">
        <v>61198</v>
      </c>
      <c r="L102" s="49">
        <f t="shared" si="6"/>
        <v>61198</v>
      </c>
      <c r="M102" s="50">
        <f t="shared" si="7"/>
        <v>0</v>
      </c>
      <c r="N102" s="143"/>
      <c r="O102" s="26"/>
      <c r="Q102" s="53"/>
      <c r="R102" s="53"/>
      <c r="S102" s="53"/>
    </row>
    <row r="103" spans="1:19" x14ac:dyDescent="0.25">
      <c r="A103" s="54">
        <v>45147</v>
      </c>
      <c r="B103" s="24">
        <f t="shared" si="4"/>
        <v>8</v>
      </c>
      <c r="C103" s="24">
        <f t="shared" si="5"/>
        <v>2023</v>
      </c>
      <c r="D103" s="104" t="s">
        <v>124</v>
      </c>
      <c r="E103" s="104" t="s">
        <v>93</v>
      </c>
      <c r="G103" s="104" t="s">
        <v>333</v>
      </c>
      <c r="K103" s="61">
        <v>61198</v>
      </c>
      <c r="L103" s="49">
        <f t="shared" si="6"/>
        <v>0</v>
      </c>
      <c r="M103" s="50">
        <f t="shared" si="7"/>
        <v>0</v>
      </c>
      <c r="N103" s="143"/>
      <c r="O103" s="26"/>
      <c r="Q103" s="53"/>
      <c r="R103" s="53"/>
      <c r="S103" s="53"/>
    </row>
    <row r="104" spans="1:19" x14ac:dyDescent="0.25">
      <c r="A104" s="54">
        <v>45147</v>
      </c>
      <c r="B104" s="24">
        <f t="shared" si="4"/>
        <v>8</v>
      </c>
      <c r="C104" s="24">
        <f t="shared" si="5"/>
        <v>2023</v>
      </c>
      <c r="D104" s="104" t="s">
        <v>89</v>
      </c>
      <c r="E104" s="104" t="s">
        <v>93</v>
      </c>
      <c r="J104" s="61">
        <v>78597.37</v>
      </c>
      <c r="L104" s="49">
        <f t="shared" si="6"/>
        <v>78597.37</v>
      </c>
      <c r="M104" s="50">
        <f t="shared" si="7"/>
        <v>0</v>
      </c>
      <c r="N104" s="143"/>
      <c r="O104" s="26"/>
      <c r="Q104" s="53"/>
      <c r="R104" s="53"/>
      <c r="S104" s="53"/>
    </row>
    <row r="105" spans="1:19" x14ac:dyDescent="0.25">
      <c r="A105" s="54">
        <v>45147</v>
      </c>
      <c r="B105" s="24">
        <f t="shared" si="4"/>
        <v>8</v>
      </c>
      <c r="C105" s="24">
        <f t="shared" si="5"/>
        <v>2023</v>
      </c>
      <c r="D105" s="104" t="s">
        <v>124</v>
      </c>
      <c r="E105" s="104" t="s">
        <v>93</v>
      </c>
      <c r="F105" s="104" t="s">
        <v>168</v>
      </c>
      <c r="K105" s="61">
        <v>78597.37</v>
      </c>
      <c r="L105" s="49">
        <f t="shared" si="6"/>
        <v>0</v>
      </c>
      <c r="M105" s="50">
        <f t="shared" si="7"/>
        <v>0</v>
      </c>
      <c r="N105" s="143"/>
      <c r="O105" s="26"/>
      <c r="Q105" s="53"/>
      <c r="R105" s="53"/>
      <c r="S105" s="53"/>
    </row>
    <row r="106" spans="1:19" x14ac:dyDescent="0.25">
      <c r="A106" s="54">
        <v>45147</v>
      </c>
      <c r="B106" s="24">
        <f t="shared" si="4"/>
        <v>8</v>
      </c>
      <c r="C106" s="24">
        <f t="shared" si="5"/>
        <v>2023</v>
      </c>
      <c r="D106" s="104" t="s">
        <v>123</v>
      </c>
      <c r="E106" s="104" t="s">
        <v>93</v>
      </c>
      <c r="J106" s="61">
        <v>5000</v>
      </c>
      <c r="L106" s="49">
        <f t="shared" si="6"/>
        <v>5000</v>
      </c>
      <c r="M106" s="50">
        <f t="shared" si="7"/>
        <v>0</v>
      </c>
      <c r="N106" s="143"/>
      <c r="O106" s="26"/>
      <c r="Q106" s="53"/>
      <c r="R106" s="53"/>
      <c r="S106" s="53"/>
    </row>
    <row r="107" spans="1:19" x14ac:dyDescent="0.25">
      <c r="A107" s="54">
        <v>45147</v>
      </c>
      <c r="B107" s="24">
        <f t="shared" si="4"/>
        <v>8</v>
      </c>
      <c r="C107" s="24">
        <f t="shared" si="5"/>
        <v>2023</v>
      </c>
      <c r="D107" s="104" t="s">
        <v>109</v>
      </c>
      <c r="E107" s="104" t="s">
        <v>93</v>
      </c>
      <c r="K107" s="61">
        <v>5000</v>
      </c>
      <c r="L107" s="49">
        <f t="shared" si="6"/>
        <v>0</v>
      </c>
      <c r="M107" s="50">
        <f t="shared" si="7"/>
        <v>0</v>
      </c>
      <c r="N107" s="143"/>
      <c r="O107" s="26"/>
      <c r="Q107" s="53"/>
      <c r="R107" s="53"/>
      <c r="S107" s="53"/>
    </row>
    <row r="108" spans="1:19" x14ac:dyDescent="0.25">
      <c r="A108" s="54">
        <v>45147</v>
      </c>
      <c r="B108" s="24">
        <f t="shared" si="4"/>
        <v>8</v>
      </c>
      <c r="C108" s="24">
        <f t="shared" si="5"/>
        <v>2023</v>
      </c>
      <c r="D108" s="104" t="s">
        <v>89</v>
      </c>
      <c r="E108" s="104" t="s">
        <v>93</v>
      </c>
      <c r="J108" s="61">
        <v>43700</v>
      </c>
      <c r="L108" s="49">
        <f t="shared" si="6"/>
        <v>43700</v>
      </c>
      <c r="M108" s="50">
        <f t="shared" si="7"/>
        <v>0</v>
      </c>
      <c r="N108" s="143"/>
      <c r="O108" s="26"/>
      <c r="Q108" s="53"/>
      <c r="R108" s="53"/>
      <c r="S108" s="53"/>
    </row>
    <row r="109" spans="1:19" x14ac:dyDescent="0.25">
      <c r="A109" s="54">
        <v>45147</v>
      </c>
      <c r="B109" s="24">
        <f t="shared" si="4"/>
        <v>8</v>
      </c>
      <c r="C109" s="24">
        <f t="shared" si="5"/>
        <v>2023</v>
      </c>
      <c r="D109" s="104" t="s">
        <v>123</v>
      </c>
      <c r="E109" s="104" t="s">
        <v>93</v>
      </c>
      <c r="J109" s="61">
        <v>100000</v>
      </c>
      <c r="L109" s="49">
        <f t="shared" si="6"/>
        <v>143700</v>
      </c>
      <c r="M109" s="50">
        <f t="shared" si="7"/>
        <v>0</v>
      </c>
      <c r="N109" s="143"/>
      <c r="O109" s="26"/>
      <c r="Q109" s="53"/>
      <c r="R109" s="53"/>
      <c r="S109" s="53"/>
    </row>
    <row r="110" spans="1:19" x14ac:dyDescent="0.25">
      <c r="A110" s="54">
        <v>45147</v>
      </c>
      <c r="B110" s="24">
        <f t="shared" si="4"/>
        <v>8</v>
      </c>
      <c r="C110" s="24">
        <f t="shared" si="5"/>
        <v>2023</v>
      </c>
      <c r="D110" s="104" t="s">
        <v>109</v>
      </c>
      <c r="E110" s="104" t="s">
        <v>93</v>
      </c>
      <c r="F110" s="104" t="s">
        <v>149</v>
      </c>
      <c r="K110" s="61">
        <v>100000</v>
      </c>
      <c r="L110" s="49">
        <f t="shared" si="6"/>
        <v>43700</v>
      </c>
      <c r="M110" s="50">
        <f t="shared" si="7"/>
        <v>0</v>
      </c>
      <c r="N110" s="143"/>
      <c r="O110" s="26"/>
    </row>
    <row r="111" spans="1:19" x14ac:dyDescent="0.25">
      <c r="A111" s="54">
        <v>45147</v>
      </c>
      <c r="B111" s="24">
        <f t="shared" si="4"/>
        <v>8</v>
      </c>
      <c r="C111" s="24">
        <f t="shared" si="5"/>
        <v>2023</v>
      </c>
      <c r="D111" s="104" t="s">
        <v>122</v>
      </c>
      <c r="E111" s="104" t="s">
        <v>93</v>
      </c>
      <c r="K111" s="61">
        <v>43700</v>
      </c>
      <c r="L111" s="49">
        <f t="shared" si="6"/>
        <v>0</v>
      </c>
      <c r="M111" s="50">
        <f t="shared" si="7"/>
        <v>0</v>
      </c>
      <c r="N111" s="143"/>
      <c r="O111" s="26"/>
    </row>
    <row r="112" spans="1:19" x14ac:dyDescent="0.25">
      <c r="A112" s="54">
        <v>45148</v>
      </c>
      <c r="B112" s="24">
        <f t="shared" si="4"/>
        <v>8</v>
      </c>
      <c r="C112" s="24">
        <f t="shared" si="5"/>
        <v>2023</v>
      </c>
      <c r="D112" s="104" t="s">
        <v>123</v>
      </c>
      <c r="E112" s="104" t="s">
        <v>93</v>
      </c>
      <c r="J112" s="61">
        <v>104027.73</v>
      </c>
      <c r="L112" s="49">
        <f t="shared" si="6"/>
        <v>104027.73</v>
      </c>
      <c r="M112" s="50">
        <f t="shared" si="7"/>
        <v>0</v>
      </c>
      <c r="N112" s="143"/>
      <c r="O112" s="26"/>
    </row>
    <row r="113" spans="1:21" x14ac:dyDescent="0.25">
      <c r="A113" s="54">
        <v>45148</v>
      </c>
      <c r="B113" s="24">
        <f t="shared" si="4"/>
        <v>8</v>
      </c>
      <c r="C113" s="24">
        <f t="shared" si="5"/>
        <v>2023</v>
      </c>
      <c r="D113" s="104" t="s">
        <v>124</v>
      </c>
      <c r="E113" s="104" t="s">
        <v>93</v>
      </c>
      <c r="F113" s="104" t="s">
        <v>168</v>
      </c>
      <c r="K113" s="61">
        <v>104027.73</v>
      </c>
      <c r="L113" s="49">
        <f t="shared" si="6"/>
        <v>0</v>
      </c>
      <c r="M113" s="50">
        <f t="shared" si="7"/>
        <v>0</v>
      </c>
      <c r="N113" s="143"/>
      <c r="O113" s="26"/>
    </row>
    <row r="114" spans="1:21" x14ac:dyDescent="0.25">
      <c r="A114" s="54">
        <v>45148</v>
      </c>
      <c r="B114" s="24">
        <f t="shared" si="4"/>
        <v>8</v>
      </c>
      <c r="C114" s="24">
        <f t="shared" si="5"/>
        <v>2023</v>
      </c>
      <c r="D114" s="104" t="s">
        <v>123</v>
      </c>
      <c r="E114" s="104" t="s">
        <v>93</v>
      </c>
      <c r="J114" s="61">
        <v>30000</v>
      </c>
      <c r="L114" s="49">
        <f t="shared" si="6"/>
        <v>30000</v>
      </c>
      <c r="M114" s="50">
        <f t="shared" si="7"/>
        <v>0</v>
      </c>
      <c r="N114" s="143"/>
      <c r="O114" s="26"/>
    </row>
    <row r="115" spans="1:21" x14ac:dyDescent="0.25">
      <c r="A115" s="54">
        <v>45148</v>
      </c>
      <c r="B115" s="24">
        <f t="shared" si="4"/>
        <v>8</v>
      </c>
      <c r="C115" s="24">
        <f t="shared" si="5"/>
        <v>2023</v>
      </c>
      <c r="D115" s="104" t="s">
        <v>89</v>
      </c>
      <c r="E115" s="104" t="s">
        <v>93</v>
      </c>
      <c r="J115" s="61">
        <v>55800</v>
      </c>
      <c r="L115" s="49">
        <f t="shared" si="6"/>
        <v>85800</v>
      </c>
      <c r="M115" s="50">
        <f t="shared" si="7"/>
        <v>0</v>
      </c>
      <c r="N115" s="143"/>
      <c r="O115" s="26"/>
    </row>
    <row r="116" spans="1:21" x14ac:dyDescent="0.25">
      <c r="A116" s="54">
        <v>45148</v>
      </c>
      <c r="B116" s="24">
        <f t="shared" si="4"/>
        <v>8</v>
      </c>
      <c r="C116" s="24">
        <f t="shared" si="5"/>
        <v>2023</v>
      </c>
      <c r="D116" s="104" t="s">
        <v>124</v>
      </c>
      <c r="E116" s="104" t="s">
        <v>93</v>
      </c>
      <c r="F116" s="104" t="s">
        <v>184</v>
      </c>
      <c r="K116" s="61">
        <v>4400</v>
      </c>
      <c r="L116" s="49">
        <f t="shared" si="6"/>
        <v>81400</v>
      </c>
      <c r="M116" s="50">
        <f t="shared" si="7"/>
        <v>0</v>
      </c>
      <c r="N116" s="143"/>
      <c r="O116" s="26"/>
    </row>
    <row r="117" spans="1:21" x14ac:dyDescent="0.25">
      <c r="A117" s="54">
        <v>45148</v>
      </c>
      <c r="B117" s="24">
        <f t="shared" si="4"/>
        <v>8</v>
      </c>
      <c r="C117" s="24">
        <f t="shared" si="5"/>
        <v>2023</v>
      </c>
      <c r="D117" s="104" t="s">
        <v>89</v>
      </c>
      <c r="E117" s="104" t="s">
        <v>93</v>
      </c>
      <c r="J117" s="61">
        <v>50000</v>
      </c>
      <c r="L117" s="49">
        <f t="shared" si="6"/>
        <v>131400</v>
      </c>
      <c r="M117" s="50">
        <f t="shared" si="7"/>
        <v>0</v>
      </c>
      <c r="N117" s="143"/>
      <c r="O117" s="26"/>
    </row>
    <row r="118" spans="1:21" x14ac:dyDescent="0.25">
      <c r="A118" s="54">
        <v>45148</v>
      </c>
      <c r="B118" s="24">
        <f t="shared" si="4"/>
        <v>8</v>
      </c>
      <c r="C118" s="24">
        <f t="shared" si="5"/>
        <v>2023</v>
      </c>
      <c r="D118" s="104" t="s">
        <v>89</v>
      </c>
      <c r="E118" s="104" t="s">
        <v>93</v>
      </c>
      <c r="J118" s="61">
        <v>23900</v>
      </c>
      <c r="L118" s="49">
        <f t="shared" si="6"/>
        <v>155300</v>
      </c>
      <c r="M118" s="50">
        <f t="shared" si="7"/>
        <v>0</v>
      </c>
      <c r="N118" s="143"/>
      <c r="O118" s="26"/>
    </row>
    <row r="119" spans="1:21" x14ac:dyDescent="0.25">
      <c r="A119" s="54">
        <v>45149</v>
      </c>
      <c r="B119" s="24">
        <f t="shared" si="4"/>
        <v>8</v>
      </c>
      <c r="C119" s="24">
        <f t="shared" si="5"/>
        <v>2023</v>
      </c>
      <c r="D119" s="104" t="s">
        <v>92</v>
      </c>
      <c r="E119" s="104" t="s">
        <v>92</v>
      </c>
      <c r="F119" s="104" t="s">
        <v>187</v>
      </c>
      <c r="K119" s="61">
        <v>36000</v>
      </c>
      <c r="L119" s="49">
        <f t="shared" si="6"/>
        <v>119300</v>
      </c>
      <c r="M119" s="50">
        <f t="shared" si="7"/>
        <v>0</v>
      </c>
      <c r="N119" s="143"/>
      <c r="O119" s="26"/>
      <c r="P119" s="16"/>
    </row>
    <row r="120" spans="1:21" x14ac:dyDescent="0.25">
      <c r="A120" s="54">
        <v>45149</v>
      </c>
      <c r="B120" s="24">
        <f t="shared" si="4"/>
        <v>8</v>
      </c>
      <c r="C120" s="24">
        <f t="shared" si="5"/>
        <v>2023</v>
      </c>
      <c r="D120" s="104" t="s">
        <v>89</v>
      </c>
      <c r="E120" s="104" t="s">
        <v>93</v>
      </c>
      <c r="J120" s="61">
        <v>33900</v>
      </c>
      <c r="L120" s="49">
        <f t="shared" si="6"/>
        <v>153200</v>
      </c>
      <c r="M120" s="50">
        <f t="shared" si="7"/>
        <v>0</v>
      </c>
      <c r="N120" s="143"/>
      <c r="O120" s="26"/>
    </row>
    <row r="121" spans="1:21" s="16" customFormat="1" x14ac:dyDescent="0.25">
      <c r="A121" s="54">
        <v>45149</v>
      </c>
      <c r="B121" s="24">
        <f t="shared" si="4"/>
        <v>8</v>
      </c>
      <c r="C121" s="24">
        <f t="shared" si="5"/>
        <v>2023</v>
      </c>
      <c r="D121" s="104" t="s">
        <v>109</v>
      </c>
      <c r="E121" s="104" t="s">
        <v>92</v>
      </c>
      <c r="F121" s="104" t="s">
        <v>188</v>
      </c>
      <c r="G121" s="104"/>
      <c r="H121" s="7"/>
      <c r="I121" s="7"/>
      <c r="J121" s="61"/>
      <c r="K121" s="61">
        <v>100000</v>
      </c>
      <c r="L121" s="49">
        <f t="shared" si="6"/>
        <v>53200</v>
      </c>
      <c r="M121" s="50">
        <f t="shared" si="7"/>
        <v>0</v>
      </c>
      <c r="N121" s="143"/>
      <c r="O121" s="26"/>
      <c r="P121"/>
      <c r="Q121"/>
      <c r="R121"/>
      <c r="S121"/>
      <c r="U121"/>
    </row>
    <row r="122" spans="1:21" x14ac:dyDescent="0.25">
      <c r="A122" s="54">
        <v>45149</v>
      </c>
      <c r="B122" s="24">
        <f t="shared" si="4"/>
        <v>8</v>
      </c>
      <c r="C122" s="24">
        <f t="shared" si="5"/>
        <v>2023</v>
      </c>
      <c r="D122" s="104" t="s">
        <v>123</v>
      </c>
      <c r="E122" s="104" t="s">
        <v>93</v>
      </c>
      <c r="J122" s="61">
        <v>175000</v>
      </c>
      <c r="L122" s="49">
        <f t="shared" si="6"/>
        <v>228200</v>
      </c>
      <c r="M122" s="50">
        <f t="shared" si="7"/>
        <v>0</v>
      </c>
      <c r="N122" s="143"/>
      <c r="O122" s="26"/>
    </row>
    <row r="123" spans="1:21" x14ac:dyDescent="0.25">
      <c r="A123" s="54">
        <v>45149</v>
      </c>
      <c r="B123" s="24">
        <f t="shared" si="4"/>
        <v>8</v>
      </c>
      <c r="C123" s="24">
        <f t="shared" si="5"/>
        <v>2023</v>
      </c>
      <c r="D123" s="104" t="s">
        <v>92</v>
      </c>
      <c r="E123" s="104" t="s">
        <v>93</v>
      </c>
      <c r="K123" s="61">
        <v>175000</v>
      </c>
      <c r="L123" s="49">
        <f t="shared" si="6"/>
        <v>53200</v>
      </c>
      <c r="M123" s="50">
        <f t="shared" si="7"/>
        <v>0</v>
      </c>
      <c r="N123" s="143"/>
      <c r="O123" s="26"/>
    </row>
    <row r="124" spans="1:21" x14ac:dyDescent="0.25">
      <c r="A124" s="54">
        <v>45149</v>
      </c>
      <c r="B124" s="24">
        <f t="shared" si="4"/>
        <v>8</v>
      </c>
      <c r="C124" s="24">
        <f t="shared" si="5"/>
        <v>2023</v>
      </c>
      <c r="D124" s="104" t="s">
        <v>122</v>
      </c>
      <c r="E124" s="104" t="s">
        <v>93</v>
      </c>
      <c r="K124" s="61">
        <v>53200</v>
      </c>
      <c r="L124" s="49">
        <f t="shared" si="6"/>
        <v>0</v>
      </c>
      <c r="M124" s="50">
        <f t="shared" si="7"/>
        <v>0</v>
      </c>
      <c r="N124" s="143"/>
      <c r="O124" s="26"/>
    </row>
    <row r="125" spans="1:21" x14ac:dyDescent="0.25">
      <c r="A125" s="54">
        <v>45152</v>
      </c>
      <c r="B125" s="24">
        <f t="shared" si="4"/>
        <v>8</v>
      </c>
      <c r="C125" s="24">
        <f t="shared" si="5"/>
        <v>2023</v>
      </c>
      <c r="D125" s="104" t="s">
        <v>123</v>
      </c>
      <c r="E125" s="104" t="s">
        <v>93</v>
      </c>
      <c r="J125" s="61">
        <v>30000</v>
      </c>
      <c r="L125" s="49">
        <f t="shared" si="6"/>
        <v>30000</v>
      </c>
      <c r="M125" s="50">
        <f t="shared" si="7"/>
        <v>0</v>
      </c>
      <c r="N125" s="143"/>
      <c r="O125" s="26"/>
    </row>
    <row r="126" spans="1:21" x14ac:dyDescent="0.25">
      <c r="A126" s="54">
        <v>45152</v>
      </c>
      <c r="B126" s="24">
        <f t="shared" si="4"/>
        <v>8</v>
      </c>
      <c r="C126" s="24">
        <f t="shared" si="5"/>
        <v>2023</v>
      </c>
      <c r="D126" s="104" t="s">
        <v>89</v>
      </c>
      <c r="E126" s="104" t="s">
        <v>93</v>
      </c>
      <c r="J126" s="61">
        <v>12000</v>
      </c>
      <c r="L126" s="49">
        <f t="shared" si="6"/>
        <v>42000</v>
      </c>
      <c r="M126" s="50">
        <f t="shared" si="7"/>
        <v>0</v>
      </c>
      <c r="N126" s="143"/>
      <c r="O126" s="26"/>
    </row>
    <row r="127" spans="1:21" x14ac:dyDescent="0.25">
      <c r="A127" s="54">
        <v>45152</v>
      </c>
      <c r="B127" s="24">
        <f t="shared" si="4"/>
        <v>8</v>
      </c>
      <c r="C127" s="24">
        <f t="shared" si="5"/>
        <v>2023</v>
      </c>
      <c r="D127" s="104" t="s">
        <v>89</v>
      </c>
      <c r="E127" s="104" t="s">
        <v>93</v>
      </c>
      <c r="J127" s="61">
        <v>80000</v>
      </c>
      <c r="L127" s="49">
        <f t="shared" si="6"/>
        <v>122000</v>
      </c>
      <c r="M127" s="50">
        <f t="shared" si="7"/>
        <v>0</v>
      </c>
      <c r="N127" s="143"/>
      <c r="O127" s="26"/>
    </row>
    <row r="128" spans="1:21" x14ac:dyDescent="0.25">
      <c r="A128" s="54">
        <v>45152</v>
      </c>
      <c r="B128" s="24">
        <f t="shared" si="4"/>
        <v>8</v>
      </c>
      <c r="C128" s="24">
        <f t="shared" si="5"/>
        <v>2023</v>
      </c>
      <c r="D128" s="104" t="s">
        <v>112</v>
      </c>
      <c r="E128" s="104" t="s">
        <v>93</v>
      </c>
      <c r="K128" s="61">
        <v>3000</v>
      </c>
      <c r="L128" s="49">
        <f t="shared" si="6"/>
        <v>119000</v>
      </c>
      <c r="M128" s="50">
        <f t="shared" si="7"/>
        <v>0</v>
      </c>
      <c r="N128" s="143"/>
      <c r="O128" s="26"/>
    </row>
    <row r="129" spans="1:15" x14ac:dyDescent="0.25">
      <c r="A129" s="54">
        <v>45152</v>
      </c>
      <c r="B129" s="24">
        <f t="shared" si="4"/>
        <v>8</v>
      </c>
      <c r="C129" s="24">
        <f t="shared" si="5"/>
        <v>2023</v>
      </c>
      <c r="D129" s="104" t="s">
        <v>123</v>
      </c>
      <c r="E129" s="104" t="s">
        <v>93</v>
      </c>
      <c r="J129" s="61">
        <v>2000</v>
      </c>
      <c r="L129" s="49">
        <f t="shared" si="6"/>
        <v>121000</v>
      </c>
      <c r="M129" s="50">
        <f t="shared" si="7"/>
        <v>0</v>
      </c>
      <c r="N129" s="143"/>
      <c r="O129" s="26"/>
    </row>
    <row r="130" spans="1:15" x14ac:dyDescent="0.25">
      <c r="A130" s="54">
        <v>45152</v>
      </c>
      <c r="B130" s="24">
        <f t="shared" si="4"/>
        <v>8</v>
      </c>
      <c r="C130" s="24">
        <f t="shared" si="5"/>
        <v>2023</v>
      </c>
      <c r="D130" s="104" t="s">
        <v>112</v>
      </c>
      <c r="E130" s="104" t="s">
        <v>93</v>
      </c>
      <c r="K130" s="61">
        <v>2000</v>
      </c>
      <c r="L130" s="49">
        <f t="shared" si="6"/>
        <v>119000</v>
      </c>
      <c r="M130" s="50">
        <f t="shared" si="7"/>
        <v>0</v>
      </c>
      <c r="N130" s="143"/>
      <c r="O130" s="26"/>
    </row>
    <row r="131" spans="1:15" x14ac:dyDescent="0.25">
      <c r="A131" s="54">
        <v>45152</v>
      </c>
      <c r="B131" s="24">
        <f t="shared" ref="B131:B194" si="8">MONTH(A131)</f>
        <v>8</v>
      </c>
      <c r="C131" s="24">
        <f t="shared" ref="C131:C194" si="9">YEAR(A131)</f>
        <v>2023</v>
      </c>
      <c r="D131" s="104" t="s">
        <v>109</v>
      </c>
      <c r="E131" s="104" t="s">
        <v>93</v>
      </c>
      <c r="F131" s="104" t="s">
        <v>189</v>
      </c>
      <c r="K131" s="61">
        <v>1500</v>
      </c>
      <c r="L131" s="49">
        <f t="shared" si="6"/>
        <v>117500</v>
      </c>
      <c r="M131" s="50">
        <f t="shared" si="7"/>
        <v>0</v>
      </c>
      <c r="N131" s="143"/>
      <c r="O131" s="26"/>
    </row>
    <row r="132" spans="1:15" x14ac:dyDescent="0.25">
      <c r="A132" s="54">
        <v>45152</v>
      </c>
      <c r="B132" s="24">
        <f t="shared" si="8"/>
        <v>8</v>
      </c>
      <c r="C132" s="24">
        <f t="shared" si="9"/>
        <v>2023</v>
      </c>
      <c r="D132" s="104" t="s">
        <v>89</v>
      </c>
      <c r="E132" s="104" t="s">
        <v>93</v>
      </c>
      <c r="F132" s="104" t="s">
        <v>190</v>
      </c>
      <c r="J132" s="61">
        <v>15000</v>
      </c>
      <c r="L132" s="49">
        <f t="shared" ref="L132:L195" si="10">IF((L131+M131+J132-K132)&gt;0,(L131+M131+J132-K132),0)</f>
        <v>132500</v>
      </c>
      <c r="M132" s="50">
        <f t="shared" ref="M132:M195" si="11">IF((L131+M131+J132-K132)&lt;0,(L131+M131+J132-K132),0)</f>
        <v>0</v>
      </c>
      <c r="N132" s="143"/>
      <c r="O132" s="26"/>
    </row>
    <row r="133" spans="1:15" x14ac:dyDescent="0.25">
      <c r="A133" s="54">
        <v>45152</v>
      </c>
      <c r="B133" s="24">
        <f t="shared" si="8"/>
        <v>8</v>
      </c>
      <c r="C133" s="24">
        <f t="shared" si="9"/>
        <v>2023</v>
      </c>
      <c r="D133" s="104" t="s">
        <v>122</v>
      </c>
      <c r="E133" s="104" t="s">
        <v>93</v>
      </c>
      <c r="K133" s="61">
        <v>102500</v>
      </c>
      <c r="L133" s="49">
        <f t="shared" si="10"/>
        <v>30000</v>
      </c>
      <c r="M133" s="50">
        <f t="shared" si="11"/>
        <v>0</v>
      </c>
      <c r="N133" s="143"/>
      <c r="O133" s="26"/>
    </row>
    <row r="134" spans="1:15" x14ac:dyDescent="0.25">
      <c r="A134" s="54">
        <v>45153</v>
      </c>
      <c r="B134" s="24">
        <f t="shared" si="8"/>
        <v>8</v>
      </c>
      <c r="C134" s="24">
        <f t="shared" si="9"/>
        <v>2023</v>
      </c>
      <c r="D134" s="104" t="s">
        <v>89</v>
      </c>
      <c r="E134" s="104" t="s">
        <v>93</v>
      </c>
      <c r="J134" s="61">
        <v>69000</v>
      </c>
      <c r="L134" s="49">
        <f t="shared" si="10"/>
        <v>99000</v>
      </c>
      <c r="M134" s="50">
        <f t="shared" si="11"/>
        <v>0</v>
      </c>
      <c r="N134" s="143"/>
      <c r="O134" s="26"/>
    </row>
    <row r="135" spans="1:15" x14ac:dyDescent="0.25">
      <c r="A135" s="54">
        <v>45153</v>
      </c>
      <c r="B135" s="24">
        <f t="shared" si="8"/>
        <v>8</v>
      </c>
      <c r="C135" s="24">
        <f t="shared" si="9"/>
        <v>2023</v>
      </c>
      <c r="D135" s="104" t="s">
        <v>109</v>
      </c>
      <c r="E135" s="104" t="s">
        <v>92</v>
      </c>
      <c r="F135" s="104" t="s">
        <v>191</v>
      </c>
      <c r="K135" s="61">
        <v>20400</v>
      </c>
      <c r="L135" s="49">
        <f t="shared" si="10"/>
        <v>78600</v>
      </c>
      <c r="M135" s="50">
        <f t="shared" si="11"/>
        <v>0</v>
      </c>
      <c r="N135" s="143"/>
      <c r="O135" s="26"/>
    </row>
    <row r="136" spans="1:15" x14ac:dyDescent="0.25">
      <c r="A136" s="54">
        <v>45153</v>
      </c>
      <c r="B136" s="24">
        <f t="shared" si="8"/>
        <v>8</v>
      </c>
      <c r="C136" s="24">
        <f t="shared" si="9"/>
        <v>2023</v>
      </c>
      <c r="D136" s="104" t="s">
        <v>109</v>
      </c>
      <c r="E136" s="104" t="s">
        <v>92</v>
      </c>
      <c r="K136" s="61">
        <v>10900</v>
      </c>
      <c r="L136" s="49">
        <f t="shared" si="10"/>
        <v>67700</v>
      </c>
      <c r="M136" s="50">
        <f t="shared" si="11"/>
        <v>0</v>
      </c>
      <c r="N136" s="143"/>
      <c r="O136" s="26"/>
    </row>
    <row r="137" spans="1:15" x14ac:dyDescent="0.25">
      <c r="A137" s="54">
        <v>45153</v>
      </c>
      <c r="B137" s="24">
        <f t="shared" si="8"/>
        <v>8</v>
      </c>
      <c r="C137" s="24">
        <f t="shared" si="9"/>
        <v>2023</v>
      </c>
      <c r="D137" s="104" t="s">
        <v>109</v>
      </c>
      <c r="E137" s="104" t="s">
        <v>93</v>
      </c>
      <c r="F137" s="104" t="s">
        <v>193</v>
      </c>
      <c r="K137" s="61">
        <v>21000</v>
      </c>
      <c r="L137" s="49">
        <f t="shared" si="10"/>
        <v>46700</v>
      </c>
      <c r="M137" s="50">
        <f t="shared" si="11"/>
        <v>0</v>
      </c>
      <c r="N137" s="143"/>
      <c r="O137" s="26"/>
    </row>
    <row r="138" spans="1:15" x14ac:dyDescent="0.25">
      <c r="A138" s="54">
        <v>45153</v>
      </c>
      <c r="B138" s="24">
        <f t="shared" si="8"/>
        <v>8</v>
      </c>
      <c r="C138" s="24">
        <f t="shared" si="9"/>
        <v>2023</v>
      </c>
      <c r="D138" s="104" t="s">
        <v>89</v>
      </c>
      <c r="E138" s="104" t="s">
        <v>93</v>
      </c>
      <c r="J138" s="61">
        <v>4560</v>
      </c>
      <c r="L138" s="49">
        <f t="shared" si="10"/>
        <v>51260</v>
      </c>
      <c r="M138" s="50">
        <f t="shared" si="11"/>
        <v>0</v>
      </c>
      <c r="N138" s="143"/>
      <c r="O138" s="26"/>
    </row>
    <row r="139" spans="1:15" x14ac:dyDescent="0.25">
      <c r="A139" s="54">
        <v>45153</v>
      </c>
      <c r="B139" s="24">
        <f t="shared" si="8"/>
        <v>8</v>
      </c>
      <c r="C139" s="24">
        <f t="shared" si="9"/>
        <v>2023</v>
      </c>
      <c r="D139" s="104" t="s">
        <v>89</v>
      </c>
      <c r="E139" s="104" t="s">
        <v>93</v>
      </c>
      <c r="J139" s="61">
        <v>45300</v>
      </c>
      <c r="L139" s="49">
        <f t="shared" si="10"/>
        <v>96560</v>
      </c>
      <c r="M139" s="50">
        <f t="shared" si="11"/>
        <v>0</v>
      </c>
      <c r="N139" s="143"/>
      <c r="O139" s="26"/>
    </row>
    <row r="140" spans="1:15" x14ac:dyDescent="0.25">
      <c r="A140" s="54">
        <v>45153</v>
      </c>
      <c r="B140" s="24">
        <f t="shared" si="8"/>
        <v>8</v>
      </c>
      <c r="C140" s="24">
        <f t="shared" si="9"/>
        <v>2023</v>
      </c>
      <c r="D140" s="104" t="s">
        <v>123</v>
      </c>
      <c r="E140" s="104" t="s">
        <v>93</v>
      </c>
      <c r="J140" s="61">
        <v>100000</v>
      </c>
      <c r="L140" s="49">
        <f t="shared" si="10"/>
        <v>196560</v>
      </c>
      <c r="M140" s="50">
        <f t="shared" si="11"/>
        <v>0</v>
      </c>
      <c r="N140" s="143"/>
      <c r="O140" s="26"/>
    </row>
    <row r="141" spans="1:15" x14ac:dyDescent="0.25">
      <c r="A141" s="54">
        <v>45153</v>
      </c>
      <c r="B141" s="24">
        <f t="shared" si="8"/>
        <v>8</v>
      </c>
      <c r="C141" s="24">
        <f t="shared" si="9"/>
        <v>2023</v>
      </c>
      <c r="D141" s="104" t="s">
        <v>109</v>
      </c>
      <c r="E141" s="104" t="s">
        <v>92</v>
      </c>
      <c r="F141" s="104" t="s">
        <v>188</v>
      </c>
      <c r="K141" s="61">
        <v>100000</v>
      </c>
      <c r="L141" s="49">
        <f t="shared" si="10"/>
        <v>96560</v>
      </c>
      <c r="M141" s="50">
        <f t="shared" si="11"/>
        <v>0</v>
      </c>
      <c r="N141" s="143"/>
      <c r="O141" s="26"/>
    </row>
    <row r="142" spans="1:15" x14ac:dyDescent="0.25">
      <c r="A142" s="54">
        <v>45153</v>
      </c>
      <c r="B142" s="24">
        <f t="shared" si="8"/>
        <v>8</v>
      </c>
      <c r="C142" s="24">
        <f t="shared" si="9"/>
        <v>2023</v>
      </c>
      <c r="D142" s="104" t="s">
        <v>89</v>
      </c>
      <c r="E142" s="104" t="s">
        <v>93</v>
      </c>
      <c r="J142" s="61">
        <v>10000</v>
      </c>
      <c r="L142" s="49">
        <f t="shared" si="10"/>
        <v>106560</v>
      </c>
      <c r="M142" s="50">
        <f t="shared" si="11"/>
        <v>0</v>
      </c>
      <c r="N142" s="143"/>
      <c r="O142" s="26"/>
    </row>
    <row r="143" spans="1:15" x14ac:dyDescent="0.25">
      <c r="A143" s="54">
        <v>45153</v>
      </c>
      <c r="B143" s="24">
        <f t="shared" si="8"/>
        <v>8</v>
      </c>
      <c r="C143" s="24">
        <f t="shared" si="9"/>
        <v>2023</v>
      </c>
      <c r="D143" s="104" t="s">
        <v>122</v>
      </c>
      <c r="E143" s="104" t="s">
        <v>93</v>
      </c>
      <c r="K143" s="61">
        <v>76560</v>
      </c>
      <c r="L143" s="49">
        <f t="shared" si="10"/>
        <v>30000</v>
      </c>
      <c r="M143" s="50">
        <f t="shared" si="11"/>
        <v>0</v>
      </c>
      <c r="N143" s="143"/>
      <c r="O143" s="26"/>
    </row>
    <row r="144" spans="1:15" x14ac:dyDescent="0.25">
      <c r="A144" s="54">
        <v>45154</v>
      </c>
      <c r="B144" s="24">
        <f t="shared" si="8"/>
        <v>8</v>
      </c>
      <c r="C144" s="24">
        <f t="shared" si="9"/>
        <v>2023</v>
      </c>
      <c r="D144" s="104" t="s">
        <v>89</v>
      </c>
      <c r="E144" s="104" t="s">
        <v>93</v>
      </c>
      <c r="J144" s="61">
        <v>190050</v>
      </c>
      <c r="L144" s="49">
        <f t="shared" si="10"/>
        <v>220050</v>
      </c>
      <c r="M144" s="50">
        <f t="shared" si="11"/>
        <v>0</v>
      </c>
      <c r="N144" s="143"/>
      <c r="O144" s="26"/>
    </row>
    <row r="145" spans="1:15" x14ac:dyDescent="0.25">
      <c r="A145" s="54">
        <v>45154</v>
      </c>
      <c r="B145" s="24">
        <f t="shared" si="8"/>
        <v>8</v>
      </c>
      <c r="C145" s="24">
        <f t="shared" si="9"/>
        <v>2023</v>
      </c>
      <c r="D145" s="104" t="s">
        <v>89</v>
      </c>
      <c r="E145" s="104" t="s">
        <v>93</v>
      </c>
      <c r="J145" s="61">
        <v>56000</v>
      </c>
      <c r="L145" s="49">
        <f t="shared" si="10"/>
        <v>276050</v>
      </c>
      <c r="M145" s="50">
        <f t="shared" si="11"/>
        <v>0</v>
      </c>
      <c r="N145" s="143"/>
      <c r="O145" s="26"/>
    </row>
    <row r="146" spans="1:15" x14ac:dyDescent="0.25">
      <c r="A146" s="54">
        <v>45154</v>
      </c>
      <c r="B146" s="24">
        <f t="shared" si="8"/>
        <v>8</v>
      </c>
      <c r="C146" s="24">
        <f t="shared" si="9"/>
        <v>2023</v>
      </c>
      <c r="D146" s="104" t="s">
        <v>109</v>
      </c>
      <c r="E146" s="104" t="s">
        <v>93</v>
      </c>
      <c r="F146" s="104" t="s">
        <v>196</v>
      </c>
      <c r="K146" s="61">
        <v>1500</v>
      </c>
      <c r="L146" s="49">
        <f t="shared" si="10"/>
        <v>274550</v>
      </c>
      <c r="M146" s="50">
        <f t="shared" si="11"/>
        <v>0</v>
      </c>
      <c r="N146" s="143"/>
      <c r="O146" s="26"/>
    </row>
    <row r="147" spans="1:15" x14ac:dyDescent="0.25">
      <c r="A147" s="54">
        <v>45154</v>
      </c>
      <c r="B147" s="24">
        <f t="shared" si="8"/>
        <v>8</v>
      </c>
      <c r="C147" s="24">
        <f t="shared" si="9"/>
        <v>2023</v>
      </c>
      <c r="D147" s="104" t="s">
        <v>89</v>
      </c>
      <c r="E147" s="104" t="s">
        <v>93</v>
      </c>
      <c r="J147" s="61">
        <v>36300</v>
      </c>
      <c r="L147" s="49">
        <f t="shared" si="10"/>
        <v>310850</v>
      </c>
      <c r="M147" s="50">
        <f t="shared" si="11"/>
        <v>0</v>
      </c>
      <c r="N147" s="143"/>
      <c r="O147" s="26"/>
    </row>
    <row r="148" spans="1:15" x14ac:dyDescent="0.25">
      <c r="A148" s="54">
        <v>45154</v>
      </c>
      <c r="B148" s="24">
        <f t="shared" si="8"/>
        <v>8</v>
      </c>
      <c r="C148" s="24">
        <f t="shared" si="9"/>
        <v>2023</v>
      </c>
      <c r="D148" s="104" t="s">
        <v>122</v>
      </c>
      <c r="E148" s="104" t="s">
        <v>93</v>
      </c>
      <c r="K148" s="61">
        <v>280850</v>
      </c>
      <c r="L148" s="49">
        <f t="shared" si="10"/>
        <v>30000</v>
      </c>
      <c r="M148" s="50">
        <f t="shared" si="11"/>
        <v>0</v>
      </c>
      <c r="N148" s="143"/>
      <c r="O148" s="26"/>
    </row>
    <row r="149" spans="1:15" x14ac:dyDescent="0.25">
      <c r="A149" s="54">
        <v>45155</v>
      </c>
      <c r="B149" s="24">
        <f t="shared" si="8"/>
        <v>8</v>
      </c>
      <c r="C149" s="24">
        <f t="shared" si="9"/>
        <v>2023</v>
      </c>
      <c r="D149" s="104" t="s">
        <v>89</v>
      </c>
      <c r="E149" s="104" t="s">
        <v>93</v>
      </c>
      <c r="F149" s="104" t="s">
        <v>199</v>
      </c>
      <c r="J149" s="61">
        <v>925</v>
      </c>
      <c r="L149" s="49">
        <f t="shared" si="10"/>
        <v>30925</v>
      </c>
      <c r="M149" s="50">
        <f t="shared" si="11"/>
        <v>0</v>
      </c>
      <c r="N149" s="143"/>
      <c r="O149" s="26"/>
    </row>
    <row r="150" spans="1:15" x14ac:dyDescent="0.25">
      <c r="A150" s="54">
        <v>45155</v>
      </c>
      <c r="B150" s="24">
        <f t="shared" si="8"/>
        <v>8</v>
      </c>
      <c r="C150" s="24">
        <f t="shared" si="9"/>
        <v>2023</v>
      </c>
      <c r="D150" s="104" t="s">
        <v>89</v>
      </c>
      <c r="E150" s="104" t="s">
        <v>93</v>
      </c>
      <c r="F150" s="104" t="s">
        <v>200</v>
      </c>
      <c r="J150" s="61">
        <v>5420</v>
      </c>
      <c r="L150" s="49">
        <f t="shared" si="10"/>
        <v>36345</v>
      </c>
      <c r="M150" s="50">
        <f t="shared" si="11"/>
        <v>0</v>
      </c>
      <c r="N150" s="143"/>
      <c r="O150" s="26"/>
    </row>
    <row r="151" spans="1:15" x14ac:dyDescent="0.25">
      <c r="A151" s="54">
        <v>45155</v>
      </c>
      <c r="B151" s="24">
        <f t="shared" si="8"/>
        <v>8</v>
      </c>
      <c r="C151" s="24">
        <f t="shared" si="9"/>
        <v>2023</v>
      </c>
      <c r="D151" s="104" t="s">
        <v>123</v>
      </c>
      <c r="E151" s="104" t="s">
        <v>93</v>
      </c>
      <c r="J151" s="61">
        <v>10725</v>
      </c>
      <c r="L151" s="49">
        <f t="shared" si="10"/>
        <v>47070</v>
      </c>
      <c r="M151" s="50">
        <f t="shared" si="11"/>
        <v>0</v>
      </c>
      <c r="N151" s="143"/>
      <c r="O151" s="26"/>
    </row>
    <row r="152" spans="1:15" x14ac:dyDescent="0.25">
      <c r="A152" s="54">
        <v>45155</v>
      </c>
      <c r="B152" s="24">
        <f t="shared" si="8"/>
        <v>8</v>
      </c>
      <c r="C152" s="24">
        <f t="shared" si="9"/>
        <v>2023</v>
      </c>
      <c r="D152" s="104" t="s">
        <v>109</v>
      </c>
      <c r="E152" s="104" t="s">
        <v>92</v>
      </c>
      <c r="F152" s="104" t="s">
        <v>200</v>
      </c>
      <c r="K152" s="61">
        <v>10725</v>
      </c>
      <c r="L152" s="49">
        <f t="shared" si="10"/>
        <v>36345</v>
      </c>
      <c r="M152" s="50">
        <f t="shared" si="11"/>
        <v>0</v>
      </c>
      <c r="N152" s="143"/>
      <c r="O152" s="26"/>
    </row>
    <row r="153" spans="1:15" x14ac:dyDescent="0.25">
      <c r="A153" s="54">
        <v>45155</v>
      </c>
      <c r="B153" s="24">
        <f t="shared" si="8"/>
        <v>8</v>
      </c>
      <c r="C153" s="24">
        <f t="shared" si="9"/>
        <v>2023</v>
      </c>
      <c r="D153" s="104" t="s">
        <v>124</v>
      </c>
      <c r="E153" s="104" t="s">
        <v>93</v>
      </c>
      <c r="F153" s="104" t="s">
        <v>201</v>
      </c>
      <c r="K153" s="61">
        <v>6050</v>
      </c>
      <c r="L153" s="49">
        <f t="shared" si="10"/>
        <v>30295</v>
      </c>
      <c r="M153" s="50">
        <f t="shared" si="11"/>
        <v>0</v>
      </c>
      <c r="N153" s="143"/>
      <c r="O153" s="26"/>
    </row>
    <row r="154" spans="1:15" x14ac:dyDescent="0.25">
      <c r="A154" s="54">
        <v>45155</v>
      </c>
      <c r="B154" s="24">
        <f t="shared" si="8"/>
        <v>8</v>
      </c>
      <c r="C154" s="24">
        <f t="shared" si="9"/>
        <v>2023</v>
      </c>
      <c r="D154" s="104" t="s">
        <v>89</v>
      </c>
      <c r="E154" s="104" t="s">
        <v>93</v>
      </c>
      <c r="F154" s="104" t="s">
        <v>205</v>
      </c>
      <c r="J154" s="61">
        <v>18500</v>
      </c>
      <c r="L154" s="49">
        <f t="shared" si="10"/>
        <v>48795</v>
      </c>
      <c r="M154" s="50">
        <f t="shared" si="11"/>
        <v>0</v>
      </c>
      <c r="N154" s="143"/>
      <c r="O154" s="26"/>
    </row>
    <row r="155" spans="1:15" x14ac:dyDescent="0.25">
      <c r="A155" s="54">
        <v>45155</v>
      </c>
      <c r="B155" s="24">
        <f t="shared" si="8"/>
        <v>8</v>
      </c>
      <c r="C155" s="24">
        <f t="shared" si="9"/>
        <v>2023</v>
      </c>
      <c r="D155" s="104" t="s">
        <v>89</v>
      </c>
      <c r="E155" s="104" t="s">
        <v>93</v>
      </c>
      <c r="F155" s="104" t="s">
        <v>203</v>
      </c>
      <c r="J155" s="61">
        <v>7000</v>
      </c>
      <c r="L155" s="49">
        <f t="shared" si="10"/>
        <v>55795</v>
      </c>
      <c r="M155" s="50">
        <f t="shared" si="11"/>
        <v>0</v>
      </c>
      <c r="N155" s="143"/>
      <c r="O155" s="26"/>
    </row>
    <row r="156" spans="1:15" x14ac:dyDescent="0.25">
      <c r="A156" s="54">
        <v>45155</v>
      </c>
      <c r="B156" s="24">
        <f t="shared" si="8"/>
        <v>8</v>
      </c>
      <c r="C156" s="24">
        <f t="shared" si="9"/>
        <v>2023</v>
      </c>
      <c r="D156" s="104" t="s">
        <v>109</v>
      </c>
      <c r="E156" s="104" t="s">
        <v>92</v>
      </c>
      <c r="F156" s="104" t="s">
        <v>204</v>
      </c>
      <c r="K156" s="61">
        <v>2800</v>
      </c>
      <c r="L156" s="49">
        <f t="shared" si="10"/>
        <v>52995</v>
      </c>
      <c r="M156" s="50">
        <f t="shared" si="11"/>
        <v>0</v>
      </c>
      <c r="N156" s="143"/>
      <c r="O156" s="26"/>
    </row>
    <row r="157" spans="1:15" x14ac:dyDescent="0.25">
      <c r="A157" s="54">
        <v>45156</v>
      </c>
      <c r="B157" s="24">
        <f t="shared" si="8"/>
        <v>8</v>
      </c>
      <c r="C157" s="24">
        <f t="shared" si="9"/>
        <v>2023</v>
      </c>
      <c r="D157" s="104" t="s">
        <v>89</v>
      </c>
      <c r="E157" s="104" t="s">
        <v>93</v>
      </c>
      <c r="F157" s="104" t="s">
        <v>206</v>
      </c>
      <c r="J157" s="61">
        <v>20000</v>
      </c>
      <c r="L157" s="49">
        <f t="shared" si="10"/>
        <v>72995</v>
      </c>
      <c r="M157" s="50">
        <f t="shared" si="11"/>
        <v>0</v>
      </c>
      <c r="N157" s="143"/>
      <c r="O157" s="26"/>
    </row>
    <row r="158" spans="1:15" x14ac:dyDescent="0.25">
      <c r="A158" s="54">
        <v>45156</v>
      </c>
      <c r="B158" s="24">
        <f t="shared" si="8"/>
        <v>8</v>
      </c>
      <c r="C158" s="24">
        <f t="shared" si="9"/>
        <v>2023</v>
      </c>
      <c r="D158" s="104" t="s">
        <v>89</v>
      </c>
      <c r="E158" s="104" t="s">
        <v>93</v>
      </c>
      <c r="F158" s="104" t="s">
        <v>207</v>
      </c>
      <c r="J158" s="61">
        <v>50700</v>
      </c>
      <c r="L158" s="49">
        <f t="shared" si="10"/>
        <v>123695</v>
      </c>
      <c r="M158" s="50">
        <f t="shared" si="11"/>
        <v>0</v>
      </c>
      <c r="N158" s="143"/>
      <c r="O158" s="26"/>
    </row>
    <row r="159" spans="1:15" x14ac:dyDescent="0.25">
      <c r="A159" s="54">
        <v>45156</v>
      </c>
      <c r="B159" s="24">
        <f t="shared" si="8"/>
        <v>8</v>
      </c>
      <c r="C159" s="24">
        <f t="shared" si="9"/>
        <v>2023</v>
      </c>
      <c r="D159" s="104" t="s">
        <v>109</v>
      </c>
      <c r="E159" s="104" t="s">
        <v>93</v>
      </c>
      <c r="F159" s="104" t="s">
        <v>139</v>
      </c>
      <c r="K159" s="61">
        <v>2600</v>
      </c>
      <c r="L159" s="49">
        <f t="shared" si="10"/>
        <v>121095</v>
      </c>
      <c r="M159" s="50">
        <f t="shared" si="11"/>
        <v>0</v>
      </c>
      <c r="N159" s="143"/>
      <c r="O159" s="26"/>
    </row>
    <row r="160" spans="1:15" x14ac:dyDescent="0.25">
      <c r="A160" s="54">
        <v>45156</v>
      </c>
      <c r="B160" s="24">
        <f t="shared" si="8"/>
        <v>8</v>
      </c>
      <c r="C160" s="24">
        <f t="shared" si="9"/>
        <v>2023</v>
      </c>
      <c r="D160" s="104" t="s">
        <v>89</v>
      </c>
      <c r="E160" s="104" t="s">
        <v>93</v>
      </c>
      <c r="F160" s="104" t="s">
        <v>208</v>
      </c>
      <c r="J160" s="61">
        <v>110060</v>
      </c>
      <c r="L160" s="49">
        <f t="shared" si="10"/>
        <v>231155</v>
      </c>
      <c r="M160" s="50">
        <f t="shared" si="11"/>
        <v>0</v>
      </c>
      <c r="N160" s="143"/>
      <c r="O160" s="26"/>
    </row>
    <row r="161" spans="1:15" x14ac:dyDescent="0.25">
      <c r="A161" s="54">
        <v>45156</v>
      </c>
      <c r="B161" s="24">
        <f t="shared" si="8"/>
        <v>8</v>
      </c>
      <c r="C161" s="24">
        <f t="shared" si="9"/>
        <v>2023</v>
      </c>
      <c r="D161" s="104" t="s">
        <v>89</v>
      </c>
      <c r="E161" s="104" t="s">
        <v>93</v>
      </c>
      <c r="F161" s="104" t="s">
        <v>209</v>
      </c>
      <c r="J161" s="61">
        <v>18800</v>
      </c>
      <c r="L161" s="49">
        <f t="shared" si="10"/>
        <v>249955</v>
      </c>
      <c r="M161" s="50">
        <f t="shared" si="11"/>
        <v>0</v>
      </c>
      <c r="N161" s="143"/>
      <c r="O161" s="26"/>
    </row>
    <row r="162" spans="1:15" x14ac:dyDescent="0.25">
      <c r="A162" s="54">
        <v>45156</v>
      </c>
      <c r="B162" s="24">
        <f t="shared" si="8"/>
        <v>8</v>
      </c>
      <c r="C162" s="24">
        <f t="shared" si="9"/>
        <v>2023</v>
      </c>
      <c r="D162" s="104" t="s">
        <v>109</v>
      </c>
      <c r="E162" s="104" t="s">
        <v>93</v>
      </c>
      <c r="F162" s="104" t="s">
        <v>145</v>
      </c>
      <c r="K162" s="61">
        <v>13240</v>
      </c>
      <c r="L162" s="49">
        <f t="shared" si="10"/>
        <v>236715</v>
      </c>
      <c r="M162" s="50">
        <f t="shared" si="11"/>
        <v>0</v>
      </c>
      <c r="N162" s="143"/>
      <c r="O162" s="26"/>
    </row>
    <row r="163" spans="1:15" x14ac:dyDescent="0.25">
      <c r="A163" s="54">
        <v>45156</v>
      </c>
      <c r="B163" s="24">
        <f t="shared" si="8"/>
        <v>8</v>
      </c>
      <c r="C163" s="24">
        <f t="shared" si="9"/>
        <v>2023</v>
      </c>
      <c r="D163" s="104" t="s">
        <v>89</v>
      </c>
      <c r="E163" s="104" t="s">
        <v>93</v>
      </c>
      <c r="F163" s="104" t="s">
        <v>211</v>
      </c>
      <c r="J163" s="61">
        <v>77398</v>
      </c>
      <c r="L163" s="49">
        <f t="shared" si="10"/>
        <v>314113</v>
      </c>
      <c r="M163" s="50">
        <f t="shared" si="11"/>
        <v>0</v>
      </c>
      <c r="N163" s="143"/>
      <c r="O163" s="26"/>
    </row>
    <row r="164" spans="1:15" x14ac:dyDescent="0.25">
      <c r="A164" s="54">
        <v>45156</v>
      </c>
      <c r="B164" s="24">
        <f t="shared" si="8"/>
        <v>8</v>
      </c>
      <c r="C164" s="24">
        <f t="shared" si="9"/>
        <v>2023</v>
      </c>
      <c r="D164" s="104" t="s">
        <v>122</v>
      </c>
      <c r="E164" s="104" t="s">
        <v>93</v>
      </c>
      <c r="K164" s="61">
        <v>284113</v>
      </c>
      <c r="L164" s="49">
        <f t="shared" si="10"/>
        <v>30000</v>
      </c>
      <c r="M164" s="50">
        <f t="shared" si="11"/>
        <v>0</v>
      </c>
      <c r="N164" s="143"/>
      <c r="O164" s="26"/>
    </row>
    <row r="165" spans="1:15" x14ac:dyDescent="0.25">
      <c r="A165" s="54">
        <v>45157</v>
      </c>
      <c r="B165" s="24">
        <f t="shared" si="8"/>
        <v>8</v>
      </c>
      <c r="C165" s="24">
        <f t="shared" si="9"/>
        <v>2023</v>
      </c>
      <c r="D165" s="104" t="s">
        <v>89</v>
      </c>
      <c r="E165" s="104" t="s">
        <v>93</v>
      </c>
      <c r="F165" s="104" t="s">
        <v>212</v>
      </c>
      <c r="J165" s="61">
        <v>15000</v>
      </c>
      <c r="L165" s="49">
        <f t="shared" si="10"/>
        <v>45000</v>
      </c>
      <c r="M165" s="50">
        <f t="shared" si="11"/>
        <v>0</v>
      </c>
      <c r="N165" s="143"/>
      <c r="O165" s="26"/>
    </row>
    <row r="166" spans="1:15" x14ac:dyDescent="0.25">
      <c r="A166" s="54">
        <v>45157</v>
      </c>
      <c r="B166" s="24">
        <f t="shared" si="8"/>
        <v>8</v>
      </c>
      <c r="C166" s="24">
        <f t="shared" si="9"/>
        <v>2023</v>
      </c>
      <c r="D166" s="104" t="s">
        <v>123</v>
      </c>
      <c r="E166" s="104" t="s">
        <v>93</v>
      </c>
      <c r="J166" s="61">
        <v>215000</v>
      </c>
      <c r="L166" s="49">
        <f t="shared" si="10"/>
        <v>260000</v>
      </c>
      <c r="M166" s="50">
        <f t="shared" si="11"/>
        <v>0</v>
      </c>
      <c r="N166" s="143"/>
      <c r="O166" s="26"/>
    </row>
    <row r="167" spans="1:15" x14ac:dyDescent="0.25">
      <c r="A167" s="54">
        <v>45157</v>
      </c>
      <c r="B167" s="24">
        <f t="shared" si="8"/>
        <v>8</v>
      </c>
      <c r="C167" s="24">
        <f t="shared" si="9"/>
        <v>2023</v>
      </c>
      <c r="D167" s="104" t="s">
        <v>92</v>
      </c>
      <c r="E167" s="104" t="s">
        <v>93</v>
      </c>
      <c r="F167" s="104" t="s">
        <v>213</v>
      </c>
      <c r="K167" s="61">
        <v>215000</v>
      </c>
      <c r="L167" s="49">
        <f t="shared" si="10"/>
        <v>45000</v>
      </c>
      <c r="M167" s="50">
        <f t="shared" si="11"/>
        <v>0</v>
      </c>
      <c r="N167" s="143"/>
      <c r="O167" s="26"/>
    </row>
    <row r="168" spans="1:15" x14ac:dyDescent="0.25">
      <c r="A168" s="54">
        <v>45157</v>
      </c>
      <c r="B168" s="24">
        <f t="shared" si="8"/>
        <v>8</v>
      </c>
      <c r="C168" s="24">
        <f t="shared" si="9"/>
        <v>2023</v>
      </c>
      <c r="D168" s="104" t="s">
        <v>122</v>
      </c>
      <c r="E168" s="104" t="s">
        <v>93</v>
      </c>
      <c r="K168" s="61">
        <v>15000</v>
      </c>
      <c r="L168" s="49">
        <f t="shared" si="10"/>
        <v>30000</v>
      </c>
      <c r="M168" s="50">
        <f t="shared" si="11"/>
        <v>0</v>
      </c>
      <c r="N168" s="143"/>
      <c r="O168" s="26"/>
    </row>
    <row r="169" spans="1:15" x14ac:dyDescent="0.25">
      <c r="A169" s="54">
        <v>45160</v>
      </c>
      <c r="B169" s="24">
        <f t="shared" si="8"/>
        <v>8</v>
      </c>
      <c r="C169" s="24">
        <f t="shared" si="9"/>
        <v>2023</v>
      </c>
      <c r="D169" s="104" t="s">
        <v>89</v>
      </c>
      <c r="E169" s="104" t="s">
        <v>93</v>
      </c>
      <c r="F169" s="104" t="s">
        <v>216</v>
      </c>
      <c r="J169" s="61">
        <v>12187.5</v>
      </c>
      <c r="L169" s="49">
        <f t="shared" si="10"/>
        <v>42187.5</v>
      </c>
      <c r="M169" s="50">
        <f t="shared" si="11"/>
        <v>0</v>
      </c>
      <c r="N169" s="143"/>
      <c r="O169" s="26"/>
    </row>
    <row r="170" spans="1:15" x14ac:dyDescent="0.25">
      <c r="A170" s="54">
        <v>45160</v>
      </c>
      <c r="B170" s="24">
        <f t="shared" si="8"/>
        <v>8</v>
      </c>
      <c r="C170" s="24">
        <f t="shared" si="9"/>
        <v>2023</v>
      </c>
      <c r="D170" s="104" t="s">
        <v>135</v>
      </c>
      <c r="E170" s="104" t="s">
        <v>93</v>
      </c>
      <c r="F170" s="104" t="s">
        <v>215</v>
      </c>
      <c r="K170" s="61">
        <v>10640</v>
      </c>
      <c r="L170" s="49">
        <f t="shared" si="10"/>
        <v>31547.5</v>
      </c>
      <c r="M170" s="50">
        <f t="shared" si="11"/>
        <v>0</v>
      </c>
      <c r="N170" s="143"/>
      <c r="O170" s="26"/>
    </row>
    <row r="171" spans="1:15" x14ac:dyDescent="0.25">
      <c r="A171" s="54">
        <v>45160</v>
      </c>
      <c r="B171" s="24">
        <f t="shared" si="8"/>
        <v>8</v>
      </c>
      <c r="C171" s="24">
        <f t="shared" si="9"/>
        <v>2023</v>
      </c>
      <c r="D171" s="104" t="s">
        <v>89</v>
      </c>
      <c r="E171" s="104" t="s">
        <v>93</v>
      </c>
      <c r="F171" s="104" t="s">
        <v>217</v>
      </c>
      <c r="J171" s="61">
        <v>29500</v>
      </c>
      <c r="L171" s="49">
        <f t="shared" si="10"/>
        <v>61047.5</v>
      </c>
      <c r="M171" s="50">
        <f t="shared" si="11"/>
        <v>0</v>
      </c>
      <c r="N171" s="143"/>
      <c r="O171" s="26"/>
    </row>
    <row r="172" spans="1:15" x14ac:dyDescent="0.25">
      <c r="A172" s="54">
        <v>45160</v>
      </c>
      <c r="B172" s="24">
        <f t="shared" si="8"/>
        <v>8</v>
      </c>
      <c r="C172" s="24">
        <f t="shared" si="9"/>
        <v>2023</v>
      </c>
      <c r="D172" s="104" t="s">
        <v>89</v>
      </c>
      <c r="E172" s="104" t="s">
        <v>93</v>
      </c>
      <c r="F172" s="104" t="s">
        <v>218</v>
      </c>
      <c r="J172" s="61">
        <v>13300</v>
      </c>
      <c r="L172" s="49">
        <f t="shared" si="10"/>
        <v>74347.5</v>
      </c>
      <c r="M172" s="50">
        <f t="shared" si="11"/>
        <v>0</v>
      </c>
      <c r="N172" s="143"/>
      <c r="O172" s="26"/>
    </row>
    <row r="173" spans="1:15" x14ac:dyDescent="0.25">
      <c r="A173" s="54">
        <v>45160</v>
      </c>
      <c r="B173" s="24">
        <f t="shared" si="8"/>
        <v>8</v>
      </c>
      <c r="C173" s="24">
        <f t="shared" si="9"/>
        <v>2023</v>
      </c>
      <c r="D173" s="104" t="s">
        <v>109</v>
      </c>
      <c r="E173" s="104" t="s">
        <v>93</v>
      </c>
      <c r="F173" s="104" t="s">
        <v>189</v>
      </c>
      <c r="K173" s="61">
        <v>6000</v>
      </c>
      <c r="L173" s="49">
        <f t="shared" si="10"/>
        <v>68347.5</v>
      </c>
      <c r="M173" s="50">
        <f t="shared" si="11"/>
        <v>0</v>
      </c>
      <c r="N173" s="143"/>
      <c r="O173" s="26"/>
    </row>
    <row r="174" spans="1:15" x14ac:dyDescent="0.25">
      <c r="A174" s="54">
        <v>45160</v>
      </c>
      <c r="B174" s="24">
        <f t="shared" si="8"/>
        <v>8</v>
      </c>
      <c r="C174" s="24">
        <f t="shared" si="9"/>
        <v>2023</v>
      </c>
      <c r="D174" s="104" t="s">
        <v>122</v>
      </c>
      <c r="E174" s="104" t="s">
        <v>93</v>
      </c>
      <c r="K174" s="61">
        <v>38347.5</v>
      </c>
      <c r="L174" s="49">
        <f t="shared" si="10"/>
        <v>30000</v>
      </c>
      <c r="M174" s="50">
        <f t="shared" si="11"/>
        <v>0</v>
      </c>
      <c r="N174" s="143"/>
      <c r="O174" s="26"/>
    </row>
    <row r="175" spans="1:15" x14ac:dyDescent="0.25">
      <c r="A175" s="54">
        <v>45161</v>
      </c>
      <c r="B175" s="24">
        <f t="shared" si="8"/>
        <v>8</v>
      </c>
      <c r="C175" s="24">
        <f t="shared" si="9"/>
        <v>2023</v>
      </c>
      <c r="D175" s="104" t="s">
        <v>109</v>
      </c>
      <c r="E175" s="104" t="s">
        <v>92</v>
      </c>
      <c r="F175" s="104" t="s">
        <v>219</v>
      </c>
      <c r="K175" s="61">
        <v>1500</v>
      </c>
      <c r="L175" s="49">
        <f t="shared" si="10"/>
        <v>28500</v>
      </c>
      <c r="M175" s="50">
        <f t="shared" si="11"/>
        <v>0</v>
      </c>
      <c r="N175" s="143"/>
      <c r="O175" s="26"/>
    </row>
    <row r="176" spans="1:15" x14ac:dyDescent="0.25">
      <c r="A176" s="54">
        <v>45161</v>
      </c>
      <c r="B176" s="24">
        <f t="shared" si="8"/>
        <v>8</v>
      </c>
      <c r="C176" s="24">
        <f t="shared" si="9"/>
        <v>2023</v>
      </c>
      <c r="D176" s="104" t="s">
        <v>109</v>
      </c>
      <c r="E176" s="104" t="s">
        <v>92</v>
      </c>
      <c r="F176" s="104" t="s">
        <v>220</v>
      </c>
      <c r="K176" s="61">
        <v>2100</v>
      </c>
      <c r="L176" s="49">
        <f t="shared" si="10"/>
        <v>26400</v>
      </c>
      <c r="M176" s="50">
        <f t="shared" si="11"/>
        <v>0</v>
      </c>
      <c r="N176" s="143"/>
      <c r="O176" s="26"/>
    </row>
    <row r="177" spans="1:15" x14ac:dyDescent="0.25">
      <c r="A177" s="54">
        <v>45161</v>
      </c>
      <c r="B177" s="24">
        <f t="shared" si="8"/>
        <v>8</v>
      </c>
      <c r="C177" s="24">
        <f t="shared" si="9"/>
        <v>2023</v>
      </c>
      <c r="D177" s="104" t="s">
        <v>89</v>
      </c>
      <c r="E177" s="104" t="s">
        <v>93</v>
      </c>
      <c r="F177" s="104" t="s">
        <v>179</v>
      </c>
      <c r="J177" s="61">
        <v>10000</v>
      </c>
      <c r="L177" s="49">
        <f t="shared" si="10"/>
        <v>36400</v>
      </c>
      <c r="M177" s="50">
        <f t="shared" si="11"/>
        <v>0</v>
      </c>
      <c r="N177" s="143"/>
      <c r="O177" s="26"/>
    </row>
    <row r="178" spans="1:15" x14ac:dyDescent="0.25">
      <c r="A178" s="54">
        <v>45161</v>
      </c>
      <c r="B178" s="24">
        <f t="shared" si="8"/>
        <v>8</v>
      </c>
      <c r="C178" s="24">
        <f t="shared" si="9"/>
        <v>2023</v>
      </c>
      <c r="D178" s="104" t="s">
        <v>89</v>
      </c>
      <c r="E178" s="104" t="s">
        <v>93</v>
      </c>
      <c r="F178" s="104" t="s">
        <v>221</v>
      </c>
      <c r="J178" s="61">
        <v>12000</v>
      </c>
      <c r="L178" s="49">
        <f t="shared" si="10"/>
        <v>48400</v>
      </c>
      <c r="M178" s="50">
        <f t="shared" si="11"/>
        <v>0</v>
      </c>
      <c r="N178" s="143"/>
      <c r="O178" s="26"/>
    </row>
    <row r="179" spans="1:15" x14ac:dyDescent="0.25">
      <c r="A179" s="54">
        <v>45161</v>
      </c>
      <c r="B179" s="24">
        <f t="shared" si="8"/>
        <v>8</v>
      </c>
      <c r="C179" s="24">
        <f t="shared" si="9"/>
        <v>2023</v>
      </c>
      <c r="D179" s="104" t="s">
        <v>89</v>
      </c>
      <c r="E179" s="104" t="s">
        <v>93</v>
      </c>
      <c r="F179" s="104" t="s">
        <v>222</v>
      </c>
      <c r="J179" s="61">
        <v>10640</v>
      </c>
      <c r="L179" s="49">
        <f t="shared" si="10"/>
        <v>59040</v>
      </c>
      <c r="M179" s="50">
        <f t="shared" si="11"/>
        <v>0</v>
      </c>
      <c r="N179" s="143"/>
      <c r="O179" s="26"/>
    </row>
    <row r="180" spans="1:15" x14ac:dyDescent="0.25">
      <c r="A180" s="54">
        <v>45161</v>
      </c>
      <c r="B180" s="24">
        <f t="shared" si="8"/>
        <v>8</v>
      </c>
      <c r="C180" s="24">
        <f t="shared" si="9"/>
        <v>2023</v>
      </c>
      <c r="D180" s="104" t="s">
        <v>89</v>
      </c>
      <c r="E180" s="104" t="s">
        <v>93</v>
      </c>
      <c r="F180" s="104" t="s">
        <v>223</v>
      </c>
      <c r="J180" s="61">
        <v>30000</v>
      </c>
      <c r="L180" s="49">
        <f t="shared" si="10"/>
        <v>89040</v>
      </c>
      <c r="M180" s="50">
        <f t="shared" si="11"/>
        <v>0</v>
      </c>
      <c r="N180" s="143"/>
      <c r="O180" s="26"/>
    </row>
    <row r="181" spans="1:15" x14ac:dyDescent="0.25">
      <c r="A181" s="54">
        <v>45161</v>
      </c>
      <c r="B181" s="24">
        <f t="shared" si="8"/>
        <v>8</v>
      </c>
      <c r="C181" s="24">
        <f t="shared" si="9"/>
        <v>2023</v>
      </c>
      <c r="D181" s="104" t="s">
        <v>109</v>
      </c>
      <c r="E181" s="104" t="s">
        <v>93</v>
      </c>
      <c r="F181" s="104" t="s">
        <v>224</v>
      </c>
      <c r="K181" s="61">
        <v>13500</v>
      </c>
      <c r="L181" s="49">
        <f t="shared" si="10"/>
        <v>75540</v>
      </c>
      <c r="M181" s="50">
        <f t="shared" si="11"/>
        <v>0</v>
      </c>
      <c r="N181" s="143"/>
      <c r="O181" s="26"/>
    </row>
    <row r="182" spans="1:15" x14ac:dyDescent="0.25">
      <c r="A182" s="54">
        <v>45161</v>
      </c>
      <c r="B182" s="24">
        <f t="shared" si="8"/>
        <v>8</v>
      </c>
      <c r="C182" s="24">
        <f t="shared" si="9"/>
        <v>2023</v>
      </c>
      <c r="D182" s="104" t="s">
        <v>122</v>
      </c>
      <c r="E182" s="104" t="s">
        <v>93</v>
      </c>
      <c r="K182" s="61">
        <v>45540</v>
      </c>
      <c r="L182" s="49">
        <f t="shared" si="10"/>
        <v>30000</v>
      </c>
      <c r="M182" s="50">
        <f t="shared" si="11"/>
        <v>0</v>
      </c>
      <c r="N182" s="143"/>
      <c r="O182" s="26"/>
    </row>
    <row r="183" spans="1:15" x14ac:dyDescent="0.25">
      <c r="A183" s="54">
        <v>45162</v>
      </c>
      <c r="B183" s="24">
        <f t="shared" si="8"/>
        <v>8</v>
      </c>
      <c r="C183" s="24">
        <f t="shared" si="9"/>
        <v>2023</v>
      </c>
      <c r="D183" s="104" t="s">
        <v>123</v>
      </c>
      <c r="E183" s="104" t="s">
        <v>93</v>
      </c>
      <c r="J183" s="61">
        <v>2500</v>
      </c>
      <c r="L183" s="49">
        <f t="shared" si="10"/>
        <v>32500</v>
      </c>
      <c r="M183" s="50">
        <f t="shared" si="11"/>
        <v>0</v>
      </c>
      <c r="N183" s="143"/>
      <c r="O183" s="26"/>
    </row>
    <row r="184" spans="1:15" x14ac:dyDescent="0.25">
      <c r="A184" s="54">
        <v>45162</v>
      </c>
      <c r="B184" s="24">
        <f t="shared" si="8"/>
        <v>8</v>
      </c>
      <c r="C184" s="24">
        <f t="shared" si="9"/>
        <v>2023</v>
      </c>
      <c r="D184" s="104" t="s">
        <v>51</v>
      </c>
      <c r="E184" s="104" t="s">
        <v>93</v>
      </c>
      <c r="K184" s="61">
        <v>2500</v>
      </c>
      <c r="L184" s="49">
        <f t="shared" si="10"/>
        <v>30000</v>
      </c>
      <c r="M184" s="50">
        <f t="shared" si="11"/>
        <v>0</v>
      </c>
      <c r="N184" s="143"/>
      <c r="O184" s="26"/>
    </row>
    <row r="185" spans="1:15" x14ac:dyDescent="0.25">
      <c r="A185" s="54">
        <v>45162</v>
      </c>
      <c r="B185" s="24">
        <f t="shared" si="8"/>
        <v>8</v>
      </c>
      <c r="C185" s="24">
        <f t="shared" si="9"/>
        <v>2023</v>
      </c>
      <c r="D185" s="104" t="s">
        <v>109</v>
      </c>
      <c r="E185" s="104" t="s">
        <v>92</v>
      </c>
      <c r="F185" s="104" t="s">
        <v>220</v>
      </c>
      <c r="K185" s="61">
        <v>700</v>
      </c>
      <c r="L185" s="49">
        <f t="shared" si="10"/>
        <v>29300</v>
      </c>
      <c r="M185" s="50">
        <f t="shared" si="11"/>
        <v>0</v>
      </c>
      <c r="N185" s="143"/>
      <c r="O185" s="26"/>
    </row>
    <row r="186" spans="1:15" x14ac:dyDescent="0.25">
      <c r="A186" s="54">
        <v>45162</v>
      </c>
      <c r="B186" s="24">
        <f t="shared" si="8"/>
        <v>8</v>
      </c>
      <c r="C186" s="24">
        <f t="shared" si="9"/>
        <v>2023</v>
      </c>
      <c r="D186" s="104" t="s">
        <v>109</v>
      </c>
      <c r="E186" s="104" t="s">
        <v>92</v>
      </c>
      <c r="F186" s="104" t="s">
        <v>196</v>
      </c>
      <c r="K186" s="61">
        <v>1500</v>
      </c>
      <c r="L186" s="49">
        <f t="shared" si="10"/>
        <v>27800</v>
      </c>
      <c r="M186" s="50">
        <f t="shared" si="11"/>
        <v>0</v>
      </c>
      <c r="N186" s="143"/>
      <c r="O186" s="26"/>
    </row>
    <row r="187" spans="1:15" x14ac:dyDescent="0.25">
      <c r="A187" s="54">
        <v>45162</v>
      </c>
      <c r="B187" s="24">
        <f t="shared" si="8"/>
        <v>8</v>
      </c>
      <c r="C187" s="24">
        <f t="shared" si="9"/>
        <v>2023</v>
      </c>
      <c r="D187" s="104" t="s">
        <v>89</v>
      </c>
      <c r="E187" s="104" t="s">
        <v>93</v>
      </c>
      <c r="F187" s="104" t="s">
        <v>225</v>
      </c>
      <c r="J187" s="61">
        <v>30000</v>
      </c>
      <c r="L187" s="49">
        <f t="shared" si="10"/>
        <v>57800</v>
      </c>
      <c r="M187" s="50">
        <f t="shared" si="11"/>
        <v>0</v>
      </c>
      <c r="N187" s="143"/>
      <c r="O187" s="26"/>
    </row>
    <row r="188" spans="1:15" x14ac:dyDescent="0.25">
      <c r="A188" s="54">
        <v>45162</v>
      </c>
      <c r="B188" s="24">
        <f t="shared" si="8"/>
        <v>8</v>
      </c>
      <c r="C188" s="24">
        <f t="shared" si="9"/>
        <v>2023</v>
      </c>
      <c r="D188" s="104" t="s">
        <v>112</v>
      </c>
      <c r="E188" s="104" t="s">
        <v>93</v>
      </c>
      <c r="K188" s="61">
        <v>8000</v>
      </c>
      <c r="L188" s="49">
        <f t="shared" si="10"/>
        <v>49800</v>
      </c>
      <c r="M188" s="50">
        <f t="shared" si="11"/>
        <v>0</v>
      </c>
      <c r="N188" s="143"/>
      <c r="O188" s="26"/>
    </row>
    <row r="189" spans="1:15" x14ac:dyDescent="0.25">
      <c r="A189" s="54">
        <v>45162</v>
      </c>
      <c r="B189" s="24">
        <f t="shared" si="8"/>
        <v>8</v>
      </c>
      <c r="C189" s="24">
        <f t="shared" si="9"/>
        <v>2023</v>
      </c>
      <c r="D189" s="104" t="s">
        <v>89</v>
      </c>
      <c r="E189" s="104" t="s">
        <v>93</v>
      </c>
      <c r="F189" s="104" t="s">
        <v>226</v>
      </c>
      <c r="J189" s="61">
        <v>31560</v>
      </c>
      <c r="L189" s="49">
        <f t="shared" si="10"/>
        <v>81360</v>
      </c>
      <c r="M189" s="50">
        <f t="shared" si="11"/>
        <v>0</v>
      </c>
      <c r="N189" s="143"/>
      <c r="O189" s="26"/>
    </row>
    <row r="190" spans="1:15" x14ac:dyDescent="0.25">
      <c r="A190" s="54">
        <v>45162</v>
      </c>
      <c r="B190" s="24">
        <f t="shared" si="8"/>
        <v>8</v>
      </c>
      <c r="C190" s="24">
        <f t="shared" si="9"/>
        <v>2023</v>
      </c>
      <c r="D190" s="104" t="s">
        <v>122</v>
      </c>
      <c r="E190" s="104" t="s">
        <v>93</v>
      </c>
      <c r="K190" s="61">
        <v>51360</v>
      </c>
      <c r="L190" s="49">
        <f t="shared" si="10"/>
        <v>30000</v>
      </c>
      <c r="M190" s="50">
        <f t="shared" si="11"/>
        <v>0</v>
      </c>
      <c r="N190" s="143"/>
      <c r="O190" s="26"/>
    </row>
    <row r="191" spans="1:15" x14ac:dyDescent="0.25">
      <c r="A191" s="54">
        <v>45163</v>
      </c>
      <c r="B191" s="24">
        <f t="shared" si="8"/>
        <v>8</v>
      </c>
      <c r="C191" s="24">
        <f t="shared" si="9"/>
        <v>2023</v>
      </c>
      <c r="D191" s="104" t="s">
        <v>109</v>
      </c>
      <c r="E191" s="104" t="s">
        <v>92</v>
      </c>
      <c r="F191" s="104" t="s">
        <v>227</v>
      </c>
      <c r="K191" s="61">
        <v>12000</v>
      </c>
      <c r="L191" s="49">
        <f t="shared" si="10"/>
        <v>18000</v>
      </c>
      <c r="M191" s="50">
        <f t="shared" si="11"/>
        <v>0</v>
      </c>
      <c r="N191" s="143"/>
      <c r="O191" s="26"/>
    </row>
    <row r="192" spans="1:15" x14ac:dyDescent="0.25">
      <c r="A192" s="54">
        <v>45163</v>
      </c>
      <c r="B192" s="24">
        <f t="shared" si="8"/>
        <v>8</v>
      </c>
      <c r="C192" s="24">
        <f t="shared" si="9"/>
        <v>2023</v>
      </c>
      <c r="D192" s="104" t="s">
        <v>109</v>
      </c>
      <c r="E192" s="104" t="s">
        <v>93</v>
      </c>
      <c r="F192" s="104" t="s">
        <v>228</v>
      </c>
      <c r="K192" s="61">
        <v>4000</v>
      </c>
      <c r="L192" s="49">
        <f t="shared" si="10"/>
        <v>14000</v>
      </c>
      <c r="M192" s="50">
        <f t="shared" si="11"/>
        <v>0</v>
      </c>
      <c r="N192" s="143"/>
      <c r="O192" s="26"/>
    </row>
    <row r="193" spans="1:15" x14ac:dyDescent="0.25">
      <c r="A193" s="54">
        <v>45163</v>
      </c>
      <c r="B193" s="24">
        <f t="shared" si="8"/>
        <v>8</v>
      </c>
      <c r="C193" s="24">
        <f t="shared" si="9"/>
        <v>2023</v>
      </c>
      <c r="D193" s="104" t="s">
        <v>109</v>
      </c>
      <c r="E193" s="104" t="s">
        <v>93</v>
      </c>
      <c r="F193" s="104" t="s">
        <v>229</v>
      </c>
      <c r="K193" s="61">
        <v>600</v>
      </c>
      <c r="L193" s="49">
        <f t="shared" si="10"/>
        <v>13400</v>
      </c>
      <c r="M193" s="50">
        <f t="shared" si="11"/>
        <v>0</v>
      </c>
      <c r="N193" s="143"/>
      <c r="O193" s="26"/>
    </row>
    <row r="194" spans="1:15" x14ac:dyDescent="0.25">
      <c r="A194" s="54">
        <v>45163</v>
      </c>
      <c r="B194" s="24">
        <f t="shared" si="8"/>
        <v>8</v>
      </c>
      <c r="C194" s="24">
        <f t="shared" si="9"/>
        <v>2023</v>
      </c>
      <c r="D194" s="104" t="s">
        <v>89</v>
      </c>
      <c r="E194" s="104" t="s">
        <v>93</v>
      </c>
      <c r="F194" s="104" t="s">
        <v>230</v>
      </c>
      <c r="J194" s="61">
        <v>30500</v>
      </c>
      <c r="L194" s="49">
        <f t="shared" si="10"/>
        <v>43900</v>
      </c>
      <c r="M194" s="50">
        <f t="shared" si="11"/>
        <v>0</v>
      </c>
      <c r="N194" s="143"/>
      <c r="O194" s="26"/>
    </row>
    <row r="195" spans="1:15" x14ac:dyDescent="0.25">
      <c r="A195" s="54">
        <v>45163</v>
      </c>
      <c r="B195" s="24">
        <f t="shared" ref="B195:B258" si="12">MONTH(A195)</f>
        <v>8</v>
      </c>
      <c r="C195" s="24">
        <f t="shared" ref="C195:C258" si="13">YEAR(A195)</f>
        <v>2023</v>
      </c>
      <c r="D195" s="104" t="s">
        <v>89</v>
      </c>
      <c r="E195" s="104" t="s">
        <v>93</v>
      </c>
      <c r="F195" s="104" t="s">
        <v>231</v>
      </c>
      <c r="J195" s="61">
        <v>20000</v>
      </c>
      <c r="L195" s="49">
        <f t="shared" si="10"/>
        <v>63900</v>
      </c>
      <c r="M195" s="50">
        <f t="shared" si="11"/>
        <v>0</v>
      </c>
      <c r="N195" s="143"/>
      <c r="O195" s="26"/>
    </row>
    <row r="196" spans="1:15" x14ac:dyDescent="0.25">
      <c r="A196" s="54">
        <v>45163</v>
      </c>
      <c r="B196" s="24">
        <f t="shared" si="12"/>
        <v>8</v>
      </c>
      <c r="C196" s="24">
        <f t="shared" si="13"/>
        <v>2023</v>
      </c>
      <c r="D196" s="104" t="s">
        <v>89</v>
      </c>
      <c r="E196" s="104" t="s">
        <v>93</v>
      </c>
      <c r="F196" s="104" t="s">
        <v>232</v>
      </c>
      <c r="J196" s="61">
        <v>125200</v>
      </c>
      <c r="L196" s="49">
        <f t="shared" ref="L196:L259" si="14">IF((L195+M195+J196-K196)&gt;0,(L195+M195+J196-K196),0)</f>
        <v>189100</v>
      </c>
      <c r="M196" s="50">
        <f t="shared" ref="M196:M259" si="15">IF((L195+M195+J196-K196)&lt;0,(L195+M195+J196-K196),0)</f>
        <v>0</v>
      </c>
      <c r="N196" s="143"/>
      <c r="O196" s="26"/>
    </row>
    <row r="197" spans="1:15" x14ac:dyDescent="0.25">
      <c r="A197" s="54">
        <v>45163</v>
      </c>
      <c r="B197" s="24">
        <f t="shared" si="12"/>
        <v>8</v>
      </c>
      <c r="C197" s="24">
        <f t="shared" si="13"/>
        <v>2023</v>
      </c>
      <c r="D197" s="104" t="s">
        <v>123</v>
      </c>
      <c r="E197" s="104" t="s">
        <v>92</v>
      </c>
      <c r="J197" s="61">
        <v>162380.79999999999</v>
      </c>
      <c r="L197" s="49">
        <f t="shared" si="14"/>
        <v>351480.8</v>
      </c>
      <c r="M197" s="50">
        <f t="shared" si="15"/>
        <v>0</v>
      </c>
      <c r="N197" s="143"/>
      <c r="O197" s="26"/>
    </row>
    <row r="198" spans="1:15" x14ac:dyDescent="0.25">
      <c r="A198" s="54">
        <v>45163</v>
      </c>
      <c r="B198" s="24">
        <f t="shared" si="12"/>
        <v>8</v>
      </c>
      <c r="C198" s="24">
        <f t="shared" si="13"/>
        <v>2023</v>
      </c>
      <c r="D198" s="104" t="s">
        <v>109</v>
      </c>
      <c r="E198" s="104" t="s">
        <v>92</v>
      </c>
      <c r="F198" s="104" t="s">
        <v>233</v>
      </c>
      <c r="K198" s="61">
        <v>162380.79999999999</v>
      </c>
      <c r="L198" s="49">
        <f t="shared" si="14"/>
        <v>189100</v>
      </c>
      <c r="M198" s="50">
        <f t="shared" si="15"/>
        <v>0</v>
      </c>
      <c r="N198" s="143"/>
      <c r="O198" s="26"/>
    </row>
    <row r="199" spans="1:15" x14ac:dyDescent="0.25">
      <c r="A199" s="54">
        <v>45163</v>
      </c>
      <c r="B199" s="24">
        <f t="shared" si="12"/>
        <v>8</v>
      </c>
      <c r="C199" s="24">
        <f t="shared" si="13"/>
        <v>2023</v>
      </c>
      <c r="L199" s="49">
        <f t="shared" si="14"/>
        <v>189100</v>
      </c>
      <c r="M199" s="50">
        <f t="shared" si="15"/>
        <v>0</v>
      </c>
      <c r="N199" s="143"/>
      <c r="O199" s="26"/>
    </row>
    <row r="200" spans="1:15" x14ac:dyDescent="0.25">
      <c r="A200" s="54">
        <v>45164</v>
      </c>
      <c r="B200" s="24">
        <f t="shared" si="12"/>
        <v>8</v>
      </c>
      <c r="C200" s="24">
        <f t="shared" si="13"/>
        <v>2023</v>
      </c>
      <c r="D200" s="104" t="s">
        <v>123</v>
      </c>
      <c r="E200" s="104" t="s">
        <v>93</v>
      </c>
      <c r="J200" s="61">
        <v>215000</v>
      </c>
      <c r="L200" s="49">
        <f t="shared" si="14"/>
        <v>404100</v>
      </c>
      <c r="M200" s="50">
        <f t="shared" si="15"/>
        <v>0</v>
      </c>
      <c r="N200" s="143"/>
      <c r="O200" s="26"/>
    </row>
    <row r="201" spans="1:15" x14ac:dyDescent="0.25">
      <c r="A201" s="54">
        <v>45164</v>
      </c>
      <c r="B201" s="24">
        <f t="shared" si="12"/>
        <v>8</v>
      </c>
      <c r="C201" s="24">
        <f t="shared" si="13"/>
        <v>2023</v>
      </c>
      <c r="D201" s="104" t="s">
        <v>92</v>
      </c>
      <c r="E201" s="104" t="s">
        <v>93</v>
      </c>
      <c r="F201" s="104" t="s">
        <v>213</v>
      </c>
      <c r="K201" s="61">
        <v>215000</v>
      </c>
      <c r="L201" s="49">
        <f t="shared" si="14"/>
        <v>189100</v>
      </c>
      <c r="M201" s="50">
        <f t="shared" si="15"/>
        <v>0</v>
      </c>
      <c r="N201" s="143"/>
      <c r="O201" s="26"/>
    </row>
    <row r="202" spans="1:15" x14ac:dyDescent="0.25">
      <c r="A202" s="54">
        <v>45164</v>
      </c>
      <c r="B202" s="24">
        <f t="shared" si="12"/>
        <v>8</v>
      </c>
      <c r="C202" s="24">
        <f t="shared" si="13"/>
        <v>2023</v>
      </c>
      <c r="D202" s="104" t="s">
        <v>122</v>
      </c>
      <c r="E202" s="104" t="s">
        <v>93</v>
      </c>
      <c r="K202" s="61">
        <v>159100</v>
      </c>
      <c r="L202" s="49">
        <f t="shared" si="14"/>
        <v>30000</v>
      </c>
      <c r="M202" s="50">
        <f t="shared" si="15"/>
        <v>0</v>
      </c>
      <c r="N202" s="143"/>
      <c r="O202" s="26"/>
    </row>
    <row r="203" spans="1:15" x14ac:dyDescent="0.25">
      <c r="A203" s="54">
        <v>45166</v>
      </c>
      <c r="B203" s="24">
        <f t="shared" si="12"/>
        <v>8</v>
      </c>
      <c r="C203" s="24">
        <f t="shared" si="13"/>
        <v>2023</v>
      </c>
      <c r="D203" s="104" t="s">
        <v>51</v>
      </c>
      <c r="E203" s="104" t="s">
        <v>93</v>
      </c>
      <c r="F203" s="104" t="s">
        <v>234</v>
      </c>
      <c r="K203" s="61">
        <v>4500</v>
      </c>
      <c r="L203" s="49">
        <f t="shared" si="14"/>
        <v>25500</v>
      </c>
      <c r="M203" s="50">
        <f t="shared" si="15"/>
        <v>0</v>
      </c>
      <c r="N203" s="143"/>
      <c r="O203" s="26"/>
    </row>
    <row r="204" spans="1:15" x14ac:dyDescent="0.25">
      <c r="A204" s="54">
        <v>45166</v>
      </c>
      <c r="B204" s="24">
        <f t="shared" si="12"/>
        <v>8</v>
      </c>
      <c r="C204" s="24">
        <f t="shared" si="13"/>
        <v>2023</v>
      </c>
      <c r="D204" s="104" t="s">
        <v>89</v>
      </c>
      <c r="E204" s="104" t="s">
        <v>93</v>
      </c>
      <c r="F204" s="104" t="s">
        <v>235</v>
      </c>
      <c r="J204" s="61">
        <v>53000</v>
      </c>
      <c r="L204" s="49">
        <f t="shared" si="14"/>
        <v>78500</v>
      </c>
      <c r="M204" s="50">
        <f t="shared" si="15"/>
        <v>0</v>
      </c>
      <c r="N204" s="143"/>
      <c r="O204" s="26"/>
    </row>
    <row r="205" spans="1:15" x14ac:dyDescent="0.25">
      <c r="A205" s="54">
        <v>45167</v>
      </c>
      <c r="B205" s="24">
        <f t="shared" si="12"/>
        <v>8</v>
      </c>
      <c r="C205" s="24">
        <f t="shared" si="13"/>
        <v>2023</v>
      </c>
      <c r="D205" s="104" t="s">
        <v>92</v>
      </c>
      <c r="E205" s="104" t="s">
        <v>92</v>
      </c>
      <c r="F205" s="104" t="s">
        <v>238</v>
      </c>
      <c r="K205" s="61">
        <v>4800</v>
      </c>
      <c r="L205" s="49">
        <f t="shared" si="14"/>
        <v>73700</v>
      </c>
      <c r="M205" s="50">
        <f t="shared" si="15"/>
        <v>0</v>
      </c>
      <c r="N205" s="143"/>
      <c r="O205" s="26"/>
    </row>
    <row r="206" spans="1:15" x14ac:dyDescent="0.25">
      <c r="A206" s="54">
        <v>45167</v>
      </c>
      <c r="B206" s="24">
        <f t="shared" si="12"/>
        <v>8</v>
      </c>
      <c r="C206" s="24">
        <f t="shared" si="13"/>
        <v>2023</v>
      </c>
      <c r="D206" s="104" t="s">
        <v>109</v>
      </c>
      <c r="E206" s="104" t="s">
        <v>93</v>
      </c>
      <c r="F206" s="104" t="s">
        <v>239</v>
      </c>
      <c r="K206" s="61">
        <v>1500</v>
      </c>
      <c r="L206" s="49">
        <f t="shared" si="14"/>
        <v>72200</v>
      </c>
      <c r="M206" s="50">
        <f t="shared" si="15"/>
        <v>0</v>
      </c>
      <c r="N206" s="143"/>
      <c r="O206" s="26"/>
    </row>
    <row r="207" spans="1:15" x14ac:dyDescent="0.25">
      <c r="A207" s="54">
        <v>45167</v>
      </c>
      <c r="B207" s="24">
        <f t="shared" si="12"/>
        <v>8</v>
      </c>
      <c r="C207" s="24">
        <f t="shared" si="13"/>
        <v>2023</v>
      </c>
      <c r="D207" s="104" t="s">
        <v>110</v>
      </c>
      <c r="E207" s="104" t="s">
        <v>93</v>
      </c>
      <c r="F207" s="104" t="s">
        <v>240</v>
      </c>
      <c r="J207" s="61">
        <v>2000</v>
      </c>
      <c r="L207" s="49">
        <f t="shared" si="14"/>
        <v>74200</v>
      </c>
      <c r="M207" s="50">
        <f t="shared" si="15"/>
        <v>0</v>
      </c>
      <c r="N207" s="143"/>
      <c r="O207" s="26"/>
    </row>
    <row r="208" spans="1:15" x14ac:dyDescent="0.25">
      <c r="A208" s="54">
        <v>45167</v>
      </c>
      <c r="B208" s="24">
        <f t="shared" si="12"/>
        <v>8</v>
      </c>
      <c r="C208" s="24">
        <f t="shared" si="13"/>
        <v>2023</v>
      </c>
      <c r="D208" s="104" t="s">
        <v>122</v>
      </c>
      <c r="E208" s="104" t="s">
        <v>93</v>
      </c>
      <c r="K208" s="61">
        <v>44200</v>
      </c>
      <c r="L208" s="49">
        <f t="shared" si="14"/>
        <v>30000</v>
      </c>
      <c r="M208" s="50">
        <f t="shared" si="15"/>
        <v>0</v>
      </c>
      <c r="N208" s="143"/>
      <c r="O208" s="26"/>
    </row>
    <row r="209" spans="1:15" x14ac:dyDescent="0.25">
      <c r="A209" s="54">
        <v>45168</v>
      </c>
      <c r="B209" s="24">
        <f t="shared" si="12"/>
        <v>8</v>
      </c>
      <c r="C209" s="24">
        <f t="shared" si="13"/>
        <v>2023</v>
      </c>
      <c r="D209" s="104" t="s">
        <v>89</v>
      </c>
      <c r="E209" s="104" t="s">
        <v>93</v>
      </c>
      <c r="F209" s="104" t="s">
        <v>242</v>
      </c>
      <c r="J209" s="61">
        <v>80900</v>
      </c>
      <c r="L209" s="49">
        <f t="shared" si="14"/>
        <v>110900</v>
      </c>
      <c r="M209" s="50">
        <f t="shared" si="15"/>
        <v>0</v>
      </c>
      <c r="N209" s="143"/>
      <c r="O209" s="26"/>
    </row>
    <row r="210" spans="1:15" x14ac:dyDescent="0.25">
      <c r="A210" s="54">
        <v>45168</v>
      </c>
      <c r="B210" s="24">
        <f t="shared" si="12"/>
        <v>8</v>
      </c>
      <c r="C210" s="24">
        <f t="shared" si="13"/>
        <v>2023</v>
      </c>
      <c r="D210" s="104" t="s">
        <v>89</v>
      </c>
      <c r="E210" s="104" t="s">
        <v>93</v>
      </c>
      <c r="F210" s="104" t="s">
        <v>243</v>
      </c>
      <c r="J210" s="61">
        <v>290000</v>
      </c>
      <c r="L210" s="49">
        <f t="shared" si="14"/>
        <v>400900</v>
      </c>
      <c r="M210" s="50">
        <f t="shared" si="15"/>
        <v>0</v>
      </c>
      <c r="N210" s="143"/>
      <c r="O210" s="26"/>
    </row>
    <row r="211" spans="1:15" x14ac:dyDescent="0.25">
      <c r="A211" s="54">
        <v>45168</v>
      </c>
      <c r="B211" s="24">
        <f t="shared" si="12"/>
        <v>8</v>
      </c>
      <c r="C211" s="24">
        <f t="shared" si="13"/>
        <v>2023</v>
      </c>
      <c r="D211" s="104" t="s">
        <v>124</v>
      </c>
      <c r="E211" s="104" t="s">
        <v>93</v>
      </c>
      <c r="F211" s="104" t="s">
        <v>244</v>
      </c>
      <c r="K211" s="61">
        <v>41700</v>
      </c>
      <c r="L211" s="49">
        <f t="shared" si="14"/>
        <v>359200</v>
      </c>
      <c r="M211" s="50">
        <f t="shared" si="15"/>
        <v>0</v>
      </c>
      <c r="N211" s="143"/>
      <c r="O211" s="26"/>
    </row>
    <row r="212" spans="1:15" x14ac:dyDescent="0.25">
      <c r="A212" s="54">
        <v>45168</v>
      </c>
      <c r="B212" s="24">
        <f t="shared" si="12"/>
        <v>8</v>
      </c>
      <c r="C212" s="24">
        <f t="shared" si="13"/>
        <v>2023</v>
      </c>
      <c r="D212" s="104" t="s">
        <v>124</v>
      </c>
      <c r="E212" s="104" t="s">
        <v>93</v>
      </c>
      <c r="F212" s="104" t="s">
        <v>245</v>
      </c>
      <c r="K212" s="61">
        <v>231000</v>
      </c>
      <c r="L212" s="49">
        <f t="shared" si="14"/>
        <v>128200</v>
      </c>
      <c r="M212" s="50">
        <f t="shared" si="15"/>
        <v>0</v>
      </c>
      <c r="N212" s="143"/>
      <c r="O212" s="26"/>
    </row>
    <row r="213" spans="1:15" x14ac:dyDescent="0.25">
      <c r="A213" s="54">
        <v>45168</v>
      </c>
      <c r="B213" s="24">
        <f t="shared" si="12"/>
        <v>8</v>
      </c>
      <c r="C213" s="24">
        <f t="shared" si="13"/>
        <v>2023</v>
      </c>
      <c r="D213" s="104" t="s">
        <v>123</v>
      </c>
      <c r="E213" s="104" t="s">
        <v>92</v>
      </c>
      <c r="J213" s="61">
        <v>5000</v>
      </c>
      <c r="L213" s="49">
        <f t="shared" si="14"/>
        <v>133200</v>
      </c>
      <c r="M213" s="50">
        <f t="shared" si="15"/>
        <v>0</v>
      </c>
      <c r="N213" s="143"/>
      <c r="O213" s="26"/>
    </row>
    <row r="214" spans="1:15" x14ac:dyDescent="0.25">
      <c r="A214" s="54">
        <v>45168</v>
      </c>
      <c r="B214" s="24">
        <f t="shared" si="12"/>
        <v>8</v>
      </c>
      <c r="C214" s="24">
        <f t="shared" si="13"/>
        <v>2023</v>
      </c>
      <c r="D214" s="104" t="s">
        <v>109</v>
      </c>
      <c r="E214" s="104" t="s">
        <v>92</v>
      </c>
      <c r="F214" s="104" t="s">
        <v>246</v>
      </c>
      <c r="K214" s="61">
        <v>5000</v>
      </c>
      <c r="L214" s="49">
        <f t="shared" si="14"/>
        <v>128200</v>
      </c>
      <c r="M214" s="50">
        <f t="shared" si="15"/>
        <v>0</v>
      </c>
      <c r="N214" s="143"/>
      <c r="O214" s="26"/>
    </row>
    <row r="215" spans="1:15" x14ac:dyDescent="0.25">
      <c r="A215" s="54">
        <v>45168</v>
      </c>
      <c r="B215" s="24">
        <f t="shared" si="12"/>
        <v>8</v>
      </c>
      <c r="C215" s="24">
        <f t="shared" si="13"/>
        <v>2023</v>
      </c>
      <c r="D215" s="104" t="s">
        <v>109</v>
      </c>
      <c r="E215" s="104" t="s">
        <v>92</v>
      </c>
      <c r="F215" s="104" t="s">
        <v>247</v>
      </c>
      <c r="K215" s="61">
        <v>2000</v>
      </c>
      <c r="L215" s="49">
        <f t="shared" si="14"/>
        <v>126200</v>
      </c>
      <c r="M215" s="50">
        <f t="shared" si="15"/>
        <v>0</v>
      </c>
      <c r="N215" s="143"/>
      <c r="O215" s="26"/>
    </row>
    <row r="216" spans="1:15" x14ac:dyDescent="0.25">
      <c r="A216" s="54">
        <v>45168</v>
      </c>
      <c r="B216" s="24">
        <f t="shared" si="12"/>
        <v>8</v>
      </c>
      <c r="C216" s="24">
        <f t="shared" si="13"/>
        <v>2023</v>
      </c>
      <c r="D216" s="104" t="s">
        <v>109</v>
      </c>
      <c r="E216" s="104" t="s">
        <v>93</v>
      </c>
      <c r="F216" s="104" t="s">
        <v>248</v>
      </c>
      <c r="K216" s="61">
        <v>15000</v>
      </c>
      <c r="L216" s="49">
        <f t="shared" si="14"/>
        <v>111200</v>
      </c>
      <c r="M216" s="50">
        <f t="shared" si="15"/>
        <v>0</v>
      </c>
      <c r="N216" s="143"/>
      <c r="O216" s="26"/>
    </row>
    <row r="217" spans="1:15" x14ac:dyDescent="0.25">
      <c r="A217" s="54">
        <v>45168</v>
      </c>
      <c r="B217" s="24">
        <f t="shared" si="12"/>
        <v>8</v>
      </c>
      <c r="C217" s="24">
        <f t="shared" si="13"/>
        <v>2023</v>
      </c>
      <c r="D217" s="104" t="s">
        <v>122</v>
      </c>
      <c r="E217" s="104" t="s">
        <v>93</v>
      </c>
      <c r="K217" s="61">
        <v>81200</v>
      </c>
      <c r="L217" s="49">
        <f t="shared" si="14"/>
        <v>30000</v>
      </c>
      <c r="M217" s="50">
        <f t="shared" si="15"/>
        <v>0</v>
      </c>
      <c r="N217" s="143"/>
      <c r="O217" s="26"/>
    </row>
    <row r="218" spans="1:15" x14ac:dyDescent="0.25">
      <c r="A218" s="54">
        <v>45169</v>
      </c>
      <c r="B218" s="24">
        <f t="shared" si="12"/>
        <v>8</v>
      </c>
      <c r="C218" s="24">
        <f t="shared" si="13"/>
        <v>2023</v>
      </c>
      <c r="D218" s="104" t="s">
        <v>89</v>
      </c>
      <c r="E218" s="104" t="s">
        <v>93</v>
      </c>
      <c r="J218" s="61">
        <v>22000</v>
      </c>
      <c r="L218" s="49">
        <f t="shared" si="14"/>
        <v>52000</v>
      </c>
      <c r="M218" s="50">
        <f t="shared" si="15"/>
        <v>0</v>
      </c>
      <c r="N218" s="143"/>
      <c r="O218" s="26"/>
    </row>
    <row r="219" spans="1:15" x14ac:dyDescent="0.25">
      <c r="A219" s="54">
        <v>45169</v>
      </c>
      <c r="B219" s="24">
        <f t="shared" si="12"/>
        <v>8</v>
      </c>
      <c r="C219" s="24">
        <f t="shared" si="13"/>
        <v>2023</v>
      </c>
      <c r="D219" s="104" t="s">
        <v>109</v>
      </c>
      <c r="E219" s="104" t="s">
        <v>93</v>
      </c>
      <c r="F219" s="104" t="s">
        <v>250</v>
      </c>
      <c r="K219" s="61">
        <v>9710</v>
      </c>
      <c r="L219" s="49">
        <f t="shared" si="14"/>
        <v>42290</v>
      </c>
      <c r="M219" s="50">
        <f t="shared" si="15"/>
        <v>0</v>
      </c>
      <c r="N219" s="143"/>
      <c r="O219" s="26"/>
    </row>
    <row r="220" spans="1:15" x14ac:dyDescent="0.25">
      <c r="A220" s="54">
        <v>45169</v>
      </c>
      <c r="B220" s="24">
        <f t="shared" si="12"/>
        <v>8</v>
      </c>
      <c r="C220" s="24">
        <f t="shared" si="13"/>
        <v>2023</v>
      </c>
      <c r="D220" s="104" t="s">
        <v>110</v>
      </c>
      <c r="E220" s="104" t="s">
        <v>93</v>
      </c>
      <c r="F220" s="104" t="s">
        <v>251</v>
      </c>
      <c r="J220" s="61">
        <v>3700</v>
      </c>
      <c r="L220" s="49">
        <f t="shared" si="14"/>
        <v>45990</v>
      </c>
      <c r="M220" s="50">
        <f t="shared" si="15"/>
        <v>0</v>
      </c>
      <c r="N220" s="143"/>
      <c r="O220" s="26"/>
    </row>
    <row r="221" spans="1:15" x14ac:dyDescent="0.25">
      <c r="A221" s="54">
        <v>45169</v>
      </c>
      <c r="B221" s="24">
        <f t="shared" si="12"/>
        <v>8</v>
      </c>
      <c r="C221" s="24">
        <f t="shared" si="13"/>
        <v>2023</v>
      </c>
      <c r="D221" s="104" t="s">
        <v>89</v>
      </c>
      <c r="E221" s="104" t="s">
        <v>93</v>
      </c>
      <c r="F221" s="104" t="s">
        <v>252</v>
      </c>
      <c r="J221" s="61">
        <v>33240</v>
      </c>
      <c r="L221" s="49">
        <f t="shared" si="14"/>
        <v>79230</v>
      </c>
      <c r="M221" s="50">
        <f t="shared" si="15"/>
        <v>0</v>
      </c>
      <c r="N221" s="143"/>
      <c r="O221" s="26"/>
    </row>
    <row r="222" spans="1:15" x14ac:dyDescent="0.25">
      <c r="A222" s="54">
        <v>45169</v>
      </c>
      <c r="B222" s="24">
        <f t="shared" si="12"/>
        <v>8</v>
      </c>
      <c r="C222" s="24">
        <f t="shared" si="13"/>
        <v>2023</v>
      </c>
      <c r="D222" s="104" t="s">
        <v>109</v>
      </c>
      <c r="E222" s="104" t="s">
        <v>93</v>
      </c>
      <c r="F222" s="104" t="s">
        <v>253</v>
      </c>
      <c r="K222" s="61">
        <v>3000</v>
      </c>
      <c r="L222" s="49">
        <f t="shared" si="14"/>
        <v>76230</v>
      </c>
      <c r="M222" s="50">
        <f t="shared" si="15"/>
        <v>0</v>
      </c>
      <c r="N222" s="143"/>
      <c r="O222" s="26"/>
    </row>
    <row r="223" spans="1:15" x14ac:dyDescent="0.25">
      <c r="A223" s="54">
        <v>45169</v>
      </c>
      <c r="B223" s="24">
        <f t="shared" si="12"/>
        <v>8</v>
      </c>
      <c r="C223" s="24">
        <f t="shared" si="13"/>
        <v>2023</v>
      </c>
      <c r="D223" s="104" t="s">
        <v>51</v>
      </c>
      <c r="E223" s="104" t="s">
        <v>93</v>
      </c>
      <c r="F223" s="104" t="s">
        <v>255</v>
      </c>
      <c r="K223" s="61">
        <v>3000</v>
      </c>
      <c r="L223" s="49">
        <f t="shared" si="14"/>
        <v>73230</v>
      </c>
      <c r="M223" s="50">
        <f t="shared" si="15"/>
        <v>0</v>
      </c>
      <c r="N223" s="143"/>
      <c r="O223" s="26"/>
    </row>
    <row r="224" spans="1:15" x14ac:dyDescent="0.25">
      <c r="A224" s="54">
        <v>45169</v>
      </c>
      <c r="B224" s="24">
        <f t="shared" si="12"/>
        <v>8</v>
      </c>
      <c r="C224" s="24">
        <f t="shared" si="13"/>
        <v>2023</v>
      </c>
      <c r="D224" s="104" t="s">
        <v>89</v>
      </c>
      <c r="E224" s="104" t="s">
        <v>93</v>
      </c>
      <c r="F224" s="104" t="s">
        <v>256</v>
      </c>
      <c r="J224" s="61">
        <v>57650</v>
      </c>
      <c r="L224" s="49">
        <f t="shared" si="14"/>
        <v>130880</v>
      </c>
      <c r="M224" s="50">
        <f t="shared" si="15"/>
        <v>0</v>
      </c>
      <c r="N224" s="143"/>
      <c r="O224" s="26"/>
    </row>
    <row r="225" spans="1:19" x14ac:dyDescent="0.25">
      <c r="A225" s="54">
        <v>45169</v>
      </c>
      <c r="B225" s="24">
        <f t="shared" si="12"/>
        <v>8</v>
      </c>
      <c r="C225" s="24">
        <f t="shared" si="13"/>
        <v>2023</v>
      </c>
      <c r="D225" s="104" t="s">
        <v>89</v>
      </c>
      <c r="E225" s="104" t="s">
        <v>93</v>
      </c>
      <c r="F225" s="104" t="s">
        <v>179</v>
      </c>
      <c r="J225" s="61">
        <v>6000</v>
      </c>
      <c r="L225" s="49">
        <f t="shared" si="14"/>
        <v>136880</v>
      </c>
      <c r="M225" s="50">
        <f t="shared" si="15"/>
        <v>0</v>
      </c>
      <c r="N225" s="143"/>
      <c r="O225" s="26"/>
    </row>
    <row r="226" spans="1:19" x14ac:dyDescent="0.25">
      <c r="A226" s="54">
        <v>45169</v>
      </c>
      <c r="B226" s="24">
        <f t="shared" si="12"/>
        <v>8</v>
      </c>
      <c r="C226" s="24">
        <f t="shared" si="13"/>
        <v>2023</v>
      </c>
      <c r="D226" s="104" t="s">
        <v>122</v>
      </c>
      <c r="E226" s="104" t="s">
        <v>93</v>
      </c>
      <c r="K226" s="61">
        <v>106880</v>
      </c>
      <c r="L226" s="49">
        <f t="shared" si="14"/>
        <v>30000</v>
      </c>
      <c r="M226" s="50">
        <f t="shared" si="15"/>
        <v>0</v>
      </c>
      <c r="N226" s="143"/>
      <c r="O226" s="26"/>
    </row>
    <row r="227" spans="1:19" x14ac:dyDescent="0.25">
      <c r="A227" s="54">
        <v>45170</v>
      </c>
      <c r="B227" s="24">
        <f t="shared" si="12"/>
        <v>9</v>
      </c>
      <c r="C227" s="24">
        <f t="shared" si="13"/>
        <v>2023</v>
      </c>
      <c r="D227" s="104" t="s">
        <v>109</v>
      </c>
      <c r="E227" s="104" t="s">
        <v>93</v>
      </c>
      <c r="F227" s="104" t="s">
        <v>257</v>
      </c>
      <c r="K227" s="61">
        <v>5000</v>
      </c>
      <c r="L227" s="49">
        <f t="shared" si="14"/>
        <v>25000</v>
      </c>
      <c r="M227" s="50">
        <f t="shared" si="15"/>
        <v>0</v>
      </c>
      <c r="N227" s="143"/>
      <c r="O227" s="26"/>
    </row>
    <row r="228" spans="1:19" x14ac:dyDescent="0.25">
      <c r="A228" s="54">
        <v>45149</v>
      </c>
      <c r="B228" s="24">
        <f t="shared" si="12"/>
        <v>8</v>
      </c>
      <c r="C228" s="24">
        <f t="shared" si="13"/>
        <v>2023</v>
      </c>
      <c r="L228" s="49">
        <f t="shared" si="14"/>
        <v>25000</v>
      </c>
      <c r="M228" s="50">
        <f t="shared" si="15"/>
        <v>0</v>
      </c>
      <c r="N228" s="143"/>
      <c r="O228" s="26"/>
    </row>
    <row r="229" spans="1:19" x14ac:dyDescent="0.25">
      <c r="A229" s="54">
        <v>45170</v>
      </c>
      <c r="B229" s="24">
        <f t="shared" si="12"/>
        <v>9</v>
      </c>
      <c r="C229" s="24">
        <f t="shared" si="13"/>
        <v>2023</v>
      </c>
      <c r="D229" s="104" t="s">
        <v>89</v>
      </c>
      <c r="E229" s="104" t="s">
        <v>93</v>
      </c>
      <c r="F229" s="104" t="s">
        <v>258</v>
      </c>
      <c r="J229" s="61">
        <v>52000</v>
      </c>
      <c r="L229" s="49">
        <f t="shared" si="14"/>
        <v>77000</v>
      </c>
      <c r="M229" s="50">
        <f t="shared" si="15"/>
        <v>0</v>
      </c>
      <c r="N229" s="143"/>
      <c r="O229" s="26"/>
    </row>
    <row r="230" spans="1:19" x14ac:dyDescent="0.25">
      <c r="A230" s="54">
        <v>45170</v>
      </c>
      <c r="B230" s="24">
        <f t="shared" si="12"/>
        <v>9</v>
      </c>
      <c r="C230" s="24">
        <f t="shared" si="13"/>
        <v>2023</v>
      </c>
      <c r="D230" s="104" t="s">
        <v>110</v>
      </c>
      <c r="E230" s="104" t="s">
        <v>93</v>
      </c>
      <c r="F230" s="104" t="s">
        <v>262</v>
      </c>
      <c r="J230" s="61">
        <v>5000</v>
      </c>
      <c r="L230" s="49">
        <f t="shared" si="14"/>
        <v>82000</v>
      </c>
      <c r="M230" s="50">
        <f t="shared" si="15"/>
        <v>0</v>
      </c>
      <c r="N230" s="143"/>
      <c r="O230" s="26"/>
    </row>
    <row r="231" spans="1:19" x14ac:dyDescent="0.25">
      <c r="A231" s="54">
        <v>45170</v>
      </c>
      <c r="B231" s="24">
        <f t="shared" si="12"/>
        <v>9</v>
      </c>
      <c r="C231" s="24">
        <f t="shared" si="13"/>
        <v>2023</v>
      </c>
      <c r="D231" s="104" t="s">
        <v>89</v>
      </c>
      <c r="E231" s="104" t="s">
        <v>93</v>
      </c>
      <c r="F231" s="104" t="s">
        <v>159</v>
      </c>
      <c r="J231" s="61">
        <v>104000</v>
      </c>
      <c r="L231" s="49">
        <f t="shared" si="14"/>
        <v>186000</v>
      </c>
      <c r="M231" s="50">
        <f t="shared" si="15"/>
        <v>0</v>
      </c>
      <c r="N231" s="143"/>
      <c r="O231" s="26"/>
    </row>
    <row r="232" spans="1:19" x14ac:dyDescent="0.25">
      <c r="A232" s="54">
        <v>45170</v>
      </c>
      <c r="B232" s="24">
        <f t="shared" si="12"/>
        <v>9</v>
      </c>
      <c r="C232" s="24">
        <f t="shared" si="13"/>
        <v>2023</v>
      </c>
      <c r="D232" s="104" t="s">
        <v>51</v>
      </c>
      <c r="E232" s="104" t="s">
        <v>93</v>
      </c>
      <c r="F232" s="104" t="s">
        <v>259</v>
      </c>
      <c r="K232" s="61">
        <v>3000</v>
      </c>
      <c r="L232" s="49">
        <f t="shared" si="14"/>
        <v>183000</v>
      </c>
      <c r="M232" s="50">
        <f t="shared" si="15"/>
        <v>0</v>
      </c>
      <c r="N232" s="143"/>
      <c r="O232" s="26"/>
    </row>
    <row r="233" spans="1:19" x14ac:dyDescent="0.25">
      <c r="A233" s="54">
        <v>45170</v>
      </c>
      <c r="B233" s="24">
        <f t="shared" si="12"/>
        <v>9</v>
      </c>
      <c r="C233" s="24">
        <f t="shared" si="13"/>
        <v>2023</v>
      </c>
      <c r="D233" s="104" t="s">
        <v>89</v>
      </c>
      <c r="E233" s="104" t="s">
        <v>93</v>
      </c>
      <c r="F233" s="104" t="s">
        <v>261</v>
      </c>
      <c r="J233" s="61">
        <v>29880</v>
      </c>
      <c r="L233" s="49">
        <f t="shared" si="14"/>
        <v>212880</v>
      </c>
      <c r="M233" s="50">
        <f t="shared" si="15"/>
        <v>0</v>
      </c>
      <c r="N233" s="143"/>
      <c r="O233" s="26"/>
    </row>
    <row r="234" spans="1:19" x14ac:dyDescent="0.25">
      <c r="A234" s="54">
        <v>45170</v>
      </c>
      <c r="B234" s="24">
        <f t="shared" si="12"/>
        <v>9</v>
      </c>
      <c r="C234" s="24">
        <f t="shared" si="13"/>
        <v>2023</v>
      </c>
      <c r="D234" s="104" t="s">
        <v>89</v>
      </c>
      <c r="E234" s="104" t="s">
        <v>93</v>
      </c>
      <c r="F234" s="104" t="s">
        <v>225</v>
      </c>
      <c r="J234" s="61">
        <v>13175</v>
      </c>
      <c r="L234" s="49">
        <f t="shared" si="14"/>
        <v>226055</v>
      </c>
      <c r="M234" s="50">
        <f t="shared" si="15"/>
        <v>0</v>
      </c>
      <c r="N234" s="143"/>
      <c r="O234" s="26"/>
    </row>
    <row r="235" spans="1:19" x14ac:dyDescent="0.25">
      <c r="A235" s="54">
        <v>45170</v>
      </c>
      <c r="B235" s="24">
        <f t="shared" si="12"/>
        <v>9</v>
      </c>
      <c r="C235" s="24">
        <f t="shared" si="13"/>
        <v>2023</v>
      </c>
      <c r="D235" s="104" t="s">
        <v>122</v>
      </c>
      <c r="E235" s="104" t="s">
        <v>93</v>
      </c>
      <c r="K235" s="61">
        <v>196055</v>
      </c>
      <c r="L235" s="49">
        <f t="shared" si="14"/>
        <v>30000</v>
      </c>
      <c r="M235" s="50">
        <f t="shared" si="15"/>
        <v>0</v>
      </c>
      <c r="N235" s="143"/>
      <c r="O235" s="26"/>
    </row>
    <row r="236" spans="1:19" x14ac:dyDescent="0.25">
      <c r="A236" s="54">
        <v>45171</v>
      </c>
      <c r="B236" s="24">
        <f t="shared" si="12"/>
        <v>9</v>
      </c>
      <c r="C236" s="24">
        <f t="shared" si="13"/>
        <v>2023</v>
      </c>
      <c r="D236" s="104" t="s">
        <v>51</v>
      </c>
      <c r="E236" s="104" t="s">
        <v>93</v>
      </c>
      <c r="F236" s="104" t="s">
        <v>263</v>
      </c>
      <c r="K236" s="61">
        <v>4000</v>
      </c>
      <c r="L236" s="49">
        <f t="shared" si="14"/>
        <v>26000</v>
      </c>
      <c r="M236" s="50">
        <f t="shared" si="15"/>
        <v>0</v>
      </c>
      <c r="N236" s="143"/>
      <c r="O236" s="26"/>
    </row>
    <row r="237" spans="1:19" x14ac:dyDescent="0.25">
      <c r="A237" s="54">
        <v>45171</v>
      </c>
      <c r="B237" s="24">
        <f t="shared" si="12"/>
        <v>9</v>
      </c>
      <c r="C237" s="24">
        <f t="shared" si="13"/>
        <v>2023</v>
      </c>
      <c r="D237" s="104" t="s">
        <v>123</v>
      </c>
      <c r="E237" s="104" t="s">
        <v>93</v>
      </c>
      <c r="J237" s="61">
        <v>215000</v>
      </c>
      <c r="L237" s="49">
        <f t="shared" si="14"/>
        <v>241000</v>
      </c>
      <c r="M237" s="50">
        <f t="shared" si="15"/>
        <v>0</v>
      </c>
      <c r="N237" s="143"/>
      <c r="O237" s="26"/>
    </row>
    <row r="238" spans="1:19" x14ac:dyDescent="0.25">
      <c r="A238" s="54">
        <v>45171</v>
      </c>
      <c r="B238" s="24">
        <f t="shared" si="12"/>
        <v>9</v>
      </c>
      <c r="C238" s="24">
        <f t="shared" si="13"/>
        <v>2023</v>
      </c>
      <c r="D238" s="104" t="s">
        <v>501</v>
      </c>
      <c r="E238" s="104" t="s">
        <v>93</v>
      </c>
      <c r="F238" s="104" t="s">
        <v>213</v>
      </c>
      <c r="K238" s="61">
        <v>215000</v>
      </c>
      <c r="L238" s="49">
        <f t="shared" si="14"/>
        <v>26000</v>
      </c>
      <c r="M238" s="50">
        <f t="shared" si="15"/>
        <v>0</v>
      </c>
      <c r="N238" s="143"/>
      <c r="O238" s="26"/>
    </row>
    <row r="239" spans="1:19" x14ac:dyDescent="0.25">
      <c r="A239" s="54">
        <v>45171</v>
      </c>
      <c r="B239" s="24">
        <f t="shared" si="12"/>
        <v>9</v>
      </c>
      <c r="C239" s="24">
        <f t="shared" si="13"/>
        <v>2023</v>
      </c>
      <c r="D239" s="104" t="s">
        <v>123</v>
      </c>
      <c r="E239" s="104" t="s">
        <v>93</v>
      </c>
      <c r="J239" s="61">
        <v>4000</v>
      </c>
      <c r="L239" s="49">
        <f t="shared" si="14"/>
        <v>30000</v>
      </c>
      <c r="M239" s="50">
        <f t="shared" si="15"/>
        <v>0</v>
      </c>
      <c r="N239" s="143"/>
      <c r="O239" s="26"/>
    </row>
    <row r="240" spans="1:19" x14ac:dyDescent="0.25">
      <c r="A240" s="54">
        <v>45173</v>
      </c>
      <c r="B240" s="24">
        <f t="shared" si="12"/>
        <v>9</v>
      </c>
      <c r="C240" s="24">
        <f t="shared" si="13"/>
        <v>2023</v>
      </c>
      <c r="D240" s="104" t="s">
        <v>89</v>
      </c>
      <c r="E240" s="104" t="s">
        <v>93</v>
      </c>
      <c r="F240" s="104" t="s">
        <v>265</v>
      </c>
      <c r="J240" s="61">
        <v>28600</v>
      </c>
      <c r="L240" s="49">
        <f t="shared" si="14"/>
        <v>58600</v>
      </c>
      <c r="M240" s="50">
        <f t="shared" si="15"/>
        <v>0</v>
      </c>
      <c r="N240" s="143"/>
      <c r="O240" s="26"/>
      <c r="Q240" s="18"/>
      <c r="R240" s="18"/>
      <c r="S240" s="18"/>
    </row>
    <row r="241" spans="1:15" x14ac:dyDescent="0.25">
      <c r="A241" s="54">
        <v>45173</v>
      </c>
      <c r="B241" s="24">
        <f t="shared" si="12"/>
        <v>9</v>
      </c>
      <c r="C241" s="24">
        <f t="shared" si="13"/>
        <v>2023</v>
      </c>
      <c r="D241" s="104" t="s">
        <v>89</v>
      </c>
      <c r="E241" s="104" t="s">
        <v>93</v>
      </c>
      <c r="F241" s="104" t="s">
        <v>266</v>
      </c>
      <c r="J241" s="61">
        <v>30500</v>
      </c>
      <c r="L241" s="49">
        <f t="shared" si="14"/>
        <v>89100</v>
      </c>
      <c r="M241" s="50">
        <f t="shared" si="15"/>
        <v>0</v>
      </c>
      <c r="N241" s="143"/>
      <c r="O241" s="26"/>
    </row>
    <row r="242" spans="1:15" x14ac:dyDescent="0.25">
      <c r="A242" s="54">
        <v>45173</v>
      </c>
      <c r="B242" s="24">
        <f t="shared" si="12"/>
        <v>9</v>
      </c>
      <c r="C242" s="24">
        <f t="shared" si="13"/>
        <v>2023</v>
      </c>
      <c r="D242" s="104" t="s">
        <v>122</v>
      </c>
      <c r="E242" s="104" t="s">
        <v>93</v>
      </c>
      <c r="K242" s="61">
        <v>59100</v>
      </c>
      <c r="L242" s="49">
        <f t="shared" si="14"/>
        <v>30000</v>
      </c>
      <c r="M242" s="50">
        <f t="shared" si="15"/>
        <v>0</v>
      </c>
      <c r="N242" s="143"/>
      <c r="O242" s="26"/>
    </row>
    <row r="243" spans="1:15" x14ac:dyDescent="0.25">
      <c r="A243" s="54">
        <v>45174</v>
      </c>
      <c r="B243" s="24">
        <f t="shared" si="12"/>
        <v>9</v>
      </c>
      <c r="C243" s="24">
        <f t="shared" si="13"/>
        <v>2023</v>
      </c>
      <c r="D243" s="104" t="s">
        <v>124</v>
      </c>
      <c r="E243" s="104" t="s">
        <v>93</v>
      </c>
      <c r="F243" s="104" t="s">
        <v>268</v>
      </c>
      <c r="K243" s="61">
        <v>16150</v>
      </c>
      <c r="L243" s="49">
        <f t="shared" si="14"/>
        <v>13850</v>
      </c>
      <c r="M243" s="50">
        <f t="shared" si="15"/>
        <v>0</v>
      </c>
      <c r="N243" s="143"/>
      <c r="O243" s="26"/>
    </row>
    <row r="244" spans="1:15" x14ac:dyDescent="0.25">
      <c r="A244" s="54">
        <v>45174</v>
      </c>
      <c r="B244" s="24">
        <f t="shared" si="12"/>
        <v>9</v>
      </c>
      <c r="C244" s="24">
        <f t="shared" si="13"/>
        <v>2023</v>
      </c>
      <c r="D244" s="104" t="s">
        <v>123</v>
      </c>
      <c r="E244" s="104" t="s">
        <v>93</v>
      </c>
      <c r="J244" s="61">
        <v>95700</v>
      </c>
      <c r="L244" s="49">
        <f t="shared" si="14"/>
        <v>109550</v>
      </c>
      <c r="M244" s="50">
        <f t="shared" si="15"/>
        <v>0</v>
      </c>
      <c r="N244" s="143"/>
      <c r="O244" s="26"/>
    </row>
    <row r="245" spans="1:15" x14ac:dyDescent="0.25">
      <c r="A245" s="54">
        <v>45174</v>
      </c>
      <c r="B245" s="24">
        <f t="shared" si="12"/>
        <v>9</v>
      </c>
      <c r="C245" s="24">
        <f t="shared" si="13"/>
        <v>2023</v>
      </c>
      <c r="D245" s="104" t="s">
        <v>109</v>
      </c>
      <c r="E245" s="104" t="s">
        <v>93</v>
      </c>
      <c r="F245" s="104" t="s">
        <v>269</v>
      </c>
      <c r="K245" s="61">
        <v>95700</v>
      </c>
      <c r="L245" s="49">
        <f t="shared" si="14"/>
        <v>13850</v>
      </c>
      <c r="M245" s="50">
        <f t="shared" si="15"/>
        <v>0</v>
      </c>
      <c r="N245" s="143"/>
      <c r="O245" s="26"/>
    </row>
    <row r="246" spans="1:15" x14ac:dyDescent="0.25">
      <c r="A246" s="54">
        <v>45174</v>
      </c>
      <c r="B246" s="24">
        <f t="shared" si="12"/>
        <v>9</v>
      </c>
      <c r="C246" s="24">
        <f t="shared" si="13"/>
        <v>2023</v>
      </c>
      <c r="D246" s="104" t="s">
        <v>109</v>
      </c>
      <c r="E246" s="104" t="s">
        <v>93</v>
      </c>
      <c r="F246" s="104" t="s">
        <v>574</v>
      </c>
      <c r="K246" s="61">
        <v>6000</v>
      </c>
      <c r="L246" s="49">
        <f t="shared" si="14"/>
        <v>7850</v>
      </c>
      <c r="M246" s="50">
        <f t="shared" si="15"/>
        <v>0</v>
      </c>
      <c r="N246" s="143"/>
      <c r="O246" s="26"/>
    </row>
    <row r="247" spans="1:15" x14ac:dyDescent="0.25">
      <c r="A247" s="54">
        <v>45174</v>
      </c>
      <c r="B247" s="24">
        <f t="shared" si="12"/>
        <v>9</v>
      </c>
      <c r="C247" s="24">
        <f t="shared" si="13"/>
        <v>2023</v>
      </c>
      <c r="D247" s="104" t="s">
        <v>123</v>
      </c>
      <c r="E247" s="104" t="s">
        <v>93</v>
      </c>
      <c r="J247" s="61">
        <v>22800</v>
      </c>
      <c r="L247" s="49">
        <f t="shared" si="14"/>
        <v>30650</v>
      </c>
      <c r="M247" s="50">
        <f t="shared" si="15"/>
        <v>0</v>
      </c>
      <c r="N247" s="143"/>
      <c r="O247" s="26"/>
    </row>
    <row r="248" spans="1:15" x14ac:dyDescent="0.25">
      <c r="A248" s="54">
        <v>45174</v>
      </c>
      <c r="B248" s="24">
        <f t="shared" si="12"/>
        <v>9</v>
      </c>
      <c r="C248" s="24">
        <f t="shared" si="13"/>
        <v>2023</v>
      </c>
      <c r="D248" s="104" t="s">
        <v>109</v>
      </c>
      <c r="E248" s="104" t="s">
        <v>93</v>
      </c>
      <c r="F248" s="104" t="s">
        <v>270</v>
      </c>
      <c r="K248" s="61">
        <v>22800</v>
      </c>
      <c r="L248" s="49">
        <f t="shared" si="14"/>
        <v>7850</v>
      </c>
      <c r="M248" s="50">
        <f t="shared" si="15"/>
        <v>0</v>
      </c>
      <c r="N248" s="143"/>
      <c r="O248" s="26"/>
    </row>
    <row r="249" spans="1:15" x14ac:dyDescent="0.25">
      <c r="A249" s="54">
        <v>45175</v>
      </c>
      <c r="B249" s="24">
        <f t="shared" si="12"/>
        <v>9</v>
      </c>
      <c r="C249" s="24">
        <f t="shared" si="13"/>
        <v>2023</v>
      </c>
      <c r="D249" s="104" t="s">
        <v>123</v>
      </c>
      <c r="E249" s="104" t="s">
        <v>93</v>
      </c>
      <c r="J249" s="61">
        <v>22150</v>
      </c>
      <c r="L249" s="49">
        <f t="shared" si="14"/>
        <v>30000</v>
      </c>
      <c r="M249" s="50">
        <f t="shared" si="15"/>
        <v>0</v>
      </c>
      <c r="N249" s="143"/>
      <c r="O249" s="26"/>
    </row>
    <row r="250" spans="1:15" x14ac:dyDescent="0.25">
      <c r="A250" s="54">
        <v>45175</v>
      </c>
      <c r="B250" s="24">
        <f t="shared" si="12"/>
        <v>9</v>
      </c>
      <c r="C250" s="24">
        <f t="shared" si="13"/>
        <v>2023</v>
      </c>
      <c r="D250" s="104" t="s">
        <v>109</v>
      </c>
      <c r="E250" s="104" t="s">
        <v>93</v>
      </c>
      <c r="F250" s="104" t="s">
        <v>273</v>
      </c>
      <c r="K250" s="61">
        <v>22000</v>
      </c>
      <c r="L250" s="49">
        <f t="shared" si="14"/>
        <v>8000</v>
      </c>
      <c r="M250" s="50">
        <f t="shared" si="15"/>
        <v>0</v>
      </c>
      <c r="N250" s="143"/>
      <c r="O250" s="26"/>
    </row>
    <row r="251" spans="1:15" x14ac:dyDescent="0.25">
      <c r="A251" s="54">
        <v>45175</v>
      </c>
      <c r="B251" s="24">
        <f t="shared" si="12"/>
        <v>9</v>
      </c>
      <c r="C251" s="24">
        <f t="shared" si="13"/>
        <v>2023</v>
      </c>
      <c r="D251" s="104" t="s">
        <v>89</v>
      </c>
      <c r="E251" s="104" t="s">
        <v>93</v>
      </c>
      <c r="F251" s="104" t="s">
        <v>272</v>
      </c>
      <c r="J251" s="61">
        <v>18820</v>
      </c>
      <c r="L251" s="49">
        <f t="shared" si="14"/>
        <v>26820</v>
      </c>
      <c r="M251" s="50">
        <f t="shared" si="15"/>
        <v>0</v>
      </c>
      <c r="N251" s="143"/>
      <c r="O251" s="26"/>
    </row>
    <row r="252" spans="1:15" x14ac:dyDescent="0.25">
      <c r="A252" s="54">
        <v>45175</v>
      </c>
      <c r="B252" s="24">
        <f t="shared" si="12"/>
        <v>9</v>
      </c>
      <c r="C252" s="24">
        <f t="shared" si="13"/>
        <v>2023</v>
      </c>
      <c r="D252" s="104" t="s">
        <v>109</v>
      </c>
      <c r="E252" s="104" t="s">
        <v>93</v>
      </c>
      <c r="F252" s="104" t="s">
        <v>146</v>
      </c>
      <c r="K252" s="61">
        <v>1380</v>
      </c>
      <c r="L252" s="49">
        <f t="shared" si="14"/>
        <v>25440</v>
      </c>
      <c r="M252" s="50">
        <f t="shared" si="15"/>
        <v>0</v>
      </c>
      <c r="N252" s="143"/>
      <c r="O252" s="26"/>
    </row>
    <row r="253" spans="1:15" x14ac:dyDescent="0.25">
      <c r="A253" s="54">
        <v>45175</v>
      </c>
      <c r="B253" s="24">
        <f t="shared" si="12"/>
        <v>9</v>
      </c>
      <c r="C253" s="24">
        <f t="shared" si="13"/>
        <v>2023</v>
      </c>
      <c r="D253" s="104" t="s">
        <v>89</v>
      </c>
      <c r="E253" s="104" t="s">
        <v>93</v>
      </c>
      <c r="F253" s="104" t="s">
        <v>274</v>
      </c>
      <c r="J253" s="61">
        <v>6410</v>
      </c>
      <c r="L253" s="49">
        <f t="shared" si="14"/>
        <v>31850</v>
      </c>
      <c r="M253" s="50">
        <f t="shared" si="15"/>
        <v>0</v>
      </c>
      <c r="N253" s="143"/>
      <c r="O253" s="26"/>
    </row>
    <row r="254" spans="1:15" x14ac:dyDescent="0.25">
      <c r="A254" s="54">
        <v>45175</v>
      </c>
      <c r="B254" s="24">
        <f t="shared" si="12"/>
        <v>9</v>
      </c>
      <c r="C254" s="24">
        <f t="shared" si="13"/>
        <v>2023</v>
      </c>
      <c r="D254" s="104" t="s">
        <v>122</v>
      </c>
      <c r="E254" s="104" t="s">
        <v>93</v>
      </c>
      <c r="K254" s="61">
        <v>1850</v>
      </c>
      <c r="L254" s="49">
        <f t="shared" si="14"/>
        <v>30000</v>
      </c>
      <c r="M254" s="50">
        <f t="shared" si="15"/>
        <v>0</v>
      </c>
      <c r="N254" s="143"/>
      <c r="O254" s="26"/>
    </row>
    <row r="255" spans="1:15" x14ac:dyDescent="0.25">
      <c r="A255" s="54">
        <v>45145</v>
      </c>
      <c r="B255" s="24">
        <f t="shared" si="12"/>
        <v>8</v>
      </c>
      <c r="C255" s="24">
        <f t="shared" si="13"/>
        <v>2023</v>
      </c>
      <c r="D255" s="104" t="s">
        <v>51</v>
      </c>
      <c r="E255" s="104" t="s">
        <v>93</v>
      </c>
      <c r="F255" s="104" t="s">
        <v>276</v>
      </c>
      <c r="K255" s="61">
        <v>4200</v>
      </c>
      <c r="L255" s="49">
        <f t="shared" si="14"/>
        <v>25800</v>
      </c>
      <c r="M255" s="50">
        <f t="shared" si="15"/>
        <v>0</v>
      </c>
      <c r="N255" s="143"/>
      <c r="O255" s="26"/>
    </row>
    <row r="256" spans="1:15" x14ac:dyDescent="0.25">
      <c r="A256" s="54">
        <v>45145</v>
      </c>
      <c r="B256" s="24">
        <f t="shared" si="12"/>
        <v>8</v>
      </c>
      <c r="C256" s="24">
        <f t="shared" si="13"/>
        <v>2023</v>
      </c>
      <c r="D256" s="104" t="s">
        <v>109</v>
      </c>
      <c r="E256" s="104" t="s">
        <v>92</v>
      </c>
      <c r="F256" s="104" t="s">
        <v>146</v>
      </c>
      <c r="K256" s="61">
        <v>4900</v>
      </c>
      <c r="L256" s="49">
        <f t="shared" si="14"/>
        <v>20900</v>
      </c>
      <c r="M256" s="50">
        <f t="shared" si="15"/>
        <v>0</v>
      </c>
      <c r="N256" s="143"/>
      <c r="O256" s="26"/>
    </row>
    <row r="257" spans="1:15" x14ac:dyDescent="0.25">
      <c r="A257" s="54">
        <v>45145</v>
      </c>
      <c r="B257" s="24">
        <f t="shared" si="12"/>
        <v>8</v>
      </c>
      <c r="C257" s="24">
        <f t="shared" si="13"/>
        <v>2023</v>
      </c>
      <c r="D257" s="104" t="s">
        <v>51</v>
      </c>
      <c r="E257" s="104" t="s">
        <v>93</v>
      </c>
      <c r="F257" s="104" t="s">
        <v>277</v>
      </c>
      <c r="K257" s="61">
        <v>4000</v>
      </c>
      <c r="L257" s="49">
        <f t="shared" si="14"/>
        <v>16900</v>
      </c>
      <c r="M257" s="50">
        <f t="shared" si="15"/>
        <v>0</v>
      </c>
      <c r="N257" s="143"/>
      <c r="O257" s="26"/>
    </row>
    <row r="258" spans="1:15" x14ac:dyDescent="0.25">
      <c r="A258" s="54">
        <v>45145</v>
      </c>
      <c r="B258" s="24">
        <f t="shared" si="12"/>
        <v>8</v>
      </c>
      <c r="C258" s="24">
        <f t="shared" si="13"/>
        <v>2023</v>
      </c>
      <c r="D258" s="104" t="s">
        <v>123</v>
      </c>
      <c r="E258" s="104" t="s">
        <v>93</v>
      </c>
      <c r="J258" s="61">
        <v>13100</v>
      </c>
      <c r="L258" s="49">
        <f t="shared" si="14"/>
        <v>30000</v>
      </c>
      <c r="M258" s="50">
        <f t="shared" si="15"/>
        <v>0</v>
      </c>
      <c r="N258" s="143"/>
      <c r="O258" s="26"/>
    </row>
    <row r="259" spans="1:15" x14ac:dyDescent="0.25">
      <c r="A259" s="54">
        <v>45177</v>
      </c>
      <c r="B259" s="24">
        <f t="shared" ref="B259:B322" si="16">MONTH(A259)</f>
        <v>9</v>
      </c>
      <c r="C259" s="24">
        <f t="shared" ref="C259:C322" si="17">YEAR(A259)</f>
        <v>2023</v>
      </c>
      <c r="D259" s="104" t="s">
        <v>109</v>
      </c>
      <c r="E259" s="104" t="s">
        <v>93</v>
      </c>
      <c r="F259" s="104" t="s">
        <v>196</v>
      </c>
      <c r="K259" s="61">
        <v>1000</v>
      </c>
      <c r="L259" s="49">
        <f t="shared" si="14"/>
        <v>29000</v>
      </c>
      <c r="M259" s="50">
        <f t="shared" si="15"/>
        <v>0</v>
      </c>
      <c r="N259" s="143"/>
      <c r="O259" s="26"/>
    </row>
    <row r="260" spans="1:15" x14ac:dyDescent="0.25">
      <c r="A260" s="54">
        <v>45177</v>
      </c>
      <c r="B260" s="24">
        <f t="shared" si="16"/>
        <v>9</v>
      </c>
      <c r="C260" s="24">
        <f t="shared" si="17"/>
        <v>2023</v>
      </c>
      <c r="D260" s="104" t="s">
        <v>89</v>
      </c>
      <c r="E260" s="104" t="s">
        <v>93</v>
      </c>
      <c r="F260" s="104" t="s">
        <v>252</v>
      </c>
      <c r="J260" s="61">
        <v>101960</v>
      </c>
      <c r="L260" s="49">
        <f t="shared" ref="L260:L323" si="18">IF((L259+M259+J260-K260)&gt;0,(L259+M259+J260-K260),0)</f>
        <v>130960</v>
      </c>
      <c r="M260" s="50">
        <f t="shared" ref="M260:M323" si="19">IF((L259+M259+J260-K260)&lt;0,(L259+M259+J260-K260),0)</f>
        <v>0</v>
      </c>
      <c r="N260" s="143"/>
      <c r="O260" s="26"/>
    </row>
    <row r="261" spans="1:15" x14ac:dyDescent="0.25">
      <c r="A261" s="54">
        <v>45177</v>
      </c>
      <c r="B261" s="24">
        <f t="shared" si="16"/>
        <v>9</v>
      </c>
      <c r="C261" s="24">
        <f t="shared" si="17"/>
        <v>2023</v>
      </c>
      <c r="D261" s="104" t="s">
        <v>122</v>
      </c>
      <c r="E261" s="104" t="s">
        <v>93</v>
      </c>
      <c r="K261" s="61">
        <v>100960</v>
      </c>
      <c r="L261" s="49">
        <f t="shared" si="18"/>
        <v>30000</v>
      </c>
      <c r="M261" s="50">
        <f t="shared" si="19"/>
        <v>0</v>
      </c>
      <c r="N261" s="143"/>
      <c r="O261" s="26"/>
    </row>
    <row r="262" spans="1:15" x14ac:dyDescent="0.25">
      <c r="A262" s="54">
        <v>45180</v>
      </c>
      <c r="B262" s="24">
        <f t="shared" si="16"/>
        <v>9</v>
      </c>
      <c r="C262" s="24">
        <f t="shared" si="17"/>
        <v>2023</v>
      </c>
      <c r="D262" s="104" t="s">
        <v>89</v>
      </c>
      <c r="E262" s="104" t="s">
        <v>93</v>
      </c>
      <c r="F262" s="104" t="s">
        <v>280</v>
      </c>
      <c r="J262" s="61">
        <v>62300</v>
      </c>
      <c r="L262" s="49">
        <f t="shared" si="18"/>
        <v>92300</v>
      </c>
      <c r="M262" s="50">
        <f t="shared" si="19"/>
        <v>0</v>
      </c>
      <c r="N262" s="143"/>
      <c r="O262" s="26"/>
    </row>
    <row r="263" spans="1:15" x14ac:dyDescent="0.25">
      <c r="A263" s="54">
        <v>45180</v>
      </c>
      <c r="B263" s="24">
        <f t="shared" si="16"/>
        <v>9</v>
      </c>
      <c r="C263" s="24">
        <f t="shared" si="17"/>
        <v>2023</v>
      </c>
      <c r="D263" s="104" t="s">
        <v>51</v>
      </c>
      <c r="E263" s="104" t="s">
        <v>93</v>
      </c>
      <c r="F263" s="104" t="s">
        <v>281</v>
      </c>
      <c r="K263" s="61">
        <v>2500</v>
      </c>
      <c r="L263" s="49">
        <f t="shared" si="18"/>
        <v>89800</v>
      </c>
      <c r="M263" s="50">
        <f t="shared" si="19"/>
        <v>0</v>
      </c>
      <c r="N263" s="143"/>
      <c r="O263" s="26"/>
    </row>
    <row r="264" spans="1:15" x14ac:dyDescent="0.25">
      <c r="A264" s="54">
        <v>45180</v>
      </c>
      <c r="B264" s="24">
        <f t="shared" si="16"/>
        <v>9</v>
      </c>
      <c r="C264" s="24">
        <f t="shared" si="17"/>
        <v>2023</v>
      </c>
      <c r="D264" s="104" t="s">
        <v>109</v>
      </c>
      <c r="E264" s="104" t="s">
        <v>92</v>
      </c>
      <c r="F264" s="104" t="s">
        <v>282</v>
      </c>
      <c r="K264" s="61">
        <v>12000</v>
      </c>
      <c r="L264" s="49">
        <f t="shared" si="18"/>
        <v>77800</v>
      </c>
      <c r="M264" s="50">
        <f t="shared" si="19"/>
        <v>0</v>
      </c>
      <c r="N264" s="143"/>
      <c r="O264" s="26"/>
    </row>
    <row r="265" spans="1:15" x14ac:dyDescent="0.25">
      <c r="A265" s="54">
        <v>45180</v>
      </c>
      <c r="B265" s="24">
        <f t="shared" si="16"/>
        <v>9</v>
      </c>
      <c r="C265" s="24">
        <f t="shared" si="17"/>
        <v>2023</v>
      </c>
      <c r="D265" s="104" t="s">
        <v>109</v>
      </c>
      <c r="E265" s="104" t="s">
        <v>93</v>
      </c>
      <c r="F265" s="104" t="s">
        <v>283</v>
      </c>
      <c r="K265" s="61">
        <v>4000</v>
      </c>
      <c r="L265" s="49">
        <f t="shared" si="18"/>
        <v>73800</v>
      </c>
      <c r="M265" s="50">
        <f t="shared" si="19"/>
        <v>0</v>
      </c>
      <c r="N265" s="143"/>
      <c r="O265" s="26"/>
    </row>
    <row r="266" spans="1:15" x14ac:dyDescent="0.25">
      <c r="A266" s="54">
        <v>45180</v>
      </c>
      <c r="B266" s="24">
        <f t="shared" si="16"/>
        <v>9</v>
      </c>
      <c r="C266" s="24">
        <f t="shared" si="17"/>
        <v>2023</v>
      </c>
      <c r="D266" s="104" t="s">
        <v>109</v>
      </c>
      <c r="E266" s="104" t="s">
        <v>92</v>
      </c>
      <c r="F266" s="104" t="s">
        <v>286</v>
      </c>
      <c r="K266" s="61">
        <v>1200</v>
      </c>
      <c r="L266" s="49">
        <f t="shared" si="18"/>
        <v>72600</v>
      </c>
      <c r="M266" s="50">
        <f t="shared" si="19"/>
        <v>0</v>
      </c>
      <c r="N266" s="143"/>
      <c r="O266" s="26"/>
    </row>
    <row r="267" spans="1:15" x14ac:dyDescent="0.25">
      <c r="A267" s="54">
        <v>45180</v>
      </c>
      <c r="B267" s="24">
        <f t="shared" si="16"/>
        <v>9</v>
      </c>
      <c r="C267" s="24">
        <f t="shared" si="17"/>
        <v>2023</v>
      </c>
      <c r="D267" s="104" t="s">
        <v>122</v>
      </c>
      <c r="E267" s="104" t="s">
        <v>93</v>
      </c>
      <c r="K267" s="61">
        <v>42600</v>
      </c>
      <c r="L267" s="49">
        <f t="shared" si="18"/>
        <v>30000</v>
      </c>
      <c r="M267" s="50">
        <f t="shared" si="19"/>
        <v>0</v>
      </c>
      <c r="N267" s="143"/>
      <c r="O267" s="26"/>
    </row>
    <row r="268" spans="1:15" x14ac:dyDescent="0.25">
      <c r="A268" s="54">
        <v>45180</v>
      </c>
      <c r="B268" s="24">
        <f t="shared" si="16"/>
        <v>9</v>
      </c>
      <c r="C268" s="24">
        <f t="shared" si="17"/>
        <v>2023</v>
      </c>
      <c r="D268" s="104" t="s">
        <v>89</v>
      </c>
      <c r="E268" s="104" t="s">
        <v>93</v>
      </c>
      <c r="F268" s="104" t="s">
        <v>288</v>
      </c>
      <c r="J268" s="61">
        <v>72000</v>
      </c>
      <c r="L268" s="49">
        <f t="shared" si="18"/>
        <v>102000</v>
      </c>
      <c r="M268" s="50">
        <f t="shared" si="19"/>
        <v>0</v>
      </c>
      <c r="N268" s="143"/>
      <c r="O268" s="26"/>
    </row>
    <row r="269" spans="1:15" x14ac:dyDescent="0.25">
      <c r="A269" s="54">
        <v>45181</v>
      </c>
      <c r="B269" s="24">
        <f t="shared" si="16"/>
        <v>9</v>
      </c>
      <c r="C269" s="24">
        <f t="shared" si="17"/>
        <v>2023</v>
      </c>
      <c r="D269" s="104" t="s">
        <v>89</v>
      </c>
      <c r="E269" s="104" t="s">
        <v>93</v>
      </c>
      <c r="F269" s="104" t="s">
        <v>289</v>
      </c>
      <c r="J269" s="61">
        <v>91200</v>
      </c>
      <c r="L269" s="49">
        <f t="shared" si="18"/>
        <v>193200</v>
      </c>
      <c r="M269" s="50">
        <f t="shared" si="19"/>
        <v>0</v>
      </c>
      <c r="N269" s="143"/>
      <c r="O269" s="26"/>
    </row>
    <row r="270" spans="1:15" x14ac:dyDescent="0.25">
      <c r="A270" s="54">
        <v>45181</v>
      </c>
      <c r="B270" s="24">
        <f t="shared" si="16"/>
        <v>9</v>
      </c>
      <c r="C270" s="24">
        <f t="shared" si="17"/>
        <v>2023</v>
      </c>
      <c r="D270" s="104" t="s">
        <v>89</v>
      </c>
      <c r="E270" s="104" t="s">
        <v>93</v>
      </c>
      <c r="F270" s="104" t="s">
        <v>290</v>
      </c>
      <c r="J270" s="61">
        <v>94400</v>
      </c>
      <c r="L270" s="49">
        <f t="shared" si="18"/>
        <v>287600</v>
      </c>
      <c r="M270" s="50">
        <f t="shared" si="19"/>
        <v>0</v>
      </c>
      <c r="N270" s="143"/>
      <c r="O270" s="26"/>
    </row>
    <row r="271" spans="1:15" x14ac:dyDescent="0.25">
      <c r="A271" s="54">
        <v>45181</v>
      </c>
      <c r="B271" s="24">
        <f t="shared" si="16"/>
        <v>9</v>
      </c>
      <c r="C271" s="24">
        <f t="shared" si="17"/>
        <v>2023</v>
      </c>
      <c r="D271" s="104" t="s">
        <v>89</v>
      </c>
      <c r="E271" s="104" t="s">
        <v>93</v>
      </c>
      <c r="F271" s="104" t="s">
        <v>293</v>
      </c>
      <c r="J271" s="61">
        <v>11600</v>
      </c>
      <c r="L271" s="49">
        <f t="shared" si="18"/>
        <v>299200</v>
      </c>
      <c r="M271" s="50">
        <f t="shared" si="19"/>
        <v>0</v>
      </c>
      <c r="N271" s="143"/>
      <c r="O271" s="26"/>
    </row>
    <row r="272" spans="1:15" x14ac:dyDescent="0.25">
      <c r="A272" s="54">
        <v>45181</v>
      </c>
      <c r="B272" s="24">
        <f t="shared" si="16"/>
        <v>9</v>
      </c>
      <c r="C272" s="24">
        <f t="shared" si="17"/>
        <v>2023</v>
      </c>
      <c r="D272" s="104" t="s">
        <v>89</v>
      </c>
      <c r="E272" s="104" t="s">
        <v>93</v>
      </c>
      <c r="F272" s="104" t="s">
        <v>215</v>
      </c>
      <c r="J272" s="61">
        <v>40000</v>
      </c>
      <c r="L272" s="49">
        <f t="shared" si="18"/>
        <v>339200</v>
      </c>
      <c r="M272" s="50">
        <f t="shared" si="19"/>
        <v>0</v>
      </c>
      <c r="N272" s="143"/>
      <c r="O272" s="26"/>
    </row>
    <row r="273" spans="1:15" x14ac:dyDescent="0.25">
      <c r="A273" s="54">
        <v>45181</v>
      </c>
      <c r="B273" s="24">
        <f t="shared" si="16"/>
        <v>9</v>
      </c>
      <c r="C273" s="24">
        <f t="shared" si="17"/>
        <v>2023</v>
      </c>
      <c r="D273" s="104" t="s">
        <v>122</v>
      </c>
      <c r="E273" s="104" t="s">
        <v>93</v>
      </c>
      <c r="K273" s="61">
        <v>309200</v>
      </c>
      <c r="L273" s="49">
        <f t="shared" si="18"/>
        <v>30000</v>
      </c>
      <c r="M273" s="50">
        <f t="shared" si="19"/>
        <v>0</v>
      </c>
      <c r="N273" s="143"/>
      <c r="O273" s="26"/>
    </row>
    <row r="274" spans="1:15" x14ac:dyDescent="0.25">
      <c r="A274" s="54">
        <v>45182</v>
      </c>
      <c r="B274" s="24">
        <f t="shared" si="16"/>
        <v>9</v>
      </c>
      <c r="C274" s="24">
        <f t="shared" si="17"/>
        <v>2023</v>
      </c>
      <c r="D274" s="104" t="s">
        <v>30</v>
      </c>
      <c r="E274" s="104" t="s">
        <v>93</v>
      </c>
      <c r="F274" s="104" t="s">
        <v>295</v>
      </c>
      <c r="K274" s="61">
        <v>3160</v>
      </c>
      <c r="L274" s="49">
        <f t="shared" si="18"/>
        <v>26840</v>
      </c>
      <c r="M274" s="50">
        <f t="shared" si="19"/>
        <v>0</v>
      </c>
      <c r="N274" s="143"/>
      <c r="O274" s="26"/>
    </row>
    <row r="275" spans="1:15" x14ac:dyDescent="0.25">
      <c r="A275" s="54">
        <v>45182</v>
      </c>
      <c r="B275" s="24">
        <f t="shared" si="16"/>
        <v>9</v>
      </c>
      <c r="C275" s="24">
        <f t="shared" si="17"/>
        <v>2023</v>
      </c>
      <c r="D275" s="104" t="s">
        <v>109</v>
      </c>
      <c r="E275" s="104" t="s">
        <v>93</v>
      </c>
      <c r="F275" s="104" t="s">
        <v>297</v>
      </c>
      <c r="K275" s="61">
        <v>4000</v>
      </c>
      <c r="L275" s="49">
        <f t="shared" si="18"/>
        <v>22840</v>
      </c>
      <c r="M275" s="50">
        <f t="shared" si="19"/>
        <v>0</v>
      </c>
      <c r="N275" s="143"/>
      <c r="O275" s="26"/>
    </row>
    <row r="276" spans="1:15" x14ac:dyDescent="0.25">
      <c r="A276" s="54">
        <v>45182</v>
      </c>
      <c r="B276" s="24">
        <f t="shared" si="16"/>
        <v>9</v>
      </c>
      <c r="C276" s="24">
        <f t="shared" si="17"/>
        <v>2023</v>
      </c>
      <c r="D276" s="104" t="s">
        <v>89</v>
      </c>
      <c r="E276" s="104" t="s">
        <v>93</v>
      </c>
      <c r="F276" s="104" t="s">
        <v>177</v>
      </c>
      <c r="J276" s="61">
        <v>50000</v>
      </c>
      <c r="L276" s="49">
        <f t="shared" si="18"/>
        <v>72840</v>
      </c>
      <c r="M276" s="50">
        <f t="shared" si="19"/>
        <v>0</v>
      </c>
      <c r="N276" s="143"/>
      <c r="O276" s="26"/>
    </row>
    <row r="277" spans="1:15" x14ac:dyDescent="0.25">
      <c r="A277" s="54">
        <v>45182</v>
      </c>
      <c r="B277" s="24">
        <f t="shared" si="16"/>
        <v>9</v>
      </c>
      <c r="C277" s="24">
        <f t="shared" si="17"/>
        <v>2023</v>
      </c>
      <c r="D277" s="104" t="s">
        <v>122</v>
      </c>
      <c r="E277" s="104" t="s">
        <v>93</v>
      </c>
      <c r="K277" s="61">
        <v>42840</v>
      </c>
      <c r="L277" s="49">
        <f t="shared" si="18"/>
        <v>30000</v>
      </c>
      <c r="M277" s="50">
        <f t="shared" si="19"/>
        <v>0</v>
      </c>
      <c r="N277" s="143"/>
      <c r="O277" s="26"/>
    </row>
    <row r="278" spans="1:15" x14ac:dyDescent="0.25">
      <c r="A278" s="54">
        <v>45183</v>
      </c>
      <c r="B278" s="24">
        <f t="shared" si="16"/>
        <v>9</v>
      </c>
      <c r="C278" s="24">
        <f t="shared" si="17"/>
        <v>2023</v>
      </c>
      <c r="D278" s="104" t="s">
        <v>135</v>
      </c>
      <c r="E278" s="104" t="s">
        <v>93</v>
      </c>
      <c r="F278" s="104" t="s">
        <v>204</v>
      </c>
      <c r="K278" s="61">
        <v>2000</v>
      </c>
      <c r="L278" s="49">
        <f t="shared" si="18"/>
        <v>28000</v>
      </c>
      <c r="M278" s="50">
        <f t="shared" si="19"/>
        <v>0</v>
      </c>
      <c r="N278" s="143"/>
      <c r="O278" s="26"/>
    </row>
    <row r="279" spans="1:15" x14ac:dyDescent="0.25">
      <c r="A279" s="54">
        <v>45183</v>
      </c>
      <c r="B279" s="24">
        <f t="shared" si="16"/>
        <v>9</v>
      </c>
      <c r="C279" s="24">
        <f t="shared" si="17"/>
        <v>2023</v>
      </c>
      <c r="D279" s="104" t="s">
        <v>89</v>
      </c>
      <c r="E279" s="104" t="s">
        <v>93</v>
      </c>
      <c r="F279" s="104" t="s">
        <v>299</v>
      </c>
      <c r="J279" s="61">
        <v>165100</v>
      </c>
      <c r="L279" s="49">
        <f t="shared" si="18"/>
        <v>193100</v>
      </c>
      <c r="M279" s="50">
        <f t="shared" si="19"/>
        <v>0</v>
      </c>
      <c r="N279" s="143"/>
      <c r="O279" s="26"/>
    </row>
    <row r="280" spans="1:15" x14ac:dyDescent="0.25">
      <c r="A280" s="54">
        <v>45183</v>
      </c>
      <c r="B280" s="24">
        <f t="shared" si="16"/>
        <v>9</v>
      </c>
      <c r="C280" s="24">
        <f t="shared" si="17"/>
        <v>2023</v>
      </c>
      <c r="D280" s="104" t="s">
        <v>89</v>
      </c>
      <c r="E280" s="104" t="s">
        <v>93</v>
      </c>
      <c r="F280" s="104" t="s">
        <v>300</v>
      </c>
      <c r="J280" s="61">
        <v>14300</v>
      </c>
      <c r="L280" s="49">
        <f t="shared" si="18"/>
        <v>207400</v>
      </c>
      <c r="M280" s="50">
        <f t="shared" si="19"/>
        <v>0</v>
      </c>
      <c r="N280" s="143"/>
      <c r="O280" s="26"/>
    </row>
    <row r="281" spans="1:15" x14ac:dyDescent="0.25">
      <c r="A281" s="54">
        <v>45183</v>
      </c>
      <c r="B281" s="24">
        <f t="shared" si="16"/>
        <v>9</v>
      </c>
      <c r="C281" s="24">
        <f t="shared" si="17"/>
        <v>2023</v>
      </c>
      <c r="D281" s="104" t="s">
        <v>109</v>
      </c>
      <c r="E281" s="104" t="s">
        <v>93</v>
      </c>
      <c r="F281" s="104" t="s">
        <v>301</v>
      </c>
      <c r="K281" s="61">
        <v>16880</v>
      </c>
      <c r="L281" s="49">
        <f t="shared" si="18"/>
        <v>190520</v>
      </c>
      <c r="M281" s="50">
        <f t="shared" si="19"/>
        <v>0</v>
      </c>
      <c r="N281" s="143"/>
      <c r="O281" s="26"/>
    </row>
    <row r="282" spans="1:15" x14ac:dyDescent="0.25">
      <c r="A282" s="54">
        <v>45183</v>
      </c>
      <c r="B282" s="24">
        <f t="shared" si="16"/>
        <v>9</v>
      </c>
      <c r="C282" s="24">
        <f t="shared" si="17"/>
        <v>2023</v>
      </c>
      <c r="D282" s="104" t="s">
        <v>89</v>
      </c>
      <c r="E282" s="104" t="s">
        <v>93</v>
      </c>
      <c r="F282" s="104" t="s">
        <v>302</v>
      </c>
      <c r="J282" s="61">
        <v>103510</v>
      </c>
      <c r="L282" s="49">
        <f t="shared" si="18"/>
        <v>294030</v>
      </c>
      <c r="M282" s="50">
        <f t="shared" si="19"/>
        <v>0</v>
      </c>
      <c r="N282" s="143"/>
      <c r="O282" s="26"/>
    </row>
    <row r="283" spans="1:15" x14ac:dyDescent="0.25">
      <c r="A283" s="54">
        <v>45183</v>
      </c>
      <c r="B283" s="24">
        <f t="shared" si="16"/>
        <v>9</v>
      </c>
      <c r="C283" s="24">
        <f t="shared" si="17"/>
        <v>2023</v>
      </c>
      <c r="D283" s="104" t="s">
        <v>109</v>
      </c>
      <c r="E283" s="104" t="s">
        <v>93</v>
      </c>
      <c r="F283" s="104" t="s">
        <v>303</v>
      </c>
      <c r="K283" s="61">
        <v>1600</v>
      </c>
      <c r="L283" s="49">
        <f t="shared" si="18"/>
        <v>292430</v>
      </c>
      <c r="M283" s="50">
        <f t="shared" si="19"/>
        <v>0</v>
      </c>
      <c r="N283" s="143"/>
      <c r="O283" s="26"/>
    </row>
    <row r="284" spans="1:15" x14ac:dyDescent="0.25">
      <c r="A284" s="54">
        <v>45183</v>
      </c>
      <c r="B284" s="24">
        <f t="shared" si="16"/>
        <v>9</v>
      </c>
      <c r="C284" s="24">
        <f t="shared" si="17"/>
        <v>2023</v>
      </c>
      <c r="D284" s="104" t="s">
        <v>89</v>
      </c>
      <c r="E284" s="104" t="s">
        <v>93</v>
      </c>
      <c r="F284" s="104" t="s">
        <v>304</v>
      </c>
      <c r="J284" s="61">
        <v>30000</v>
      </c>
      <c r="L284" s="49">
        <f t="shared" si="18"/>
        <v>322430</v>
      </c>
      <c r="M284" s="50">
        <f t="shared" si="19"/>
        <v>0</v>
      </c>
      <c r="N284" s="143"/>
      <c r="O284" s="26"/>
    </row>
    <row r="285" spans="1:15" x14ac:dyDescent="0.25">
      <c r="A285" s="54">
        <v>45183</v>
      </c>
      <c r="B285" s="24">
        <f t="shared" si="16"/>
        <v>9</v>
      </c>
      <c r="C285" s="24">
        <f t="shared" si="17"/>
        <v>2023</v>
      </c>
      <c r="D285" s="104" t="s">
        <v>89</v>
      </c>
      <c r="E285" s="104" t="s">
        <v>93</v>
      </c>
      <c r="F285" s="104" t="s">
        <v>305</v>
      </c>
      <c r="J285" s="61">
        <v>78820</v>
      </c>
      <c r="L285" s="49">
        <f t="shared" si="18"/>
        <v>401250</v>
      </c>
      <c r="M285" s="50">
        <f t="shared" si="19"/>
        <v>0</v>
      </c>
      <c r="N285" s="143"/>
      <c r="O285" s="26"/>
    </row>
    <row r="286" spans="1:15" x14ac:dyDescent="0.25">
      <c r="A286" s="54">
        <v>45183</v>
      </c>
      <c r="B286" s="24">
        <f t="shared" si="16"/>
        <v>9</v>
      </c>
      <c r="C286" s="24">
        <f t="shared" si="17"/>
        <v>2023</v>
      </c>
      <c r="D286" s="104" t="s">
        <v>122</v>
      </c>
      <c r="E286" s="104" t="s">
        <v>93</v>
      </c>
      <c r="K286" s="61">
        <v>371250</v>
      </c>
      <c r="L286" s="49">
        <f t="shared" si="18"/>
        <v>30000</v>
      </c>
      <c r="M286" s="50">
        <f t="shared" si="19"/>
        <v>0</v>
      </c>
      <c r="N286" s="143"/>
      <c r="O286" s="26"/>
    </row>
    <row r="287" spans="1:15" x14ac:dyDescent="0.25">
      <c r="A287" s="54">
        <v>45184</v>
      </c>
      <c r="B287" s="24">
        <f t="shared" si="16"/>
        <v>9</v>
      </c>
      <c r="C287" s="24">
        <f t="shared" si="17"/>
        <v>2023</v>
      </c>
      <c r="D287" s="104" t="s">
        <v>89</v>
      </c>
      <c r="E287" s="104" t="s">
        <v>93</v>
      </c>
      <c r="F287" s="104" t="s">
        <v>159</v>
      </c>
      <c r="J287" s="61">
        <v>10000</v>
      </c>
      <c r="L287" s="49">
        <f t="shared" si="18"/>
        <v>40000</v>
      </c>
      <c r="M287" s="50">
        <f t="shared" si="19"/>
        <v>0</v>
      </c>
      <c r="N287" s="143"/>
      <c r="O287" s="26"/>
    </row>
    <row r="288" spans="1:15" x14ac:dyDescent="0.25">
      <c r="A288" s="54">
        <v>45184</v>
      </c>
      <c r="B288" s="24">
        <f t="shared" si="16"/>
        <v>9</v>
      </c>
      <c r="C288" s="24">
        <f t="shared" si="17"/>
        <v>2023</v>
      </c>
      <c r="D288" s="104" t="s">
        <v>123</v>
      </c>
      <c r="E288" s="104" t="s">
        <v>93</v>
      </c>
      <c r="J288" s="61">
        <v>4300</v>
      </c>
      <c r="L288" s="49">
        <f t="shared" si="18"/>
        <v>44300</v>
      </c>
      <c r="M288" s="50">
        <f t="shared" si="19"/>
        <v>0</v>
      </c>
      <c r="N288" s="143"/>
      <c r="O288" s="26"/>
    </row>
    <row r="289" spans="1:15" x14ac:dyDescent="0.25">
      <c r="A289" s="54">
        <v>45184</v>
      </c>
      <c r="B289" s="24">
        <f t="shared" si="16"/>
        <v>9</v>
      </c>
      <c r="C289" s="24">
        <f t="shared" si="17"/>
        <v>2023</v>
      </c>
      <c r="D289" s="104" t="s">
        <v>124</v>
      </c>
      <c r="E289" s="104" t="s">
        <v>93</v>
      </c>
      <c r="G289" s="104" t="s">
        <v>333</v>
      </c>
      <c r="K289" s="61">
        <v>4300</v>
      </c>
      <c r="L289" s="49">
        <f t="shared" si="18"/>
        <v>40000</v>
      </c>
      <c r="M289" s="50">
        <f t="shared" si="19"/>
        <v>0</v>
      </c>
      <c r="N289" s="143"/>
      <c r="O289" s="26"/>
    </row>
    <row r="290" spans="1:15" x14ac:dyDescent="0.25">
      <c r="A290" s="54">
        <v>45184</v>
      </c>
      <c r="B290" s="24">
        <f t="shared" si="16"/>
        <v>9</v>
      </c>
      <c r="C290" s="24">
        <f t="shared" si="17"/>
        <v>2023</v>
      </c>
      <c r="D290" s="104" t="s">
        <v>51</v>
      </c>
      <c r="E290" s="104" t="s">
        <v>93</v>
      </c>
      <c r="F290" s="104" t="s">
        <v>259</v>
      </c>
      <c r="K290" s="61">
        <v>2500</v>
      </c>
      <c r="L290" s="49">
        <f t="shared" si="18"/>
        <v>37500</v>
      </c>
      <c r="M290" s="50">
        <f t="shared" si="19"/>
        <v>0</v>
      </c>
      <c r="N290" s="143"/>
      <c r="O290" s="26"/>
    </row>
    <row r="291" spans="1:15" x14ac:dyDescent="0.25">
      <c r="A291" s="54">
        <v>45184</v>
      </c>
      <c r="B291" s="24">
        <f t="shared" si="16"/>
        <v>9</v>
      </c>
      <c r="C291" s="24">
        <f t="shared" si="17"/>
        <v>2023</v>
      </c>
      <c r="D291" s="104" t="s">
        <v>109</v>
      </c>
      <c r="E291" s="104" t="s">
        <v>93</v>
      </c>
      <c r="F291" s="104" t="s">
        <v>309</v>
      </c>
      <c r="K291" s="61">
        <v>11500</v>
      </c>
      <c r="L291" s="49">
        <f t="shared" si="18"/>
        <v>26000</v>
      </c>
      <c r="M291" s="50">
        <f t="shared" si="19"/>
        <v>0</v>
      </c>
      <c r="N291" s="143"/>
      <c r="O291" s="26"/>
    </row>
    <row r="292" spans="1:15" x14ac:dyDescent="0.25">
      <c r="A292" s="54">
        <v>45184</v>
      </c>
      <c r="B292" s="24">
        <f t="shared" si="16"/>
        <v>9</v>
      </c>
      <c r="C292" s="24">
        <f t="shared" si="17"/>
        <v>2023</v>
      </c>
      <c r="D292" s="104" t="s">
        <v>109</v>
      </c>
      <c r="E292" s="104" t="s">
        <v>93</v>
      </c>
      <c r="F292" s="104" t="s">
        <v>310</v>
      </c>
      <c r="K292" s="61">
        <v>8800</v>
      </c>
      <c r="L292" s="49">
        <f t="shared" si="18"/>
        <v>17200</v>
      </c>
      <c r="M292" s="50">
        <f t="shared" si="19"/>
        <v>0</v>
      </c>
      <c r="N292" s="143"/>
      <c r="O292" s="26"/>
    </row>
    <row r="293" spans="1:15" x14ac:dyDescent="0.25">
      <c r="A293" s="54">
        <v>45184</v>
      </c>
      <c r="B293" s="24">
        <f t="shared" si="16"/>
        <v>9</v>
      </c>
      <c r="C293" s="24">
        <f t="shared" si="17"/>
        <v>2023</v>
      </c>
      <c r="D293" s="104" t="s">
        <v>89</v>
      </c>
      <c r="E293" s="104" t="s">
        <v>93</v>
      </c>
      <c r="F293" s="104" t="s">
        <v>231</v>
      </c>
      <c r="J293" s="61">
        <v>10000</v>
      </c>
      <c r="L293" s="49">
        <f t="shared" si="18"/>
        <v>27200</v>
      </c>
      <c r="M293" s="50">
        <f t="shared" si="19"/>
        <v>0</v>
      </c>
      <c r="N293" s="143"/>
      <c r="O293" s="26"/>
    </row>
    <row r="294" spans="1:15" x14ac:dyDescent="0.25">
      <c r="A294" s="54">
        <v>45184</v>
      </c>
      <c r="B294" s="24">
        <f t="shared" si="16"/>
        <v>9</v>
      </c>
      <c r="C294" s="24">
        <f t="shared" si="17"/>
        <v>2023</v>
      </c>
      <c r="D294" s="104" t="s">
        <v>109</v>
      </c>
      <c r="E294" s="104" t="s">
        <v>93</v>
      </c>
      <c r="F294" s="104" t="s">
        <v>311</v>
      </c>
      <c r="K294" s="61">
        <v>180</v>
      </c>
      <c r="L294" s="49">
        <f t="shared" si="18"/>
        <v>27020</v>
      </c>
      <c r="M294" s="50">
        <f t="shared" si="19"/>
        <v>0</v>
      </c>
      <c r="N294" s="143"/>
      <c r="O294" s="26"/>
    </row>
    <row r="295" spans="1:15" x14ac:dyDescent="0.25">
      <c r="A295" s="54">
        <v>45184</v>
      </c>
      <c r="B295" s="24">
        <f t="shared" si="16"/>
        <v>9</v>
      </c>
      <c r="C295" s="24">
        <f t="shared" si="17"/>
        <v>2023</v>
      </c>
      <c r="D295" s="104" t="s">
        <v>89</v>
      </c>
      <c r="E295" s="104" t="s">
        <v>93</v>
      </c>
      <c r="F295" s="104" t="s">
        <v>313</v>
      </c>
      <c r="J295" s="61">
        <v>10000</v>
      </c>
      <c r="L295" s="49">
        <f t="shared" si="18"/>
        <v>37020</v>
      </c>
      <c r="M295" s="50">
        <f t="shared" si="19"/>
        <v>0</v>
      </c>
      <c r="N295" s="143"/>
      <c r="O295" s="26"/>
    </row>
    <row r="296" spans="1:15" x14ac:dyDescent="0.25">
      <c r="A296" s="54">
        <v>45184</v>
      </c>
      <c r="B296" s="24">
        <f t="shared" si="16"/>
        <v>9</v>
      </c>
      <c r="C296" s="24">
        <f t="shared" si="17"/>
        <v>2023</v>
      </c>
      <c r="D296" s="104" t="s">
        <v>89</v>
      </c>
      <c r="E296" s="104" t="s">
        <v>93</v>
      </c>
      <c r="F296" s="104" t="s">
        <v>315</v>
      </c>
      <c r="J296" s="61">
        <v>100000</v>
      </c>
      <c r="L296" s="49">
        <f t="shared" si="18"/>
        <v>137020</v>
      </c>
      <c r="M296" s="50">
        <f t="shared" si="19"/>
        <v>0</v>
      </c>
      <c r="N296" s="143"/>
      <c r="O296" s="26"/>
    </row>
    <row r="297" spans="1:15" x14ac:dyDescent="0.25">
      <c r="A297" s="54">
        <v>45184</v>
      </c>
      <c r="B297" s="24">
        <f t="shared" si="16"/>
        <v>9</v>
      </c>
      <c r="C297" s="24">
        <f t="shared" si="17"/>
        <v>2023</v>
      </c>
      <c r="D297" s="104" t="s">
        <v>122</v>
      </c>
      <c r="E297" s="104" t="s">
        <v>93</v>
      </c>
      <c r="J297" s="61">
        <v>215000</v>
      </c>
      <c r="L297" s="49">
        <f t="shared" si="18"/>
        <v>352020</v>
      </c>
      <c r="M297" s="50">
        <f t="shared" si="19"/>
        <v>0</v>
      </c>
      <c r="N297" s="143"/>
      <c r="O297" s="26"/>
    </row>
    <row r="298" spans="1:15" x14ac:dyDescent="0.25">
      <c r="A298" s="54">
        <v>45184</v>
      </c>
      <c r="B298" s="24">
        <f t="shared" si="16"/>
        <v>9</v>
      </c>
      <c r="C298" s="24">
        <f t="shared" si="17"/>
        <v>2023</v>
      </c>
      <c r="D298" s="104" t="s">
        <v>501</v>
      </c>
      <c r="E298" s="104" t="s">
        <v>93</v>
      </c>
      <c r="F298" s="104" t="s">
        <v>213</v>
      </c>
      <c r="K298" s="61">
        <v>215000</v>
      </c>
      <c r="L298" s="49">
        <f t="shared" si="18"/>
        <v>137020</v>
      </c>
      <c r="M298" s="50">
        <f t="shared" si="19"/>
        <v>0</v>
      </c>
      <c r="N298" s="143"/>
      <c r="O298" s="26"/>
    </row>
    <row r="299" spans="1:15" x14ac:dyDescent="0.25">
      <c r="A299" s="54">
        <v>45184</v>
      </c>
      <c r="B299" s="24">
        <f t="shared" si="16"/>
        <v>9</v>
      </c>
      <c r="C299" s="24">
        <f t="shared" si="17"/>
        <v>2023</v>
      </c>
      <c r="D299" s="104" t="s">
        <v>122</v>
      </c>
      <c r="E299" s="104" t="s">
        <v>93</v>
      </c>
      <c r="K299" s="61">
        <v>107020</v>
      </c>
      <c r="L299" s="49">
        <f t="shared" si="18"/>
        <v>30000</v>
      </c>
      <c r="M299" s="50">
        <f t="shared" si="19"/>
        <v>0</v>
      </c>
      <c r="N299" s="143"/>
      <c r="O299" s="26"/>
    </row>
    <row r="300" spans="1:15" x14ac:dyDescent="0.25">
      <c r="A300" s="54">
        <v>45187</v>
      </c>
      <c r="B300" s="24">
        <f t="shared" si="16"/>
        <v>9</v>
      </c>
      <c r="C300" s="24">
        <f t="shared" si="17"/>
        <v>2023</v>
      </c>
      <c r="D300" s="104" t="s">
        <v>89</v>
      </c>
      <c r="E300" s="104" t="s">
        <v>93</v>
      </c>
      <c r="F300" s="104" t="s">
        <v>317</v>
      </c>
      <c r="J300" s="61">
        <v>81000</v>
      </c>
      <c r="L300" s="49">
        <f t="shared" si="18"/>
        <v>111000</v>
      </c>
      <c r="M300" s="50">
        <f t="shared" si="19"/>
        <v>0</v>
      </c>
      <c r="N300" s="143"/>
      <c r="O300" s="26"/>
    </row>
    <row r="301" spans="1:15" x14ac:dyDescent="0.25">
      <c r="A301" s="54">
        <v>45187</v>
      </c>
      <c r="B301" s="24">
        <f t="shared" si="16"/>
        <v>9</v>
      </c>
      <c r="C301" s="24">
        <f t="shared" si="17"/>
        <v>2023</v>
      </c>
      <c r="D301" s="104" t="s">
        <v>89</v>
      </c>
      <c r="E301" s="104" t="s">
        <v>93</v>
      </c>
      <c r="F301" s="104" t="s">
        <v>318</v>
      </c>
      <c r="J301" s="61">
        <v>66300</v>
      </c>
      <c r="L301" s="49">
        <f t="shared" si="18"/>
        <v>177300</v>
      </c>
      <c r="M301" s="50">
        <f t="shared" si="19"/>
        <v>0</v>
      </c>
      <c r="N301" s="143"/>
      <c r="O301" s="26"/>
    </row>
    <row r="302" spans="1:15" x14ac:dyDescent="0.25">
      <c r="A302" s="54">
        <v>45187</v>
      </c>
      <c r="B302" s="24">
        <f t="shared" si="16"/>
        <v>9</v>
      </c>
      <c r="C302" s="24">
        <f t="shared" si="17"/>
        <v>2023</v>
      </c>
      <c r="D302" s="104" t="s">
        <v>122</v>
      </c>
      <c r="E302" s="104" t="s">
        <v>93</v>
      </c>
      <c r="K302" s="61">
        <v>147300</v>
      </c>
      <c r="L302" s="49">
        <f t="shared" si="18"/>
        <v>30000</v>
      </c>
      <c r="M302" s="50">
        <f t="shared" si="19"/>
        <v>0</v>
      </c>
      <c r="N302" s="143"/>
      <c r="O302" s="26"/>
    </row>
    <row r="303" spans="1:15" x14ac:dyDescent="0.25">
      <c r="A303" s="54">
        <v>45188</v>
      </c>
      <c r="B303" s="24">
        <f t="shared" si="16"/>
        <v>9</v>
      </c>
      <c r="C303" s="24">
        <f t="shared" si="17"/>
        <v>2023</v>
      </c>
      <c r="D303" s="104" t="s">
        <v>89</v>
      </c>
      <c r="E303" s="104" t="s">
        <v>93</v>
      </c>
      <c r="F303" s="104" t="s">
        <v>319</v>
      </c>
      <c r="J303" s="61">
        <v>25000</v>
      </c>
      <c r="L303" s="49">
        <f t="shared" si="18"/>
        <v>55000</v>
      </c>
      <c r="M303" s="50">
        <f t="shared" si="19"/>
        <v>0</v>
      </c>
      <c r="N303" s="143"/>
      <c r="O303" s="26"/>
    </row>
    <row r="304" spans="1:15" x14ac:dyDescent="0.25">
      <c r="A304" s="54">
        <v>45188</v>
      </c>
      <c r="B304" s="24">
        <f t="shared" si="16"/>
        <v>9</v>
      </c>
      <c r="C304" s="24">
        <f t="shared" si="17"/>
        <v>2023</v>
      </c>
      <c r="D304" s="104" t="s">
        <v>123</v>
      </c>
      <c r="E304" s="104" t="s">
        <v>93</v>
      </c>
      <c r="J304" s="61">
        <v>45600</v>
      </c>
      <c r="L304" s="49">
        <f t="shared" si="18"/>
        <v>100600</v>
      </c>
      <c r="M304" s="50">
        <f t="shared" si="19"/>
        <v>0</v>
      </c>
      <c r="N304" s="143"/>
      <c r="O304" s="26"/>
    </row>
    <row r="305" spans="1:15" x14ac:dyDescent="0.25">
      <c r="A305" s="54">
        <v>45188</v>
      </c>
      <c r="B305" s="24">
        <f t="shared" si="16"/>
        <v>9</v>
      </c>
      <c r="C305" s="24">
        <f t="shared" si="17"/>
        <v>2023</v>
      </c>
      <c r="D305" s="104" t="s">
        <v>506</v>
      </c>
      <c r="E305" s="104" t="s">
        <v>93</v>
      </c>
      <c r="F305" s="104" t="s">
        <v>320</v>
      </c>
      <c r="K305" s="61">
        <v>45600</v>
      </c>
      <c r="L305" s="49">
        <f t="shared" si="18"/>
        <v>55000</v>
      </c>
      <c r="M305" s="50">
        <f t="shared" si="19"/>
        <v>0</v>
      </c>
      <c r="N305" s="143"/>
      <c r="O305" s="26"/>
    </row>
    <row r="306" spans="1:15" x14ac:dyDescent="0.25">
      <c r="A306" s="54">
        <v>45188</v>
      </c>
      <c r="B306" s="24">
        <f t="shared" si="16"/>
        <v>9</v>
      </c>
      <c r="C306" s="24">
        <f t="shared" si="17"/>
        <v>2023</v>
      </c>
      <c r="D306" s="104" t="s">
        <v>123</v>
      </c>
      <c r="E306" s="104" t="s">
        <v>93</v>
      </c>
      <c r="J306" s="61">
        <v>18480</v>
      </c>
      <c r="L306" s="49">
        <f t="shared" si="18"/>
        <v>73480</v>
      </c>
      <c r="M306" s="50">
        <f t="shared" si="19"/>
        <v>0</v>
      </c>
      <c r="N306" s="143"/>
      <c r="O306" s="26"/>
    </row>
    <row r="307" spans="1:15" x14ac:dyDescent="0.25">
      <c r="A307" s="54">
        <v>45188</v>
      </c>
      <c r="B307" s="24">
        <f t="shared" si="16"/>
        <v>9</v>
      </c>
      <c r="C307" s="24">
        <f t="shared" si="17"/>
        <v>2023</v>
      </c>
      <c r="D307" s="104" t="s">
        <v>124</v>
      </c>
      <c r="E307" s="104" t="s">
        <v>93</v>
      </c>
      <c r="F307" s="104" t="s">
        <v>321</v>
      </c>
      <c r="K307" s="61">
        <v>18480</v>
      </c>
      <c r="L307" s="49">
        <f t="shared" si="18"/>
        <v>55000</v>
      </c>
      <c r="M307" s="50">
        <f t="shared" si="19"/>
        <v>0</v>
      </c>
      <c r="N307" s="143"/>
      <c r="O307" s="26"/>
    </row>
    <row r="308" spans="1:15" x14ac:dyDescent="0.25">
      <c r="A308" s="54">
        <v>45188</v>
      </c>
      <c r="B308" s="24">
        <f t="shared" si="16"/>
        <v>9</v>
      </c>
      <c r="C308" s="24">
        <f t="shared" si="17"/>
        <v>2023</v>
      </c>
      <c r="D308" s="104" t="s">
        <v>89</v>
      </c>
      <c r="E308" s="104" t="s">
        <v>93</v>
      </c>
      <c r="F308" s="104" t="s">
        <v>251</v>
      </c>
      <c r="J308" s="61">
        <v>34500</v>
      </c>
      <c r="L308" s="49">
        <f t="shared" si="18"/>
        <v>89500</v>
      </c>
      <c r="M308" s="50">
        <f t="shared" si="19"/>
        <v>0</v>
      </c>
      <c r="N308" s="143"/>
      <c r="O308" s="26"/>
    </row>
    <row r="309" spans="1:15" x14ac:dyDescent="0.25">
      <c r="A309" s="54">
        <v>45188</v>
      </c>
      <c r="B309" s="24">
        <f t="shared" si="16"/>
        <v>9</v>
      </c>
      <c r="C309" s="24">
        <f t="shared" si="17"/>
        <v>2023</v>
      </c>
      <c r="D309" s="104" t="s">
        <v>89</v>
      </c>
      <c r="E309" s="104" t="s">
        <v>93</v>
      </c>
      <c r="F309" s="104" t="s">
        <v>322</v>
      </c>
      <c r="J309" s="61">
        <v>101900</v>
      </c>
      <c r="L309" s="49">
        <f t="shared" si="18"/>
        <v>191400</v>
      </c>
      <c r="M309" s="50">
        <f t="shared" si="19"/>
        <v>0</v>
      </c>
      <c r="N309" s="143"/>
      <c r="O309" s="26"/>
    </row>
    <row r="310" spans="1:15" x14ac:dyDescent="0.25">
      <c r="A310" s="54">
        <v>45188</v>
      </c>
      <c r="B310" s="24">
        <f t="shared" si="16"/>
        <v>9</v>
      </c>
      <c r="C310" s="24">
        <f t="shared" si="17"/>
        <v>2023</v>
      </c>
      <c r="D310" s="104" t="s">
        <v>89</v>
      </c>
      <c r="E310" s="104" t="s">
        <v>93</v>
      </c>
      <c r="F310" s="104" t="s">
        <v>323</v>
      </c>
      <c r="J310" s="61">
        <v>30200</v>
      </c>
      <c r="L310" s="49">
        <f t="shared" si="18"/>
        <v>221600</v>
      </c>
      <c r="M310" s="50">
        <f t="shared" si="19"/>
        <v>0</v>
      </c>
      <c r="N310" s="143"/>
      <c r="O310" s="26"/>
    </row>
    <row r="311" spans="1:15" x14ac:dyDescent="0.25">
      <c r="A311" s="54">
        <v>45188</v>
      </c>
      <c r="B311" s="24">
        <f t="shared" si="16"/>
        <v>9</v>
      </c>
      <c r="C311" s="24">
        <f t="shared" si="17"/>
        <v>2023</v>
      </c>
      <c r="D311" s="104" t="s">
        <v>112</v>
      </c>
      <c r="E311" s="104" t="s">
        <v>93</v>
      </c>
      <c r="K311" s="61">
        <v>3500</v>
      </c>
      <c r="L311" s="49">
        <f t="shared" si="18"/>
        <v>218100</v>
      </c>
      <c r="M311" s="50">
        <f t="shared" si="19"/>
        <v>0</v>
      </c>
      <c r="N311" s="143"/>
      <c r="O311" s="26"/>
    </row>
    <row r="312" spans="1:15" x14ac:dyDescent="0.25">
      <c r="A312" s="54">
        <v>45188</v>
      </c>
      <c r="B312" s="24">
        <f t="shared" si="16"/>
        <v>9</v>
      </c>
      <c r="C312" s="24">
        <f t="shared" si="17"/>
        <v>2023</v>
      </c>
      <c r="D312" s="104" t="s">
        <v>122</v>
      </c>
      <c r="E312" s="104" t="s">
        <v>93</v>
      </c>
      <c r="K312" s="61">
        <v>188100</v>
      </c>
      <c r="L312" s="49">
        <f t="shared" si="18"/>
        <v>30000</v>
      </c>
      <c r="M312" s="50">
        <f t="shared" si="19"/>
        <v>0</v>
      </c>
      <c r="N312" s="143"/>
      <c r="O312" s="26"/>
    </row>
    <row r="313" spans="1:15" x14ac:dyDescent="0.25">
      <c r="A313" s="54">
        <v>45189</v>
      </c>
      <c r="B313" s="24">
        <f t="shared" si="16"/>
        <v>9</v>
      </c>
      <c r="C313" s="24">
        <f t="shared" si="17"/>
        <v>2023</v>
      </c>
      <c r="D313" s="104" t="s">
        <v>89</v>
      </c>
      <c r="E313" s="104" t="s">
        <v>93</v>
      </c>
      <c r="F313" s="104" t="s">
        <v>325</v>
      </c>
      <c r="J313" s="61">
        <v>5000</v>
      </c>
      <c r="L313" s="49">
        <f t="shared" si="18"/>
        <v>35000</v>
      </c>
      <c r="M313" s="50">
        <f t="shared" si="19"/>
        <v>0</v>
      </c>
      <c r="N313" s="143"/>
      <c r="O313" s="26"/>
    </row>
    <row r="314" spans="1:15" x14ac:dyDescent="0.25">
      <c r="A314" s="54">
        <v>45189</v>
      </c>
      <c r="B314" s="24">
        <f t="shared" si="16"/>
        <v>9</v>
      </c>
      <c r="C314" s="24">
        <f t="shared" si="17"/>
        <v>2023</v>
      </c>
      <c r="D314" s="104" t="s">
        <v>30</v>
      </c>
      <c r="E314" s="104" t="s">
        <v>93</v>
      </c>
      <c r="F314" s="104" t="s">
        <v>326</v>
      </c>
      <c r="K314" s="61">
        <v>894</v>
      </c>
      <c r="L314" s="49">
        <f t="shared" si="18"/>
        <v>34106</v>
      </c>
      <c r="M314" s="50">
        <f t="shared" si="19"/>
        <v>0</v>
      </c>
      <c r="N314" s="143"/>
      <c r="O314" s="26"/>
    </row>
    <row r="315" spans="1:15" x14ac:dyDescent="0.25">
      <c r="A315" s="54">
        <v>45189</v>
      </c>
      <c r="B315" s="24">
        <f t="shared" si="16"/>
        <v>9</v>
      </c>
      <c r="C315" s="24">
        <f t="shared" si="17"/>
        <v>2023</v>
      </c>
      <c r="D315" s="104" t="s">
        <v>109</v>
      </c>
      <c r="E315" s="104" t="s">
        <v>92</v>
      </c>
      <c r="F315" s="104" t="s">
        <v>219</v>
      </c>
      <c r="K315" s="61">
        <v>2800</v>
      </c>
      <c r="L315" s="49">
        <f t="shared" si="18"/>
        <v>31306</v>
      </c>
      <c r="M315" s="50">
        <f t="shared" si="19"/>
        <v>0</v>
      </c>
      <c r="N315" s="143"/>
      <c r="O315" s="26"/>
    </row>
    <row r="316" spans="1:15" x14ac:dyDescent="0.25">
      <c r="A316" s="54">
        <v>45189</v>
      </c>
      <c r="B316" s="24">
        <f t="shared" si="16"/>
        <v>9</v>
      </c>
      <c r="C316" s="24">
        <f t="shared" si="17"/>
        <v>2023</v>
      </c>
      <c r="D316" s="104" t="s">
        <v>89</v>
      </c>
      <c r="E316" s="104" t="s">
        <v>93</v>
      </c>
      <c r="F316" s="104" t="s">
        <v>327</v>
      </c>
      <c r="J316" s="61">
        <v>9000</v>
      </c>
      <c r="L316" s="49">
        <f t="shared" si="18"/>
        <v>40306</v>
      </c>
      <c r="M316" s="50">
        <f t="shared" si="19"/>
        <v>0</v>
      </c>
      <c r="N316" s="143"/>
      <c r="O316" s="26"/>
    </row>
    <row r="317" spans="1:15" x14ac:dyDescent="0.25">
      <c r="A317" s="54">
        <v>45189</v>
      </c>
      <c r="B317" s="24">
        <f t="shared" si="16"/>
        <v>9</v>
      </c>
      <c r="C317" s="24">
        <f t="shared" si="17"/>
        <v>2023</v>
      </c>
      <c r="D317" s="104" t="s">
        <v>89</v>
      </c>
      <c r="E317" s="104" t="s">
        <v>93</v>
      </c>
      <c r="F317" s="104" t="s">
        <v>179</v>
      </c>
      <c r="J317" s="61">
        <v>6000</v>
      </c>
      <c r="L317" s="49">
        <f t="shared" si="18"/>
        <v>46306</v>
      </c>
      <c r="M317" s="50">
        <f t="shared" si="19"/>
        <v>0</v>
      </c>
      <c r="N317" s="143"/>
      <c r="O317" s="26"/>
    </row>
    <row r="318" spans="1:15" x14ac:dyDescent="0.25">
      <c r="A318" s="54">
        <v>45189</v>
      </c>
      <c r="B318" s="24">
        <f t="shared" si="16"/>
        <v>9</v>
      </c>
      <c r="C318" s="24">
        <f t="shared" si="17"/>
        <v>2023</v>
      </c>
      <c r="D318" s="104" t="s">
        <v>109</v>
      </c>
      <c r="E318" s="104" t="s">
        <v>92</v>
      </c>
      <c r="F318" s="104" t="s">
        <v>328</v>
      </c>
      <c r="K318" s="61">
        <v>5000</v>
      </c>
      <c r="L318" s="49">
        <f t="shared" si="18"/>
        <v>41306</v>
      </c>
      <c r="M318" s="50">
        <f t="shared" si="19"/>
        <v>0</v>
      </c>
      <c r="N318" s="143"/>
      <c r="O318" s="26"/>
    </row>
    <row r="319" spans="1:15" x14ac:dyDescent="0.25">
      <c r="A319" s="54">
        <v>45189</v>
      </c>
      <c r="B319" s="24">
        <f t="shared" si="16"/>
        <v>9</v>
      </c>
      <c r="C319" s="24">
        <f t="shared" si="17"/>
        <v>2023</v>
      </c>
      <c r="D319" s="104" t="s">
        <v>122</v>
      </c>
      <c r="K319" s="61">
        <v>11306</v>
      </c>
      <c r="L319" s="49">
        <f t="shared" si="18"/>
        <v>30000</v>
      </c>
      <c r="M319" s="50">
        <f t="shared" si="19"/>
        <v>0</v>
      </c>
      <c r="N319" s="143"/>
      <c r="O319" s="26"/>
    </row>
    <row r="320" spans="1:15" x14ac:dyDescent="0.25">
      <c r="A320" s="54">
        <v>45190</v>
      </c>
      <c r="B320" s="24">
        <f t="shared" si="16"/>
        <v>9</v>
      </c>
      <c r="C320" s="24">
        <f t="shared" si="17"/>
        <v>2023</v>
      </c>
      <c r="D320" s="104" t="s">
        <v>112</v>
      </c>
      <c r="E320" s="104" t="s">
        <v>93</v>
      </c>
      <c r="K320" s="61">
        <v>5000</v>
      </c>
      <c r="L320" s="49">
        <f t="shared" si="18"/>
        <v>25000</v>
      </c>
      <c r="M320" s="50">
        <f t="shared" si="19"/>
        <v>0</v>
      </c>
      <c r="N320" s="143"/>
      <c r="O320" s="26"/>
    </row>
    <row r="321" spans="1:15" x14ac:dyDescent="0.25">
      <c r="A321" s="54">
        <v>45190</v>
      </c>
      <c r="B321" s="24">
        <f t="shared" si="16"/>
        <v>9</v>
      </c>
      <c r="C321" s="24">
        <f t="shared" si="17"/>
        <v>2023</v>
      </c>
      <c r="D321" s="104" t="s">
        <v>109</v>
      </c>
      <c r="E321" s="104" t="s">
        <v>93</v>
      </c>
      <c r="F321" s="104" t="s">
        <v>189</v>
      </c>
      <c r="K321" s="61">
        <v>1800</v>
      </c>
      <c r="L321" s="49">
        <f t="shared" si="18"/>
        <v>23200</v>
      </c>
      <c r="M321" s="50">
        <f t="shared" si="19"/>
        <v>0</v>
      </c>
      <c r="N321" s="143"/>
      <c r="O321" s="26"/>
    </row>
    <row r="322" spans="1:15" x14ac:dyDescent="0.25">
      <c r="A322" s="54">
        <v>45190</v>
      </c>
      <c r="B322" s="24">
        <f t="shared" si="16"/>
        <v>9</v>
      </c>
      <c r="C322" s="24">
        <f t="shared" si="17"/>
        <v>2023</v>
      </c>
      <c r="D322" s="104" t="s">
        <v>123</v>
      </c>
      <c r="E322" s="104" t="s">
        <v>93</v>
      </c>
      <c r="J322" s="61">
        <v>6800</v>
      </c>
      <c r="L322" s="49">
        <f t="shared" si="18"/>
        <v>30000</v>
      </c>
      <c r="M322" s="50">
        <f t="shared" si="19"/>
        <v>0</v>
      </c>
      <c r="N322" s="143"/>
      <c r="O322" s="26"/>
    </row>
    <row r="323" spans="1:15" x14ac:dyDescent="0.25">
      <c r="A323" s="54">
        <v>45191</v>
      </c>
      <c r="B323" s="24">
        <f t="shared" ref="B323:B386" si="20">MONTH(A323)</f>
        <v>9</v>
      </c>
      <c r="C323" s="24">
        <f t="shared" ref="C323:C386" si="21">YEAR(A323)</f>
        <v>2023</v>
      </c>
      <c r="D323" s="104" t="s">
        <v>89</v>
      </c>
      <c r="E323" s="104" t="s">
        <v>93</v>
      </c>
      <c r="F323" s="104" t="s">
        <v>329</v>
      </c>
      <c r="J323" s="61">
        <v>50000</v>
      </c>
      <c r="L323" s="49">
        <f t="shared" si="18"/>
        <v>80000</v>
      </c>
      <c r="M323" s="50">
        <f t="shared" si="19"/>
        <v>0</v>
      </c>
      <c r="N323" s="143"/>
      <c r="O323" s="26"/>
    </row>
    <row r="324" spans="1:15" x14ac:dyDescent="0.25">
      <c r="A324" s="54">
        <v>45191</v>
      </c>
      <c r="B324" s="24">
        <f t="shared" si="20"/>
        <v>9</v>
      </c>
      <c r="C324" s="24">
        <f t="shared" si="21"/>
        <v>2023</v>
      </c>
      <c r="D324" s="104" t="s">
        <v>123</v>
      </c>
      <c r="E324" s="104" t="s">
        <v>93</v>
      </c>
      <c r="J324" s="61">
        <v>28000</v>
      </c>
      <c r="L324" s="49">
        <f t="shared" ref="L324:L387" si="22">IF((L323+M323+J324-K324)&gt;0,(L323+M323+J324-K324),0)</f>
        <v>108000</v>
      </c>
      <c r="M324" s="50">
        <f t="shared" ref="M324:M387" si="23">IF((L323+M323+J324-K324)&lt;0,(L323+M323+J324-K324),0)</f>
        <v>0</v>
      </c>
      <c r="N324" s="143"/>
      <c r="O324" s="26"/>
    </row>
    <row r="325" spans="1:15" x14ac:dyDescent="0.25">
      <c r="A325" s="54">
        <v>45191</v>
      </c>
      <c r="B325" s="24">
        <f t="shared" si="20"/>
        <v>9</v>
      </c>
      <c r="C325" s="24">
        <f t="shared" si="21"/>
        <v>2023</v>
      </c>
      <c r="D325" s="104" t="s">
        <v>109</v>
      </c>
      <c r="E325" s="104" t="s">
        <v>93</v>
      </c>
      <c r="F325" s="104" t="s">
        <v>330</v>
      </c>
      <c r="K325" s="61">
        <v>28000</v>
      </c>
      <c r="L325" s="49">
        <f t="shared" si="22"/>
        <v>80000</v>
      </c>
      <c r="M325" s="50">
        <f t="shared" si="23"/>
        <v>0</v>
      </c>
      <c r="N325" s="143"/>
      <c r="O325" s="26"/>
    </row>
    <row r="326" spans="1:15" x14ac:dyDescent="0.25">
      <c r="A326" s="54">
        <v>45191</v>
      </c>
      <c r="B326" s="24">
        <f t="shared" si="20"/>
        <v>9</v>
      </c>
      <c r="C326" s="24">
        <f t="shared" si="21"/>
        <v>2023</v>
      </c>
      <c r="D326" s="104" t="s">
        <v>109</v>
      </c>
      <c r="E326" s="104" t="s">
        <v>93</v>
      </c>
      <c r="F326" s="104" t="s">
        <v>332</v>
      </c>
      <c r="K326" s="61">
        <v>10000</v>
      </c>
      <c r="L326" s="49">
        <f t="shared" si="22"/>
        <v>70000</v>
      </c>
      <c r="M326" s="50">
        <f t="shared" si="23"/>
        <v>0</v>
      </c>
      <c r="N326" s="143"/>
      <c r="O326" s="26"/>
    </row>
    <row r="327" spans="1:15" x14ac:dyDescent="0.25">
      <c r="A327" s="54">
        <v>45191</v>
      </c>
      <c r="B327" s="24">
        <f t="shared" si="20"/>
        <v>9</v>
      </c>
      <c r="C327" s="24">
        <f t="shared" si="21"/>
        <v>2023</v>
      </c>
      <c r="D327" s="104" t="s">
        <v>124</v>
      </c>
      <c r="E327" s="104" t="s">
        <v>93</v>
      </c>
      <c r="G327" s="104" t="s">
        <v>333</v>
      </c>
      <c r="K327" s="61">
        <v>33350</v>
      </c>
      <c r="L327" s="49">
        <f t="shared" si="22"/>
        <v>36650</v>
      </c>
      <c r="M327" s="50">
        <f t="shared" si="23"/>
        <v>0</v>
      </c>
      <c r="N327" s="143"/>
      <c r="O327" s="26"/>
    </row>
    <row r="328" spans="1:15" x14ac:dyDescent="0.25">
      <c r="A328" s="54">
        <v>45191</v>
      </c>
      <c r="B328" s="24">
        <f t="shared" si="20"/>
        <v>9</v>
      </c>
      <c r="C328" s="24">
        <f t="shared" si="21"/>
        <v>2023</v>
      </c>
      <c r="D328" s="104" t="s">
        <v>51</v>
      </c>
      <c r="E328" s="104" t="s">
        <v>93</v>
      </c>
      <c r="F328" s="104" t="s">
        <v>334</v>
      </c>
      <c r="K328" s="61">
        <v>2500</v>
      </c>
      <c r="L328" s="49">
        <f t="shared" si="22"/>
        <v>34150</v>
      </c>
      <c r="M328" s="50">
        <f t="shared" si="23"/>
        <v>0</v>
      </c>
      <c r="N328" s="143"/>
      <c r="O328" s="26"/>
    </row>
    <row r="329" spans="1:15" x14ac:dyDescent="0.25">
      <c r="A329" s="54">
        <v>45191</v>
      </c>
      <c r="B329" s="24">
        <f t="shared" si="20"/>
        <v>9</v>
      </c>
      <c r="C329" s="24">
        <f t="shared" si="21"/>
        <v>2023</v>
      </c>
      <c r="D329" s="104" t="s">
        <v>89</v>
      </c>
      <c r="E329" s="104" t="s">
        <v>93</v>
      </c>
      <c r="F329" s="104" t="s">
        <v>335</v>
      </c>
      <c r="J329" s="61">
        <v>5500</v>
      </c>
      <c r="L329" s="49">
        <f t="shared" si="22"/>
        <v>39650</v>
      </c>
      <c r="M329" s="50">
        <f t="shared" si="23"/>
        <v>0</v>
      </c>
      <c r="N329" s="143"/>
      <c r="O329" s="26"/>
    </row>
    <row r="330" spans="1:15" x14ac:dyDescent="0.25">
      <c r="A330" s="54">
        <v>45191</v>
      </c>
      <c r="B330" s="24">
        <f t="shared" si="20"/>
        <v>9</v>
      </c>
      <c r="C330" s="24">
        <f t="shared" si="21"/>
        <v>2023</v>
      </c>
      <c r="D330" s="104" t="s">
        <v>123</v>
      </c>
      <c r="E330" s="104" t="s">
        <v>93</v>
      </c>
      <c r="J330" s="61">
        <v>33350</v>
      </c>
      <c r="L330" s="49">
        <f t="shared" si="22"/>
        <v>73000</v>
      </c>
      <c r="M330" s="50">
        <f t="shared" si="23"/>
        <v>0</v>
      </c>
      <c r="N330" s="143"/>
      <c r="O330" s="26"/>
    </row>
    <row r="331" spans="1:15" x14ac:dyDescent="0.25">
      <c r="A331" s="54">
        <v>45191</v>
      </c>
      <c r="B331" s="24">
        <f t="shared" si="20"/>
        <v>9</v>
      </c>
      <c r="C331" s="24">
        <f t="shared" si="21"/>
        <v>2023</v>
      </c>
      <c r="D331" s="104" t="s">
        <v>112</v>
      </c>
      <c r="E331" s="104" t="s">
        <v>93</v>
      </c>
      <c r="K331" s="61">
        <v>43000</v>
      </c>
      <c r="L331" s="49">
        <f t="shared" si="22"/>
        <v>30000</v>
      </c>
      <c r="M331" s="50">
        <f t="shared" si="23"/>
        <v>0</v>
      </c>
      <c r="N331" s="143"/>
      <c r="O331" s="26"/>
    </row>
    <row r="332" spans="1:15" x14ac:dyDescent="0.25">
      <c r="A332" s="54">
        <v>45192</v>
      </c>
      <c r="B332" s="24">
        <f t="shared" si="20"/>
        <v>9</v>
      </c>
      <c r="C332" s="24">
        <f t="shared" si="21"/>
        <v>2023</v>
      </c>
      <c r="D332" s="104" t="s">
        <v>123</v>
      </c>
      <c r="E332" s="104" t="s">
        <v>93</v>
      </c>
      <c r="J332" s="61">
        <v>230000</v>
      </c>
      <c r="L332" s="49">
        <f t="shared" si="22"/>
        <v>260000</v>
      </c>
      <c r="M332" s="50">
        <f t="shared" si="23"/>
        <v>0</v>
      </c>
      <c r="N332" s="143"/>
      <c r="O332" s="26"/>
    </row>
    <row r="333" spans="1:15" x14ac:dyDescent="0.25">
      <c r="A333" s="54">
        <v>45192</v>
      </c>
      <c r="B333" s="24">
        <f t="shared" si="20"/>
        <v>9</v>
      </c>
      <c r="C333" s="24">
        <f t="shared" si="21"/>
        <v>2023</v>
      </c>
      <c r="D333" s="104" t="s">
        <v>92</v>
      </c>
      <c r="E333" s="104" t="s">
        <v>93</v>
      </c>
      <c r="F333" s="104" t="s">
        <v>337</v>
      </c>
      <c r="K333" s="61">
        <v>230000</v>
      </c>
      <c r="L333" s="49">
        <f t="shared" si="22"/>
        <v>30000</v>
      </c>
      <c r="M333" s="50">
        <f t="shared" si="23"/>
        <v>0</v>
      </c>
      <c r="N333" s="143"/>
      <c r="O333" s="26"/>
    </row>
    <row r="334" spans="1:15" x14ac:dyDescent="0.25">
      <c r="A334" s="54">
        <v>45192</v>
      </c>
      <c r="B334" s="24">
        <f t="shared" si="20"/>
        <v>9</v>
      </c>
      <c r="C334" s="24">
        <f t="shared" si="21"/>
        <v>2023</v>
      </c>
      <c r="D334" s="104" t="s">
        <v>123</v>
      </c>
      <c r="E334" s="104" t="s">
        <v>93</v>
      </c>
      <c r="J334" s="61">
        <v>50000</v>
      </c>
      <c r="L334" s="49">
        <f t="shared" si="22"/>
        <v>80000</v>
      </c>
      <c r="M334" s="50">
        <f t="shared" si="23"/>
        <v>0</v>
      </c>
      <c r="N334" s="143"/>
      <c r="O334" s="26"/>
    </row>
    <row r="335" spans="1:15" x14ac:dyDescent="0.25">
      <c r="A335" s="54">
        <v>45192</v>
      </c>
      <c r="B335" s="24">
        <f t="shared" si="20"/>
        <v>9</v>
      </c>
      <c r="C335" s="24">
        <f t="shared" si="21"/>
        <v>2023</v>
      </c>
      <c r="D335" s="104" t="s">
        <v>500</v>
      </c>
      <c r="E335" s="104" t="s">
        <v>93</v>
      </c>
      <c r="F335" s="104" t="s">
        <v>338</v>
      </c>
      <c r="K335" s="61">
        <v>50000</v>
      </c>
      <c r="L335" s="49">
        <f t="shared" si="22"/>
        <v>30000</v>
      </c>
      <c r="M335" s="50">
        <f t="shared" si="23"/>
        <v>0</v>
      </c>
      <c r="N335" s="143"/>
      <c r="O335" s="26"/>
    </row>
    <row r="336" spans="1:15" x14ac:dyDescent="0.25">
      <c r="A336" s="54">
        <v>45194</v>
      </c>
      <c r="B336" s="24">
        <f t="shared" si="20"/>
        <v>9</v>
      </c>
      <c r="C336" s="24">
        <f t="shared" si="21"/>
        <v>2023</v>
      </c>
      <c r="D336" s="104" t="s">
        <v>89</v>
      </c>
      <c r="E336" s="104" t="s">
        <v>93</v>
      </c>
      <c r="F336" s="104" t="s">
        <v>336</v>
      </c>
      <c r="J336" s="61">
        <v>82000</v>
      </c>
      <c r="L336" s="49">
        <f t="shared" si="22"/>
        <v>112000</v>
      </c>
      <c r="M336" s="50">
        <f t="shared" si="23"/>
        <v>0</v>
      </c>
      <c r="N336" s="143"/>
      <c r="O336" s="26"/>
    </row>
    <row r="337" spans="1:15" x14ac:dyDescent="0.25">
      <c r="A337" s="54">
        <v>45194</v>
      </c>
      <c r="B337" s="24">
        <f t="shared" si="20"/>
        <v>9</v>
      </c>
      <c r="C337" s="24">
        <f t="shared" si="21"/>
        <v>2023</v>
      </c>
      <c r="D337" s="104" t="s">
        <v>109</v>
      </c>
      <c r="E337" s="104" t="s">
        <v>92</v>
      </c>
      <c r="F337" s="104" t="s">
        <v>339</v>
      </c>
      <c r="K337" s="61">
        <v>9980</v>
      </c>
      <c r="L337" s="49">
        <f t="shared" si="22"/>
        <v>102020</v>
      </c>
      <c r="M337" s="50">
        <f t="shared" si="23"/>
        <v>0</v>
      </c>
      <c r="N337" s="143"/>
      <c r="O337" s="26"/>
    </row>
    <row r="338" spans="1:15" x14ac:dyDescent="0.25">
      <c r="A338" s="54">
        <v>45194</v>
      </c>
      <c r="B338" s="24">
        <f t="shared" si="20"/>
        <v>9</v>
      </c>
      <c r="C338" s="24">
        <f t="shared" si="21"/>
        <v>2023</v>
      </c>
      <c r="D338" s="104" t="s">
        <v>109</v>
      </c>
      <c r="E338" s="104" t="s">
        <v>93</v>
      </c>
      <c r="F338" s="104" t="s">
        <v>340</v>
      </c>
      <c r="K338" s="61">
        <v>5800</v>
      </c>
      <c r="L338" s="49">
        <f t="shared" si="22"/>
        <v>96220</v>
      </c>
      <c r="M338" s="50">
        <f t="shared" si="23"/>
        <v>0</v>
      </c>
      <c r="N338" s="143"/>
      <c r="O338" s="26"/>
    </row>
    <row r="339" spans="1:15" x14ac:dyDescent="0.25">
      <c r="A339" s="54">
        <v>45194</v>
      </c>
      <c r="B339" s="24">
        <f t="shared" si="20"/>
        <v>9</v>
      </c>
      <c r="C339" s="24">
        <f t="shared" si="21"/>
        <v>2023</v>
      </c>
      <c r="D339" s="104" t="s">
        <v>122</v>
      </c>
      <c r="E339" s="104" t="s">
        <v>93</v>
      </c>
      <c r="F339" s="104" t="s">
        <v>341</v>
      </c>
      <c r="K339" s="61">
        <v>82000</v>
      </c>
      <c r="L339" s="49">
        <f t="shared" si="22"/>
        <v>14220</v>
      </c>
      <c r="M339" s="50">
        <f t="shared" si="23"/>
        <v>0</v>
      </c>
      <c r="N339" s="143"/>
      <c r="O339" s="26"/>
    </row>
    <row r="340" spans="1:15" x14ac:dyDescent="0.25">
      <c r="A340" s="54">
        <v>45194</v>
      </c>
      <c r="B340" s="24">
        <f t="shared" si="20"/>
        <v>9</v>
      </c>
      <c r="C340" s="24">
        <f t="shared" si="21"/>
        <v>2023</v>
      </c>
      <c r="D340" s="104" t="s">
        <v>123</v>
      </c>
      <c r="E340" s="104" t="s">
        <v>93</v>
      </c>
      <c r="J340" s="61">
        <v>15780</v>
      </c>
      <c r="L340" s="49">
        <f t="shared" si="22"/>
        <v>30000</v>
      </c>
      <c r="M340" s="50">
        <f t="shared" si="23"/>
        <v>0</v>
      </c>
      <c r="N340" s="143"/>
      <c r="O340" s="26"/>
    </row>
    <row r="341" spans="1:15" x14ac:dyDescent="0.25">
      <c r="A341" s="54">
        <v>45195</v>
      </c>
      <c r="B341" s="24">
        <f t="shared" si="20"/>
        <v>9</v>
      </c>
      <c r="C341" s="24">
        <f t="shared" si="21"/>
        <v>2023</v>
      </c>
      <c r="D341" s="104" t="s">
        <v>123</v>
      </c>
      <c r="E341" s="104" t="s">
        <v>93</v>
      </c>
      <c r="J341" s="61">
        <v>5000</v>
      </c>
      <c r="L341" s="49">
        <f t="shared" si="22"/>
        <v>35000</v>
      </c>
      <c r="M341" s="50">
        <f t="shared" si="23"/>
        <v>0</v>
      </c>
      <c r="N341" s="143"/>
      <c r="O341" s="26"/>
    </row>
    <row r="342" spans="1:15" x14ac:dyDescent="0.25">
      <c r="A342" s="54">
        <v>45195</v>
      </c>
      <c r="B342" s="24">
        <f t="shared" si="20"/>
        <v>9</v>
      </c>
      <c r="C342" s="24">
        <f t="shared" si="21"/>
        <v>2023</v>
      </c>
      <c r="D342" s="104" t="s">
        <v>112</v>
      </c>
      <c r="E342" s="104" t="s">
        <v>93</v>
      </c>
      <c r="K342" s="61">
        <v>5000</v>
      </c>
      <c r="L342" s="49">
        <f t="shared" si="22"/>
        <v>30000</v>
      </c>
      <c r="M342" s="50">
        <f t="shared" si="23"/>
        <v>0</v>
      </c>
      <c r="N342" s="143"/>
      <c r="O342" s="26"/>
    </row>
    <row r="343" spans="1:15" x14ac:dyDescent="0.25">
      <c r="A343" s="54">
        <v>45195</v>
      </c>
      <c r="B343" s="24">
        <f t="shared" si="20"/>
        <v>9</v>
      </c>
      <c r="C343" s="24">
        <f t="shared" si="21"/>
        <v>2023</v>
      </c>
      <c r="D343" s="104" t="s">
        <v>89</v>
      </c>
      <c r="E343" s="104" t="s">
        <v>93</v>
      </c>
      <c r="F343" s="104" t="s">
        <v>342</v>
      </c>
      <c r="J343" s="61">
        <v>13625</v>
      </c>
      <c r="L343" s="49">
        <f t="shared" si="22"/>
        <v>43625</v>
      </c>
      <c r="M343" s="50">
        <f t="shared" si="23"/>
        <v>0</v>
      </c>
      <c r="N343" s="143"/>
      <c r="O343" s="26"/>
    </row>
    <row r="344" spans="1:15" x14ac:dyDescent="0.25">
      <c r="A344" s="54">
        <v>45195</v>
      </c>
      <c r="B344" s="24">
        <f t="shared" si="20"/>
        <v>9</v>
      </c>
      <c r="C344" s="24">
        <f t="shared" si="21"/>
        <v>2023</v>
      </c>
      <c r="D344" s="104" t="s">
        <v>123</v>
      </c>
      <c r="E344" s="104" t="s">
        <v>93</v>
      </c>
      <c r="J344" s="61">
        <v>6000</v>
      </c>
      <c r="L344" s="49">
        <f t="shared" si="22"/>
        <v>49625</v>
      </c>
      <c r="M344" s="50">
        <f t="shared" si="23"/>
        <v>0</v>
      </c>
      <c r="N344" s="143"/>
      <c r="O344" s="26"/>
    </row>
    <row r="345" spans="1:15" x14ac:dyDescent="0.25">
      <c r="A345" s="54">
        <v>45195</v>
      </c>
      <c r="B345" s="24">
        <f t="shared" si="20"/>
        <v>9</v>
      </c>
      <c r="C345" s="24">
        <f t="shared" si="21"/>
        <v>2023</v>
      </c>
      <c r="D345" s="104" t="s">
        <v>109</v>
      </c>
      <c r="E345" s="104" t="s">
        <v>343</v>
      </c>
      <c r="F345" s="104" t="s">
        <v>344</v>
      </c>
      <c r="K345" s="61">
        <v>6000</v>
      </c>
      <c r="L345" s="49">
        <f t="shared" si="22"/>
        <v>43625</v>
      </c>
      <c r="M345" s="50">
        <f t="shared" si="23"/>
        <v>0</v>
      </c>
      <c r="N345" s="143"/>
      <c r="O345" s="26"/>
    </row>
    <row r="346" spans="1:15" x14ac:dyDescent="0.25">
      <c r="A346" s="54">
        <v>45195</v>
      </c>
      <c r="B346" s="24">
        <f t="shared" si="20"/>
        <v>9</v>
      </c>
      <c r="C346" s="24">
        <f t="shared" si="21"/>
        <v>2023</v>
      </c>
      <c r="D346" s="104" t="s">
        <v>110</v>
      </c>
      <c r="E346" s="104" t="s">
        <v>343</v>
      </c>
      <c r="F346" s="104" t="s">
        <v>345</v>
      </c>
      <c r="J346" s="61">
        <v>14000</v>
      </c>
      <c r="L346" s="49">
        <f t="shared" si="22"/>
        <v>57625</v>
      </c>
      <c r="M346" s="50">
        <f t="shared" si="23"/>
        <v>0</v>
      </c>
      <c r="N346" s="143"/>
      <c r="O346" s="26"/>
    </row>
    <row r="347" spans="1:15" x14ac:dyDescent="0.25">
      <c r="A347" s="54">
        <v>45195</v>
      </c>
      <c r="B347" s="24">
        <f t="shared" si="20"/>
        <v>9</v>
      </c>
      <c r="C347" s="24">
        <f t="shared" si="21"/>
        <v>2023</v>
      </c>
      <c r="D347" s="104" t="s">
        <v>89</v>
      </c>
      <c r="E347" s="104" t="s">
        <v>343</v>
      </c>
      <c r="F347" s="104" t="s">
        <v>336</v>
      </c>
      <c r="J347" s="61">
        <v>7133</v>
      </c>
      <c r="L347" s="49">
        <f t="shared" si="22"/>
        <v>64758</v>
      </c>
      <c r="M347" s="50">
        <f t="shared" si="23"/>
        <v>0</v>
      </c>
      <c r="N347" s="143"/>
      <c r="O347" s="26"/>
    </row>
    <row r="348" spans="1:15" x14ac:dyDescent="0.25">
      <c r="A348" s="54">
        <v>45195</v>
      </c>
      <c r="B348" s="24">
        <f t="shared" si="20"/>
        <v>9</v>
      </c>
      <c r="C348" s="24">
        <f t="shared" si="21"/>
        <v>2023</v>
      </c>
      <c r="D348" s="104" t="s">
        <v>123</v>
      </c>
      <c r="E348" s="104" t="s">
        <v>343</v>
      </c>
      <c r="J348" s="61">
        <v>1690</v>
      </c>
      <c r="L348" s="49">
        <f t="shared" si="22"/>
        <v>66448</v>
      </c>
      <c r="M348" s="50">
        <f t="shared" si="23"/>
        <v>0</v>
      </c>
      <c r="N348" s="143"/>
      <c r="O348" s="26"/>
    </row>
    <row r="349" spans="1:15" x14ac:dyDescent="0.25">
      <c r="A349" s="54">
        <v>45195</v>
      </c>
      <c r="B349" s="24">
        <f t="shared" si="20"/>
        <v>9</v>
      </c>
      <c r="C349" s="24">
        <f t="shared" si="21"/>
        <v>2023</v>
      </c>
      <c r="D349" s="104" t="s">
        <v>109</v>
      </c>
      <c r="E349" s="104" t="s">
        <v>343</v>
      </c>
      <c r="F349" s="104" t="s">
        <v>344</v>
      </c>
      <c r="K349" s="61">
        <v>1690</v>
      </c>
      <c r="L349" s="49">
        <f t="shared" si="22"/>
        <v>64758</v>
      </c>
      <c r="M349" s="50">
        <f t="shared" si="23"/>
        <v>0</v>
      </c>
      <c r="N349" s="143"/>
      <c r="O349" s="26"/>
    </row>
    <row r="350" spans="1:15" x14ac:dyDescent="0.25">
      <c r="A350" s="54">
        <v>45195</v>
      </c>
      <c r="B350" s="24">
        <f t="shared" si="20"/>
        <v>9</v>
      </c>
      <c r="C350" s="24">
        <f t="shared" si="21"/>
        <v>2023</v>
      </c>
      <c r="D350" s="104" t="s">
        <v>123</v>
      </c>
      <c r="E350" s="104" t="s">
        <v>343</v>
      </c>
      <c r="J350" s="61">
        <v>96000</v>
      </c>
      <c r="L350" s="49">
        <f t="shared" si="22"/>
        <v>160758</v>
      </c>
      <c r="M350" s="50">
        <f t="shared" si="23"/>
        <v>0</v>
      </c>
      <c r="N350" s="143"/>
      <c r="O350" s="26"/>
    </row>
    <row r="351" spans="1:15" x14ac:dyDescent="0.25">
      <c r="A351" s="54">
        <v>45195</v>
      </c>
      <c r="B351" s="24">
        <f t="shared" si="20"/>
        <v>9</v>
      </c>
      <c r="C351" s="24">
        <f t="shared" si="21"/>
        <v>2023</v>
      </c>
      <c r="D351" s="104" t="s">
        <v>109</v>
      </c>
      <c r="E351" s="104" t="s">
        <v>343</v>
      </c>
      <c r="F351" s="104" t="s">
        <v>346</v>
      </c>
      <c r="K351" s="61">
        <v>96000</v>
      </c>
      <c r="L351" s="49">
        <f t="shared" si="22"/>
        <v>64758</v>
      </c>
      <c r="M351" s="50">
        <f t="shared" si="23"/>
        <v>0</v>
      </c>
      <c r="N351" s="143"/>
      <c r="O351" s="26"/>
    </row>
    <row r="352" spans="1:15" x14ac:dyDescent="0.25">
      <c r="A352" s="54">
        <v>45195</v>
      </c>
      <c r="B352" s="24">
        <f t="shared" si="20"/>
        <v>9</v>
      </c>
      <c r="C352" s="24">
        <f t="shared" si="21"/>
        <v>2023</v>
      </c>
      <c r="D352" s="104" t="s">
        <v>122</v>
      </c>
      <c r="E352" s="104" t="s">
        <v>93</v>
      </c>
      <c r="K352" s="61">
        <v>34758</v>
      </c>
      <c r="L352" s="49">
        <f t="shared" si="22"/>
        <v>30000</v>
      </c>
      <c r="M352" s="50">
        <f t="shared" si="23"/>
        <v>0</v>
      </c>
      <c r="N352" s="143"/>
      <c r="O352" s="26"/>
    </row>
    <row r="353" spans="1:19" x14ac:dyDescent="0.25">
      <c r="A353" s="54">
        <v>45196</v>
      </c>
      <c r="B353" s="24">
        <f t="shared" si="20"/>
        <v>9</v>
      </c>
      <c r="C353" s="24">
        <f t="shared" si="21"/>
        <v>2023</v>
      </c>
      <c r="D353" s="104" t="s">
        <v>89</v>
      </c>
      <c r="E353" s="104" t="s">
        <v>93</v>
      </c>
      <c r="F353" s="104" t="s">
        <v>348</v>
      </c>
      <c r="J353" s="61">
        <v>107100</v>
      </c>
      <c r="L353" s="49">
        <f t="shared" si="22"/>
        <v>137100</v>
      </c>
      <c r="M353" s="50">
        <f t="shared" si="23"/>
        <v>0</v>
      </c>
      <c r="N353" s="143"/>
      <c r="O353" s="26"/>
      <c r="Q353" s="18"/>
      <c r="R353" s="18"/>
      <c r="S353" s="18"/>
    </row>
    <row r="354" spans="1:19" x14ac:dyDescent="0.25">
      <c r="A354" s="54">
        <v>45196</v>
      </c>
      <c r="B354" s="24">
        <f t="shared" si="20"/>
        <v>9</v>
      </c>
      <c r="C354" s="24">
        <f t="shared" si="21"/>
        <v>2023</v>
      </c>
      <c r="D354" s="104" t="s">
        <v>123</v>
      </c>
      <c r="E354" s="104" t="s">
        <v>343</v>
      </c>
      <c r="J354" s="61">
        <v>34200</v>
      </c>
      <c r="L354" s="49">
        <f t="shared" si="22"/>
        <v>171300</v>
      </c>
      <c r="M354" s="50">
        <f t="shared" si="23"/>
        <v>0</v>
      </c>
      <c r="N354" s="143"/>
      <c r="O354" s="26"/>
    </row>
    <row r="355" spans="1:19" x14ac:dyDescent="0.25">
      <c r="A355" s="54">
        <v>45196</v>
      </c>
      <c r="B355" s="24">
        <f t="shared" si="20"/>
        <v>9</v>
      </c>
      <c r="C355" s="24">
        <f t="shared" si="21"/>
        <v>2023</v>
      </c>
      <c r="D355" s="104" t="s">
        <v>124</v>
      </c>
      <c r="E355" s="104" t="s">
        <v>343</v>
      </c>
      <c r="F355" s="104" t="s">
        <v>349</v>
      </c>
      <c r="K355" s="61">
        <v>34200</v>
      </c>
      <c r="L355" s="49">
        <f t="shared" si="22"/>
        <v>137100</v>
      </c>
      <c r="M355" s="50">
        <f t="shared" si="23"/>
        <v>0</v>
      </c>
      <c r="N355" s="143"/>
      <c r="O355" s="26"/>
    </row>
    <row r="356" spans="1:19" x14ac:dyDescent="0.25">
      <c r="A356" s="54">
        <v>45196</v>
      </c>
      <c r="B356" s="24">
        <f t="shared" si="20"/>
        <v>9</v>
      </c>
      <c r="C356" s="24">
        <f t="shared" si="21"/>
        <v>2023</v>
      </c>
      <c r="D356" s="104" t="s">
        <v>123</v>
      </c>
      <c r="E356" s="104" t="s">
        <v>343</v>
      </c>
      <c r="J356" s="61">
        <v>262377.84000000003</v>
      </c>
      <c r="L356" s="49">
        <f t="shared" si="22"/>
        <v>399477.84</v>
      </c>
      <c r="M356" s="50">
        <f t="shared" si="23"/>
        <v>0</v>
      </c>
      <c r="N356" s="143"/>
      <c r="O356" s="26"/>
    </row>
    <row r="357" spans="1:19" x14ac:dyDescent="0.25">
      <c r="A357" s="54">
        <v>45196</v>
      </c>
      <c r="B357" s="24">
        <f t="shared" si="20"/>
        <v>9</v>
      </c>
      <c r="C357" s="24">
        <f t="shared" si="21"/>
        <v>2023</v>
      </c>
      <c r="D357" s="104" t="s">
        <v>124</v>
      </c>
      <c r="E357" s="104" t="s">
        <v>343</v>
      </c>
      <c r="F357" s="104" t="s">
        <v>350</v>
      </c>
      <c r="K357" s="61">
        <v>262377.84000000003</v>
      </c>
      <c r="L357" s="49">
        <f t="shared" si="22"/>
        <v>137100</v>
      </c>
      <c r="M357" s="50">
        <f t="shared" si="23"/>
        <v>0</v>
      </c>
      <c r="N357" s="143"/>
      <c r="O357" s="26"/>
    </row>
    <row r="358" spans="1:19" x14ac:dyDescent="0.25">
      <c r="A358" s="54">
        <v>45196</v>
      </c>
      <c r="B358" s="24">
        <f t="shared" si="20"/>
        <v>9</v>
      </c>
      <c r="C358" s="24">
        <f t="shared" si="21"/>
        <v>2023</v>
      </c>
      <c r="D358" s="104" t="s">
        <v>51</v>
      </c>
      <c r="E358" s="104" t="s">
        <v>343</v>
      </c>
      <c r="F358" s="104" t="s">
        <v>351</v>
      </c>
      <c r="K358" s="61">
        <v>5000</v>
      </c>
      <c r="L358" s="49">
        <f t="shared" si="22"/>
        <v>132100</v>
      </c>
      <c r="M358" s="50">
        <f t="shared" si="23"/>
        <v>0</v>
      </c>
      <c r="N358" s="143"/>
      <c r="O358" s="26"/>
    </row>
    <row r="359" spans="1:19" x14ac:dyDescent="0.25">
      <c r="A359" s="54">
        <v>45196</v>
      </c>
      <c r="B359" s="24">
        <f t="shared" si="20"/>
        <v>9</v>
      </c>
      <c r="C359" s="24">
        <f t="shared" si="21"/>
        <v>2023</v>
      </c>
      <c r="D359" s="104" t="s">
        <v>352</v>
      </c>
      <c r="E359" s="104" t="s">
        <v>343</v>
      </c>
      <c r="F359" s="104" t="s">
        <v>353</v>
      </c>
      <c r="J359" s="61">
        <v>30000</v>
      </c>
      <c r="L359" s="49">
        <f t="shared" si="22"/>
        <v>162100</v>
      </c>
      <c r="M359" s="50">
        <f t="shared" si="23"/>
        <v>0</v>
      </c>
      <c r="N359" s="143"/>
      <c r="O359" s="26"/>
    </row>
    <row r="360" spans="1:19" x14ac:dyDescent="0.25">
      <c r="A360" s="54">
        <v>45196</v>
      </c>
      <c r="B360" s="24">
        <f t="shared" si="20"/>
        <v>9</v>
      </c>
      <c r="C360" s="24">
        <f t="shared" si="21"/>
        <v>2023</v>
      </c>
      <c r="D360" s="104" t="s">
        <v>109</v>
      </c>
      <c r="E360" s="104" t="s">
        <v>343</v>
      </c>
      <c r="F360" s="104" t="s">
        <v>354</v>
      </c>
      <c r="K360" s="61">
        <v>1800</v>
      </c>
      <c r="L360" s="49">
        <f t="shared" si="22"/>
        <v>160300</v>
      </c>
      <c r="M360" s="50">
        <f t="shared" si="23"/>
        <v>0</v>
      </c>
      <c r="N360" s="143"/>
      <c r="O360" s="26"/>
    </row>
    <row r="361" spans="1:19" x14ac:dyDescent="0.25">
      <c r="A361" s="54">
        <v>45196</v>
      </c>
      <c r="B361" s="24">
        <f t="shared" si="20"/>
        <v>9</v>
      </c>
      <c r="C361" s="24">
        <f t="shared" si="21"/>
        <v>2023</v>
      </c>
      <c r="D361" s="104" t="s">
        <v>109</v>
      </c>
      <c r="E361" s="104" t="s">
        <v>93</v>
      </c>
      <c r="F361" s="104" t="s">
        <v>355</v>
      </c>
      <c r="K361" s="61">
        <v>500</v>
      </c>
      <c r="L361" s="49">
        <f t="shared" si="22"/>
        <v>159800</v>
      </c>
      <c r="M361" s="50">
        <f t="shared" si="23"/>
        <v>0</v>
      </c>
      <c r="N361" s="143"/>
      <c r="O361" s="26"/>
    </row>
    <row r="362" spans="1:19" x14ac:dyDescent="0.25">
      <c r="A362" s="54">
        <v>45196</v>
      </c>
      <c r="B362" s="24">
        <f t="shared" si="20"/>
        <v>9</v>
      </c>
      <c r="C362" s="24">
        <f t="shared" si="21"/>
        <v>2023</v>
      </c>
      <c r="D362" s="104" t="s">
        <v>122</v>
      </c>
      <c r="E362" s="104" t="s">
        <v>343</v>
      </c>
      <c r="K362" s="61">
        <v>129800</v>
      </c>
      <c r="L362" s="49">
        <f t="shared" si="22"/>
        <v>30000</v>
      </c>
      <c r="M362" s="50">
        <f t="shared" si="23"/>
        <v>0</v>
      </c>
      <c r="N362" s="143"/>
      <c r="O362" s="26"/>
    </row>
    <row r="363" spans="1:19" x14ac:dyDescent="0.25">
      <c r="A363" s="54">
        <v>45197</v>
      </c>
      <c r="B363" s="24">
        <f t="shared" si="20"/>
        <v>9</v>
      </c>
      <c r="C363" s="24">
        <f t="shared" si="21"/>
        <v>2023</v>
      </c>
      <c r="D363" s="104" t="s">
        <v>89</v>
      </c>
      <c r="E363" s="104" t="s">
        <v>93</v>
      </c>
      <c r="F363" s="104" t="s">
        <v>356</v>
      </c>
      <c r="J363" s="61">
        <v>15000</v>
      </c>
      <c r="L363" s="49">
        <f t="shared" si="22"/>
        <v>45000</v>
      </c>
      <c r="M363" s="50">
        <f t="shared" si="23"/>
        <v>0</v>
      </c>
      <c r="N363" s="143"/>
      <c r="O363" s="26"/>
    </row>
    <row r="364" spans="1:19" x14ac:dyDescent="0.25">
      <c r="A364" s="54">
        <v>45197</v>
      </c>
      <c r="B364" s="24">
        <f t="shared" si="20"/>
        <v>9</v>
      </c>
      <c r="C364" s="24">
        <f t="shared" si="21"/>
        <v>2023</v>
      </c>
      <c r="D364" s="104" t="s">
        <v>89</v>
      </c>
      <c r="E364" s="104" t="s">
        <v>93</v>
      </c>
      <c r="F364" s="104" t="s">
        <v>357</v>
      </c>
      <c r="J364" s="61">
        <v>34000</v>
      </c>
      <c r="L364" s="49">
        <f t="shared" si="22"/>
        <v>79000</v>
      </c>
      <c r="M364" s="50">
        <f t="shared" si="23"/>
        <v>0</v>
      </c>
      <c r="N364" s="143"/>
      <c r="O364" s="26"/>
    </row>
    <row r="365" spans="1:19" x14ac:dyDescent="0.25">
      <c r="A365" s="54">
        <v>45197</v>
      </c>
      <c r="B365" s="24">
        <f t="shared" si="20"/>
        <v>9</v>
      </c>
      <c r="C365" s="24">
        <f t="shared" si="21"/>
        <v>2023</v>
      </c>
      <c r="D365" s="104" t="s">
        <v>89</v>
      </c>
      <c r="E365" s="104" t="s">
        <v>93</v>
      </c>
      <c r="F365" s="104" t="s">
        <v>358</v>
      </c>
      <c r="J365" s="61">
        <v>54700</v>
      </c>
      <c r="L365" s="49">
        <f t="shared" si="22"/>
        <v>133700</v>
      </c>
      <c r="M365" s="50">
        <f t="shared" si="23"/>
        <v>0</v>
      </c>
      <c r="N365" s="143"/>
      <c r="O365" s="26"/>
    </row>
    <row r="366" spans="1:19" x14ac:dyDescent="0.25">
      <c r="A366" s="54">
        <v>45197</v>
      </c>
      <c r="B366" s="24">
        <f t="shared" si="20"/>
        <v>9</v>
      </c>
      <c r="C366" s="24">
        <f t="shared" si="21"/>
        <v>2023</v>
      </c>
      <c r="D366" s="104" t="s">
        <v>109</v>
      </c>
      <c r="E366" s="104" t="s">
        <v>92</v>
      </c>
      <c r="F366" s="104" t="s">
        <v>359</v>
      </c>
      <c r="K366" s="61">
        <v>2000</v>
      </c>
      <c r="L366" s="49">
        <f t="shared" si="22"/>
        <v>131700</v>
      </c>
      <c r="M366" s="50">
        <f t="shared" si="23"/>
        <v>0</v>
      </c>
      <c r="N366" s="143"/>
      <c r="O366" s="26"/>
    </row>
    <row r="367" spans="1:19" x14ac:dyDescent="0.25">
      <c r="A367" s="54">
        <v>45197</v>
      </c>
      <c r="B367" s="24">
        <f t="shared" si="20"/>
        <v>9</v>
      </c>
      <c r="C367" s="24">
        <f t="shared" si="21"/>
        <v>2023</v>
      </c>
      <c r="D367" s="104" t="s">
        <v>51</v>
      </c>
      <c r="E367" s="104" t="s">
        <v>343</v>
      </c>
      <c r="F367" s="104" t="s">
        <v>349</v>
      </c>
      <c r="K367" s="61">
        <v>2500</v>
      </c>
      <c r="L367" s="49">
        <f t="shared" si="22"/>
        <v>129200</v>
      </c>
      <c r="M367" s="50">
        <f t="shared" si="23"/>
        <v>0</v>
      </c>
      <c r="N367" s="143"/>
      <c r="O367" s="26"/>
    </row>
    <row r="368" spans="1:19" x14ac:dyDescent="0.25">
      <c r="A368" s="54">
        <v>45197</v>
      </c>
      <c r="B368" s="24">
        <f t="shared" si="20"/>
        <v>9</v>
      </c>
      <c r="C368" s="24">
        <f t="shared" si="21"/>
        <v>2023</v>
      </c>
      <c r="D368" s="104" t="s">
        <v>360</v>
      </c>
      <c r="E368" s="104" t="s">
        <v>343</v>
      </c>
      <c r="K368" s="61">
        <v>5000</v>
      </c>
      <c r="L368" s="49">
        <f t="shared" si="22"/>
        <v>124200</v>
      </c>
      <c r="M368" s="50">
        <f t="shared" si="23"/>
        <v>0</v>
      </c>
      <c r="N368" s="143"/>
      <c r="O368" s="26"/>
    </row>
    <row r="369" spans="1:15" x14ac:dyDescent="0.25">
      <c r="A369" s="54">
        <v>45197</v>
      </c>
      <c r="B369" s="24">
        <f t="shared" si="20"/>
        <v>9</v>
      </c>
      <c r="C369" s="24">
        <f t="shared" si="21"/>
        <v>2023</v>
      </c>
      <c r="D369" s="104" t="s">
        <v>123</v>
      </c>
      <c r="E369" s="104" t="s">
        <v>93</v>
      </c>
      <c r="J369" s="61">
        <v>3000</v>
      </c>
      <c r="L369" s="49">
        <f t="shared" si="22"/>
        <v>127200</v>
      </c>
      <c r="M369" s="50">
        <f t="shared" si="23"/>
        <v>0</v>
      </c>
      <c r="N369" s="143"/>
      <c r="O369" s="26"/>
    </row>
    <row r="370" spans="1:15" x14ac:dyDescent="0.25">
      <c r="A370" s="54">
        <v>45197</v>
      </c>
      <c r="B370" s="24">
        <f t="shared" si="20"/>
        <v>9</v>
      </c>
      <c r="C370" s="24">
        <f t="shared" si="21"/>
        <v>2023</v>
      </c>
      <c r="D370" s="104" t="s">
        <v>109</v>
      </c>
      <c r="E370" s="104" t="s">
        <v>343</v>
      </c>
      <c r="F370" s="104" t="s">
        <v>253</v>
      </c>
      <c r="K370" s="61">
        <v>3000</v>
      </c>
      <c r="L370" s="49">
        <f t="shared" si="22"/>
        <v>124200</v>
      </c>
      <c r="M370" s="50">
        <f t="shared" si="23"/>
        <v>0</v>
      </c>
      <c r="N370" s="143"/>
      <c r="O370" s="26"/>
    </row>
    <row r="371" spans="1:15" x14ac:dyDescent="0.25">
      <c r="A371" s="54">
        <v>45197</v>
      </c>
      <c r="B371" s="24">
        <f t="shared" si="20"/>
        <v>9</v>
      </c>
      <c r="C371" s="24">
        <f t="shared" si="21"/>
        <v>2023</v>
      </c>
      <c r="D371" s="104" t="s">
        <v>361</v>
      </c>
      <c r="E371" s="104" t="s">
        <v>343</v>
      </c>
      <c r="K371" s="61">
        <v>94200</v>
      </c>
      <c r="L371" s="49">
        <f t="shared" si="22"/>
        <v>30000</v>
      </c>
      <c r="M371" s="50">
        <f t="shared" si="23"/>
        <v>0</v>
      </c>
      <c r="N371" s="143"/>
      <c r="O371" s="26"/>
    </row>
    <row r="372" spans="1:15" x14ac:dyDescent="0.25">
      <c r="A372" s="54">
        <v>45198</v>
      </c>
      <c r="B372" s="24">
        <f t="shared" si="20"/>
        <v>9</v>
      </c>
      <c r="C372" s="24">
        <f t="shared" si="21"/>
        <v>2023</v>
      </c>
      <c r="D372" s="104" t="s">
        <v>89</v>
      </c>
      <c r="E372" s="104" t="s">
        <v>93</v>
      </c>
      <c r="F372" s="104" t="s">
        <v>363</v>
      </c>
      <c r="J372" s="61">
        <v>5000</v>
      </c>
      <c r="L372" s="49">
        <f t="shared" si="22"/>
        <v>35000</v>
      </c>
      <c r="M372" s="50">
        <f t="shared" si="23"/>
        <v>0</v>
      </c>
      <c r="N372" s="143"/>
      <c r="O372" s="26"/>
    </row>
    <row r="373" spans="1:15" x14ac:dyDescent="0.25">
      <c r="A373" s="54">
        <v>45198</v>
      </c>
      <c r="B373" s="24">
        <f t="shared" si="20"/>
        <v>9</v>
      </c>
      <c r="C373" s="24">
        <f t="shared" si="21"/>
        <v>2023</v>
      </c>
      <c r="D373" s="104" t="s">
        <v>135</v>
      </c>
      <c r="E373" s="104" t="s">
        <v>93</v>
      </c>
      <c r="F373" s="104" t="s">
        <v>151</v>
      </c>
      <c r="K373" s="61">
        <v>5000</v>
      </c>
      <c r="L373" s="49">
        <f t="shared" si="22"/>
        <v>30000</v>
      </c>
      <c r="M373" s="50">
        <f t="shared" si="23"/>
        <v>0</v>
      </c>
      <c r="N373" s="143"/>
      <c r="O373" s="26"/>
    </row>
    <row r="374" spans="1:15" x14ac:dyDescent="0.25">
      <c r="A374" s="54">
        <v>45198</v>
      </c>
      <c r="B374" s="24">
        <f t="shared" si="20"/>
        <v>9</v>
      </c>
      <c r="C374" s="24">
        <f t="shared" si="21"/>
        <v>2023</v>
      </c>
      <c r="D374" s="104" t="s">
        <v>501</v>
      </c>
      <c r="E374" s="104" t="s">
        <v>93</v>
      </c>
      <c r="F374" s="104" t="s">
        <v>169</v>
      </c>
      <c r="K374" s="61">
        <v>3000</v>
      </c>
      <c r="L374" s="49">
        <f t="shared" si="22"/>
        <v>27000</v>
      </c>
      <c r="M374" s="50">
        <f t="shared" si="23"/>
        <v>0</v>
      </c>
      <c r="N374" s="143"/>
      <c r="O374" s="26"/>
    </row>
    <row r="375" spans="1:15" x14ac:dyDescent="0.25">
      <c r="A375" s="54">
        <v>45198</v>
      </c>
      <c r="B375" s="24">
        <f t="shared" si="20"/>
        <v>9</v>
      </c>
      <c r="C375" s="24">
        <f t="shared" si="21"/>
        <v>2023</v>
      </c>
      <c r="D375" s="104" t="s">
        <v>89</v>
      </c>
      <c r="E375" s="104" t="s">
        <v>93</v>
      </c>
      <c r="F375" s="104" t="s">
        <v>365</v>
      </c>
      <c r="J375" s="61">
        <v>8000</v>
      </c>
      <c r="L375" s="49">
        <f t="shared" si="22"/>
        <v>35000</v>
      </c>
      <c r="M375" s="50">
        <f t="shared" si="23"/>
        <v>0</v>
      </c>
      <c r="N375" s="143"/>
      <c r="O375" s="26"/>
    </row>
    <row r="376" spans="1:15" x14ac:dyDescent="0.25">
      <c r="A376" s="54">
        <v>45198</v>
      </c>
      <c r="B376" s="24">
        <f t="shared" si="20"/>
        <v>9</v>
      </c>
      <c r="C376" s="24">
        <f t="shared" si="21"/>
        <v>2023</v>
      </c>
      <c r="D376" s="104" t="s">
        <v>51</v>
      </c>
      <c r="E376" s="104" t="s">
        <v>343</v>
      </c>
      <c r="F376" s="104" t="s">
        <v>366</v>
      </c>
      <c r="K376" s="61">
        <v>7000</v>
      </c>
      <c r="L376" s="49">
        <f t="shared" si="22"/>
        <v>28000</v>
      </c>
      <c r="M376" s="50">
        <f t="shared" si="23"/>
        <v>0</v>
      </c>
      <c r="N376" s="143"/>
      <c r="O376" s="26"/>
    </row>
    <row r="377" spans="1:15" x14ac:dyDescent="0.25">
      <c r="A377" s="54">
        <v>45198</v>
      </c>
      <c r="B377" s="24">
        <f t="shared" si="20"/>
        <v>9</v>
      </c>
      <c r="C377" s="24">
        <f t="shared" si="21"/>
        <v>2023</v>
      </c>
      <c r="D377" s="104" t="s">
        <v>123</v>
      </c>
      <c r="E377" s="104" t="s">
        <v>343</v>
      </c>
      <c r="J377" s="61">
        <v>211000</v>
      </c>
      <c r="L377" s="49">
        <f t="shared" si="22"/>
        <v>239000</v>
      </c>
      <c r="M377" s="50">
        <f t="shared" si="23"/>
        <v>0</v>
      </c>
      <c r="N377" s="143"/>
      <c r="O377" s="26"/>
    </row>
    <row r="378" spans="1:15" x14ac:dyDescent="0.25">
      <c r="A378" s="54">
        <v>45198</v>
      </c>
      <c r="B378" s="24">
        <f t="shared" si="20"/>
        <v>9</v>
      </c>
      <c r="C378" s="24">
        <f t="shared" si="21"/>
        <v>2023</v>
      </c>
      <c r="D378" s="104" t="s">
        <v>92</v>
      </c>
      <c r="E378" s="104" t="s">
        <v>343</v>
      </c>
      <c r="F378" s="104" t="s">
        <v>367</v>
      </c>
      <c r="K378" s="61">
        <v>211000</v>
      </c>
      <c r="L378" s="49">
        <f t="shared" si="22"/>
        <v>28000</v>
      </c>
      <c r="M378" s="50">
        <f t="shared" si="23"/>
        <v>0</v>
      </c>
      <c r="N378" s="143"/>
      <c r="O378" s="26"/>
    </row>
    <row r="379" spans="1:15" x14ac:dyDescent="0.25">
      <c r="A379" s="54">
        <v>45198</v>
      </c>
      <c r="B379" s="24">
        <f t="shared" si="20"/>
        <v>9</v>
      </c>
      <c r="C379" s="24">
        <f t="shared" si="21"/>
        <v>2023</v>
      </c>
      <c r="D379" s="104" t="s">
        <v>89</v>
      </c>
      <c r="E379" s="104" t="s">
        <v>343</v>
      </c>
      <c r="F379" s="104" t="s">
        <v>368</v>
      </c>
      <c r="J379" s="61">
        <v>79250</v>
      </c>
      <c r="L379" s="49">
        <f t="shared" si="22"/>
        <v>107250</v>
      </c>
      <c r="M379" s="50">
        <f t="shared" si="23"/>
        <v>0</v>
      </c>
      <c r="N379" s="143"/>
      <c r="O379" s="26"/>
    </row>
    <row r="380" spans="1:15" x14ac:dyDescent="0.25">
      <c r="A380" s="54">
        <v>45198</v>
      </c>
      <c r="B380" s="24">
        <f t="shared" si="20"/>
        <v>9</v>
      </c>
      <c r="C380" s="24">
        <f t="shared" si="21"/>
        <v>2023</v>
      </c>
      <c r="D380" s="104" t="s">
        <v>89</v>
      </c>
      <c r="E380" s="104" t="s">
        <v>343</v>
      </c>
      <c r="F380" s="104" t="s">
        <v>179</v>
      </c>
      <c r="J380" s="61">
        <v>6000</v>
      </c>
      <c r="L380" s="49">
        <f t="shared" si="22"/>
        <v>113250</v>
      </c>
      <c r="M380" s="50">
        <f t="shared" si="23"/>
        <v>0</v>
      </c>
      <c r="N380" s="143"/>
      <c r="O380" s="26"/>
    </row>
    <row r="381" spans="1:15" x14ac:dyDescent="0.25">
      <c r="A381" s="54">
        <v>45198</v>
      </c>
      <c r="B381" s="24">
        <f t="shared" si="20"/>
        <v>9</v>
      </c>
      <c r="C381" s="24">
        <f t="shared" si="21"/>
        <v>2023</v>
      </c>
      <c r="D381" s="104" t="s">
        <v>122</v>
      </c>
      <c r="E381" s="104" t="s">
        <v>343</v>
      </c>
      <c r="K381" s="61">
        <v>83250</v>
      </c>
      <c r="L381" s="49">
        <f t="shared" si="22"/>
        <v>30000</v>
      </c>
      <c r="M381" s="50">
        <f t="shared" si="23"/>
        <v>0</v>
      </c>
      <c r="N381" s="143"/>
      <c r="O381" s="26"/>
    </row>
    <row r="382" spans="1:15" x14ac:dyDescent="0.25">
      <c r="A382" s="54">
        <v>45199</v>
      </c>
      <c r="B382" s="24">
        <f t="shared" si="20"/>
        <v>9</v>
      </c>
      <c r="C382" s="24">
        <f t="shared" si="21"/>
        <v>2023</v>
      </c>
      <c r="D382" s="104" t="s">
        <v>89</v>
      </c>
      <c r="E382" s="104" t="s">
        <v>343</v>
      </c>
      <c r="F382" s="104" t="s">
        <v>370</v>
      </c>
      <c r="J382" s="61">
        <v>73700</v>
      </c>
      <c r="L382" s="49">
        <f t="shared" si="22"/>
        <v>103700</v>
      </c>
      <c r="M382" s="50">
        <f t="shared" si="23"/>
        <v>0</v>
      </c>
      <c r="N382" s="143"/>
      <c r="O382" s="26"/>
    </row>
    <row r="383" spans="1:15" x14ac:dyDescent="0.25">
      <c r="A383" s="54">
        <v>45199</v>
      </c>
      <c r="B383" s="24">
        <f t="shared" si="20"/>
        <v>9</v>
      </c>
      <c r="C383" s="24">
        <f t="shared" si="21"/>
        <v>2023</v>
      </c>
      <c r="D383" s="104" t="s">
        <v>89</v>
      </c>
      <c r="E383" s="104" t="s">
        <v>343</v>
      </c>
      <c r="F383" s="104" t="s">
        <v>371</v>
      </c>
      <c r="J383" s="61">
        <v>147800</v>
      </c>
      <c r="L383" s="49">
        <f t="shared" si="22"/>
        <v>251500</v>
      </c>
      <c r="M383" s="50">
        <f t="shared" si="23"/>
        <v>0</v>
      </c>
      <c r="N383" s="143"/>
      <c r="O383" s="26"/>
    </row>
    <row r="384" spans="1:15" x14ac:dyDescent="0.25">
      <c r="A384" s="54">
        <v>45199</v>
      </c>
      <c r="B384" s="24">
        <f t="shared" si="20"/>
        <v>9</v>
      </c>
      <c r="C384" s="24">
        <f t="shared" si="21"/>
        <v>2023</v>
      </c>
      <c r="D384" s="104" t="s">
        <v>89</v>
      </c>
      <c r="E384" s="104" t="s">
        <v>343</v>
      </c>
      <c r="F384" s="104" t="s">
        <v>372</v>
      </c>
      <c r="J384" s="61">
        <v>144700</v>
      </c>
      <c r="L384" s="49">
        <f t="shared" si="22"/>
        <v>396200</v>
      </c>
      <c r="M384" s="50">
        <f t="shared" si="23"/>
        <v>0</v>
      </c>
      <c r="N384" s="143"/>
      <c r="O384" s="26"/>
    </row>
    <row r="385" spans="1:15" x14ac:dyDescent="0.25">
      <c r="A385" s="54">
        <v>45199</v>
      </c>
      <c r="B385" s="24">
        <f t="shared" si="20"/>
        <v>9</v>
      </c>
      <c r="C385" s="24">
        <f t="shared" si="21"/>
        <v>2023</v>
      </c>
      <c r="D385" s="104" t="s">
        <v>89</v>
      </c>
      <c r="E385" s="104" t="s">
        <v>343</v>
      </c>
      <c r="F385" s="104" t="s">
        <v>373</v>
      </c>
      <c r="J385" s="61">
        <v>22000</v>
      </c>
      <c r="L385" s="49">
        <f t="shared" si="22"/>
        <v>418200</v>
      </c>
      <c r="M385" s="50">
        <f t="shared" si="23"/>
        <v>0</v>
      </c>
      <c r="N385" s="143"/>
      <c r="O385" s="26"/>
    </row>
    <row r="386" spans="1:15" x14ac:dyDescent="0.25">
      <c r="A386" s="54">
        <v>45201</v>
      </c>
      <c r="B386" s="24">
        <f t="shared" si="20"/>
        <v>10</v>
      </c>
      <c r="C386" s="24">
        <f t="shared" si="21"/>
        <v>2023</v>
      </c>
      <c r="D386" s="104" t="s">
        <v>89</v>
      </c>
      <c r="E386" s="104" t="s">
        <v>343</v>
      </c>
      <c r="F386" s="104" t="s">
        <v>329</v>
      </c>
      <c r="J386" s="61">
        <v>40000</v>
      </c>
      <c r="L386" s="49">
        <f t="shared" si="22"/>
        <v>458200</v>
      </c>
      <c r="M386" s="50">
        <f t="shared" si="23"/>
        <v>0</v>
      </c>
      <c r="N386" s="143"/>
      <c r="O386" s="26"/>
    </row>
    <row r="387" spans="1:15" x14ac:dyDescent="0.25">
      <c r="A387" s="54">
        <v>45201</v>
      </c>
      <c r="B387" s="24">
        <f t="shared" ref="B387:B450" si="24">MONTH(A387)</f>
        <v>10</v>
      </c>
      <c r="C387" s="24">
        <f t="shared" ref="C387:C450" si="25">YEAR(A387)</f>
        <v>2023</v>
      </c>
      <c r="D387" s="104" t="s">
        <v>89</v>
      </c>
      <c r="E387" s="104" t="s">
        <v>343</v>
      </c>
      <c r="F387" s="104" t="s">
        <v>374</v>
      </c>
      <c r="J387" s="61">
        <v>200075</v>
      </c>
      <c r="L387" s="49">
        <f t="shared" si="22"/>
        <v>658275</v>
      </c>
      <c r="M387" s="50">
        <f t="shared" si="23"/>
        <v>0</v>
      </c>
      <c r="N387" s="143"/>
      <c r="O387" s="26"/>
    </row>
    <row r="388" spans="1:15" x14ac:dyDescent="0.25">
      <c r="A388" s="54">
        <v>45201</v>
      </c>
      <c r="B388" s="24">
        <f t="shared" si="24"/>
        <v>10</v>
      </c>
      <c r="C388" s="24">
        <f t="shared" si="25"/>
        <v>2023</v>
      </c>
      <c r="D388" s="104" t="s">
        <v>89</v>
      </c>
      <c r="E388" s="104" t="s">
        <v>343</v>
      </c>
      <c r="F388" s="104" t="s">
        <v>376</v>
      </c>
      <c r="J388" s="61">
        <v>13350</v>
      </c>
      <c r="L388" s="49">
        <f t="shared" ref="L388:L451" si="26">IF((L387+M387+J388-K388)&gt;0,(L387+M387+J388-K388),0)</f>
        <v>671625</v>
      </c>
      <c r="M388" s="50">
        <f t="shared" ref="M388:M451" si="27">IF((L387+M387+J388-K388)&lt;0,(L387+M387+J388-K388),0)</f>
        <v>0</v>
      </c>
      <c r="N388" s="143"/>
      <c r="O388" s="26"/>
    </row>
    <row r="389" spans="1:15" x14ac:dyDescent="0.25">
      <c r="A389" s="54">
        <v>45201</v>
      </c>
      <c r="B389" s="24">
        <f t="shared" si="24"/>
        <v>10</v>
      </c>
      <c r="C389" s="24">
        <f t="shared" si="25"/>
        <v>2023</v>
      </c>
      <c r="D389" s="104" t="s">
        <v>89</v>
      </c>
      <c r="E389" s="104" t="s">
        <v>343</v>
      </c>
      <c r="F389" s="104" t="s">
        <v>377</v>
      </c>
      <c r="J389" s="61">
        <v>100000</v>
      </c>
      <c r="L389" s="49">
        <f t="shared" si="26"/>
        <v>771625</v>
      </c>
      <c r="M389" s="50">
        <f t="shared" si="27"/>
        <v>0</v>
      </c>
      <c r="N389" s="143"/>
      <c r="O389" s="26"/>
    </row>
    <row r="390" spans="1:15" x14ac:dyDescent="0.25">
      <c r="A390" s="54">
        <v>45201</v>
      </c>
      <c r="B390" s="24">
        <f t="shared" si="24"/>
        <v>10</v>
      </c>
      <c r="C390" s="24">
        <f t="shared" si="25"/>
        <v>2023</v>
      </c>
      <c r="D390" s="104" t="s">
        <v>122</v>
      </c>
      <c r="E390" s="104" t="s">
        <v>343</v>
      </c>
      <c r="K390" s="61">
        <v>741625</v>
      </c>
      <c r="L390" s="49">
        <f t="shared" si="26"/>
        <v>30000</v>
      </c>
      <c r="M390" s="50">
        <f t="shared" si="27"/>
        <v>0</v>
      </c>
      <c r="N390" s="143"/>
      <c r="O390" s="26"/>
    </row>
    <row r="391" spans="1:15" x14ac:dyDescent="0.25">
      <c r="A391" s="54">
        <v>45202</v>
      </c>
      <c r="B391" s="24">
        <f t="shared" si="24"/>
        <v>10</v>
      </c>
      <c r="C391" s="24">
        <f t="shared" si="25"/>
        <v>2023</v>
      </c>
      <c r="D391" s="104" t="s">
        <v>112</v>
      </c>
      <c r="E391" s="104" t="s">
        <v>343</v>
      </c>
      <c r="H391" s="10"/>
      <c r="I391" s="10"/>
      <c r="J391" s="62"/>
      <c r="K391" s="61">
        <v>10000</v>
      </c>
      <c r="L391" s="49">
        <f t="shared" si="26"/>
        <v>20000</v>
      </c>
      <c r="M391" s="50">
        <f t="shared" si="27"/>
        <v>0</v>
      </c>
      <c r="N391" s="143"/>
      <c r="O391" s="26"/>
    </row>
    <row r="392" spans="1:15" x14ac:dyDescent="0.25">
      <c r="A392" s="54">
        <v>45202</v>
      </c>
      <c r="B392" s="24">
        <f t="shared" si="24"/>
        <v>10</v>
      </c>
      <c r="C392" s="24">
        <f t="shared" si="25"/>
        <v>2023</v>
      </c>
      <c r="D392" s="104" t="s">
        <v>89</v>
      </c>
      <c r="E392" s="104" t="s">
        <v>343</v>
      </c>
      <c r="F392" s="104" t="s">
        <v>378</v>
      </c>
      <c r="G392" s="114"/>
      <c r="H392" s="85"/>
      <c r="I392" s="85"/>
      <c r="J392" s="159">
        <v>16940</v>
      </c>
      <c r="K392" s="122"/>
      <c r="L392" s="49">
        <f t="shared" si="26"/>
        <v>36940</v>
      </c>
      <c r="M392" s="50">
        <f t="shared" si="27"/>
        <v>0</v>
      </c>
      <c r="N392" s="143"/>
      <c r="O392" s="26"/>
    </row>
    <row r="393" spans="1:15" x14ac:dyDescent="0.25">
      <c r="A393" s="54">
        <v>45202</v>
      </c>
      <c r="B393" s="24">
        <f t="shared" si="24"/>
        <v>10</v>
      </c>
      <c r="C393" s="24">
        <f t="shared" si="25"/>
        <v>2023</v>
      </c>
      <c r="D393" s="104" t="s">
        <v>352</v>
      </c>
      <c r="F393" s="104" t="s">
        <v>381</v>
      </c>
      <c r="H393" s="22"/>
      <c r="I393" s="22"/>
      <c r="J393" s="63">
        <v>50000</v>
      </c>
      <c r="L393" s="49">
        <f t="shared" si="26"/>
        <v>86940</v>
      </c>
      <c r="M393" s="50">
        <f t="shared" si="27"/>
        <v>0</v>
      </c>
      <c r="N393" s="143"/>
      <c r="O393" s="26"/>
    </row>
    <row r="394" spans="1:15" x14ac:dyDescent="0.25">
      <c r="A394" s="54">
        <v>45202</v>
      </c>
      <c r="B394" s="24">
        <f t="shared" si="24"/>
        <v>10</v>
      </c>
      <c r="C394" s="24">
        <f t="shared" si="25"/>
        <v>2023</v>
      </c>
      <c r="D394" s="104" t="s">
        <v>361</v>
      </c>
      <c r="E394" s="104" t="s">
        <v>343</v>
      </c>
      <c r="K394" s="61">
        <v>56940</v>
      </c>
      <c r="L394" s="49">
        <f t="shared" si="26"/>
        <v>30000</v>
      </c>
      <c r="M394" s="50">
        <f t="shared" si="27"/>
        <v>0</v>
      </c>
      <c r="N394" s="143"/>
      <c r="O394" s="26"/>
    </row>
    <row r="395" spans="1:15" x14ac:dyDescent="0.25">
      <c r="A395" s="54">
        <v>45203</v>
      </c>
      <c r="B395" s="24">
        <f t="shared" si="24"/>
        <v>10</v>
      </c>
      <c r="C395" s="24">
        <f t="shared" si="25"/>
        <v>2023</v>
      </c>
      <c r="D395" s="104" t="s">
        <v>384</v>
      </c>
      <c r="E395" s="104" t="s">
        <v>343</v>
      </c>
      <c r="J395" s="61">
        <v>43303.8</v>
      </c>
      <c r="L395" s="49">
        <f t="shared" si="26"/>
        <v>73303.8</v>
      </c>
      <c r="M395" s="50">
        <f t="shared" si="27"/>
        <v>0</v>
      </c>
      <c r="N395" s="143"/>
      <c r="O395" s="26"/>
    </row>
    <row r="396" spans="1:15" x14ac:dyDescent="0.25">
      <c r="A396" s="54">
        <v>45203</v>
      </c>
      <c r="B396" s="24">
        <f t="shared" si="24"/>
        <v>10</v>
      </c>
      <c r="C396" s="24">
        <f t="shared" si="25"/>
        <v>2023</v>
      </c>
      <c r="D396" s="104" t="s">
        <v>124</v>
      </c>
      <c r="F396" s="104" t="s">
        <v>385</v>
      </c>
      <c r="K396" s="61">
        <v>43303.8</v>
      </c>
      <c r="L396" s="49">
        <f t="shared" si="26"/>
        <v>30000</v>
      </c>
      <c r="M396" s="50">
        <f t="shared" si="27"/>
        <v>0</v>
      </c>
      <c r="N396" s="143"/>
      <c r="O396" s="26"/>
    </row>
    <row r="397" spans="1:15" x14ac:dyDescent="0.25">
      <c r="A397" s="54">
        <v>45203</v>
      </c>
      <c r="B397" s="24">
        <f t="shared" si="24"/>
        <v>10</v>
      </c>
      <c r="C397" s="24">
        <f t="shared" si="25"/>
        <v>2023</v>
      </c>
      <c r="D397" s="104" t="s">
        <v>123</v>
      </c>
      <c r="E397" s="104" t="s">
        <v>343</v>
      </c>
      <c r="J397" s="61">
        <v>77020</v>
      </c>
      <c r="L397" s="49">
        <f t="shared" si="26"/>
        <v>107020</v>
      </c>
      <c r="M397" s="50">
        <f t="shared" si="27"/>
        <v>0</v>
      </c>
      <c r="N397" s="143"/>
      <c r="O397" s="26"/>
    </row>
    <row r="398" spans="1:15" x14ac:dyDescent="0.25">
      <c r="A398" s="54">
        <v>45203</v>
      </c>
      <c r="B398" s="24">
        <f t="shared" si="24"/>
        <v>10</v>
      </c>
      <c r="C398" s="24">
        <f t="shared" si="25"/>
        <v>2023</v>
      </c>
      <c r="D398" s="104" t="s">
        <v>147</v>
      </c>
      <c r="E398" s="104" t="s">
        <v>343</v>
      </c>
      <c r="F398" s="104" t="s">
        <v>386</v>
      </c>
      <c r="K398" s="61">
        <v>77020</v>
      </c>
      <c r="L398" s="49">
        <f t="shared" si="26"/>
        <v>30000</v>
      </c>
      <c r="M398" s="50">
        <f t="shared" si="27"/>
        <v>0</v>
      </c>
      <c r="N398" s="143"/>
      <c r="O398" s="26"/>
    </row>
    <row r="399" spans="1:15" x14ac:dyDescent="0.25">
      <c r="A399" s="54">
        <v>45203</v>
      </c>
      <c r="B399" s="24">
        <f t="shared" si="24"/>
        <v>10</v>
      </c>
      <c r="C399" s="24">
        <f t="shared" si="25"/>
        <v>2023</v>
      </c>
      <c r="D399" s="104" t="s">
        <v>89</v>
      </c>
      <c r="E399" s="104" t="s">
        <v>343</v>
      </c>
      <c r="F399" s="104" t="s">
        <v>387</v>
      </c>
      <c r="J399" s="61">
        <v>280000</v>
      </c>
      <c r="L399" s="49">
        <f t="shared" si="26"/>
        <v>310000</v>
      </c>
      <c r="M399" s="50">
        <f t="shared" si="27"/>
        <v>0</v>
      </c>
      <c r="N399" s="143"/>
      <c r="O399" s="26"/>
    </row>
    <row r="400" spans="1:15" x14ac:dyDescent="0.25">
      <c r="A400" s="54">
        <v>45203</v>
      </c>
      <c r="B400" s="24">
        <f t="shared" si="24"/>
        <v>10</v>
      </c>
      <c r="C400" s="24">
        <f t="shared" si="25"/>
        <v>2023</v>
      </c>
      <c r="D400" s="104" t="s">
        <v>122</v>
      </c>
      <c r="E400" s="104" t="s">
        <v>343</v>
      </c>
      <c r="K400" s="61">
        <v>280000</v>
      </c>
      <c r="L400" s="49">
        <f t="shared" si="26"/>
        <v>30000</v>
      </c>
      <c r="M400" s="50">
        <f t="shared" si="27"/>
        <v>0</v>
      </c>
      <c r="N400" s="143"/>
      <c r="O400" s="26"/>
    </row>
    <row r="401" spans="1:15" x14ac:dyDescent="0.25">
      <c r="A401" s="54">
        <v>45204</v>
      </c>
      <c r="B401" s="24">
        <f t="shared" si="24"/>
        <v>10</v>
      </c>
      <c r="C401" s="24">
        <f t="shared" si="25"/>
        <v>2023</v>
      </c>
      <c r="D401" s="104" t="s">
        <v>123</v>
      </c>
      <c r="E401" s="104" t="s">
        <v>343</v>
      </c>
      <c r="J401" s="61">
        <v>280000</v>
      </c>
      <c r="L401" s="49">
        <f t="shared" si="26"/>
        <v>310000</v>
      </c>
      <c r="M401" s="50">
        <f t="shared" si="27"/>
        <v>0</v>
      </c>
      <c r="N401" s="143"/>
      <c r="O401" s="26"/>
    </row>
    <row r="402" spans="1:15" x14ac:dyDescent="0.25">
      <c r="A402" s="93">
        <v>45204</v>
      </c>
      <c r="B402" s="24">
        <f t="shared" si="24"/>
        <v>10</v>
      </c>
      <c r="C402" s="24">
        <f t="shared" si="25"/>
        <v>2023</v>
      </c>
      <c r="D402" s="105" t="s">
        <v>124</v>
      </c>
      <c r="E402" s="105" t="s">
        <v>343</v>
      </c>
      <c r="F402" s="105"/>
      <c r="G402" s="105"/>
      <c r="H402" s="95"/>
      <c r="I402" s="95"/>
      <c r="J402" s="115"/>
      <c r="K402" s="115">
        <v>280000</v>
      </c>
      <c r="L402" s="96">
        <f t="shared" si="26"/>
        <v>30000</v>
      </c>
      <c r="M402" s="97">
        <f t="shared" si="27"/>
        <v>0</v>
      </c>
      <c r="N402" s="153"/>
      <c r="O402" s="19"/>
    </row>
    <row r="403" spans="1:15" x14ac:dyDescent="0.25">
      <c r="A403" s="54">
        <v>45204</v>
      </c>
      <c r="B403" s="24">
        <f t="shared" si="24"/>
        <v>10</v>
      </c>
      <c r="C403" s="24">
        <f t="shared" si="25"/>
        <v>2023</v>
      </c>
      <c r="D403" s="104" t="s">
        <v>124</v>
      </c>
      <c r="E403" s="104" t="s">
        <v>93</v>
      </c>
      <c r="F403" s="104" t="s">
        <v>268</v>
      </c>
      <c r="K403" s="61">
        <v>10980</v>
      </c>
      <c r="L403" s="49">
        <f t="shared" si="26"/>
        <v>19020</v>
      </c>
      <c r="M403" s="50">
        <f t="shared" si="27"/>
        <v>0</v>
      </c>
      <c r="N403" s="143"/>
      <c r="O403" s="26"/>
    </row>
    <row r="404" spans="1:15" x14ac:dyDescent="0.25">
      <c r="A404" s="54">
        <v>45204</v>
      </c>
      <c r="B404" s="24">
        <f t="shared" si="24"/>
        <v>10</v>
      </c>
      <c r="C404" s="24">
        <f t="shared" si="25"/>
        <v>2023</v>
      </c>
      <c r="D404" s="104" t="s">
        <v>123</v>
      </c>
      <c r="E404" s="104" t="s">
        <v>343</v>
      </c>
      <c r="J404" s="61">
        <v>21600</v>
      </c>
      <c r="L404" s="49">
        <f t="shared" si="26"/>
        <v>40620</v>
      </c>
      <c r="M404" s="50">
        <f t="shared" si="27"/>
        <v>0</v>
      </c>
      <c r="N404" s="143"/>
      <c r="O404" s="26"/>
    </row>
    <row r="405" spans="1:15" x14ac:dyDescent="0.25">
      <c r="A405" s="93">
        <v>45204</v>
      </c>
      <c r="B405" s="24">
        <f t="shared" si="24"/>
        <v>10</v>
      </c>
      <c r="C405" s="24">
        <f t="shared" si="25"/>
        <v>2023</v>
      </c>
      <c r="D405" s="105" t="s">
        <v>124</v>
      </c>
      <c r="E405" s="105" t="s">
        <v>343</v>
      </c>
      <c r="F405" s="105" t="s">
        <v>391</v>
      </c>
      <c r="G405" s="105"/>
      <c r="H405" s="95"/>
      <c r="I405" s="95"/>
      <c r="J405" s="115"/>
      <c r="K405" s="115">
        <v>21600</v>
      </c>
      <c r="L405" s="96">
        <f t="shared" si="26"/>
        <v>19020</v>
      </c>
      <c r="M405" s="97">
        <f t="shared" si="27"/>
        <v>0</v>
      </c>
      <c r="N405" s="153"/>
      <c r="O405" s="19"/>
    </row>
    <row r="406" spans="1:15" x14ac:dyDescent="0.25">
      <c r="A406" s="54">
        <v>45204</v>
      </c>
      <c r="B406" s="24">
        <f t="shared" si="24"/>
        <v>10</v>
      </c>
      <c r="C406" s="24">
        <f t="shared" si="25"/>
        <v>2023</v>
      </c>
      <c r="D406" s="104" t="s">
        <v>89</v>
      </c>
      <c r="E406" s="104" t="s">
        <v>343</v>
      </c>
      <c r="F406" s="104" t="s">
        <v>392</v>
      </c>
      <c r="J406" s="61">
        <v>68900</v>
      </c>
      <c r="L406" s="49">
        <f t="shared" si="26"/>
        <v>87920</v>
      </c>
      <c r="M406" s="50">
        <f t="shared" si="27"/>
        <v>0</v>
      </c>
      <c r="N406" s="143"/>
      <c r="O406" s="26"/>
    </row>
    <row r="407" spans="1:15" x14ac:dyDescent="0.25">
      <c r="A407" s="54">
        <v>45204</v>
      </c>
      <c r="B407" s="24">
        <f t="shared" si="24"/>
        <v>10</v>
      </c>
      <c r="C407" s="24">
        <f t="shared" si="25"/>
        <v>2023</v>
      </c>
      <c r="D407" s="104" t="s">
        <v>109</v>
      </c>
      <c r="E407" s="104" t="s">
        <v>343</v>
      </c>
      <c r="F407" s="104" t="s">
        <v>574</v>
      </c>
      <c r="K407" s="61">
        <v>8000</v>
      </c>
      <c r="L407" s="49">
        <f t="shared" si="26"/>
        <v>79920</v>
      </c>
      <c r="M407" s="50">
        <f t="shared" si="27"/>
        <v>0</v>
      </c>
      <c r="N407" s="143"/>
      <c r="O407" s="26"/>
    </row>
    <row r="408" spans="1:15" x14ac:dyDescent="0.25">
      <c r="A408" s="54">
        <v>45204</v>
      </c>
      <c r="B408" s="24">
        <f t="shared" si="24"/>
        <v>10</v>
      </c>
      <c r="C408" s="24">
        <f t="shared" si="25"/>
        <v>2023</v>
      </c>
      <c r="D408" s="104" t="s">
        <v>123</v>
      </c>
      <c r="E408" s="104" t="s">
        <v>343</v>
      </c>
      <c r="J408" s="61">
        <v>3200</v>
      </c>
      <c r="L408" s="49">
        <f t="shared" si="26"/>
        <v>83120</v>
      </c>
      <c r="M408" s="50">
        <f t="shared" si="27"/>
        <v>0</v>
      </c>
      <c r="N408" s="143"/>
      <c r="O408" s="26"/>
    </row>
    <row r="409" spans="1:15" x14ac:dyDescent="0.25">
      <c r="A409" s="54">
        <v>45204</v>
      </c>
      <c r="B409" s="24">
        <f t="shared" si="24"/>
        <v>10</v>
      </c>
      <c r="C409" s="24">
        <f t="shared" si="25"/>
        <v>2023</v>
      </c>
      <c r="D409" s="104" t="s">
        <v>112</v>
      </c>
      <c r="E409" s="104" t="s">
        <v>343</v>
      </c>
      <c r="K409" s="61">
        <v>3200</v>
      </c>
      <c r="L409" s="49">
        <f t="shared" si="26"/>
        <v>79920</v>
      </c>
      <c r="M409" s="50">
        <f t="shared" si="27"/>
        <v>0</v>
      </c>
      <c r="N409" s="143"/>
      <c r="O409" s="26"/>
    </row>
    <row r="410" spans="1:15" x14ac:dyDescent="0.25">
      <c r="A410" s="54">
        <v>45204</v>
      </c>
      <c r="B410" s="24">
        <f t="shared" si="24"/>
        <v>10</v>
      </c>
      <c r="C410" s="24">
        <f t="shared" si="25"/>
        <v>2023</v>
      </c>
      <c r="D410" s="104" t="s">
        <v>89</v>
      </c>
      <c r="E410" s="104" t="s">
        <v>343</v>
      </c>
      <c r="F410" s="104" t="s">
        <v>394</v>
      </c>
      <c r="J410" s="61">
        <v>30000</v>
      </c>
      <c r="L410" s="49">
        <f t="shared" si="26"/>
        <v>109920</v>
      </c>
      <c r="M410" s="50">
        <f t="shared" si="27"/>
        <v>0</v>
      </c>
      <c r="N410" s="143"/>
      <c r="O410" s="26"/>
    </row>
    <row r="411" spans="1:15" x14ac:dyDescent="0.25">
      <c r="A411" s="54">
        <v>45204</v>
      </c>
      <c r="B411" s="24">
        <f t="shared" si="24"/>
        <v>10</v>
      </c>
      <c r="C411" s="24">
        <f t="shared" si="25"/>
        <v>2023</v>
      </c>
      <c r="D411" s="104" t="s">
        <v>122</v>
      </c>
      <c r="E411" s="104" t="s">
        <v>343</v>
      </c>
      <c r="K411" s="61">
        <v>79920</v>
      </c>
      <c r="L411" s="49">
        <f t="shared" si="26"/>
        <v>30000</v>
      </c>
      <c r="M411" s="50">
        <f t="shared" si="27"/>
        <v>0</v>
      </c>
      <c r="N411" s="143"/>
      <c r="O411" s="26"/>
    </row>
    <row r="412" spans="1:15" x14ac:dyDescent="0.25">
      <c r="A412" s="54">
        <v>45205</v>
      </c>
      <c r="B412" s="24">
        <f t="shared" si="24"/>
        <v>10</v>
      </c>
      <c r="C412" s="24">
        <f t="shared" si="25"/>
        <v>2023</v>
      </c>
      <c r="D412" s="104" t="s">
        <v>123</v>
      </c>
      <c r="E412" s="104" t="s">
        <v>343</v>
      </c>
      <c r="J412" s="61">
        <v>27520</v>
      </c>
      <c r="L412" s="49">
        <f t="shared" si="26"/>
        <v>57520</v>
      </c>
      <c r="M412" s="50">
        <f t="shared" si="27"/>
        <v>0</v>
      </c>
      <c r="N412" s="143"/>
      <c r="O412" s="26"/>
    </row>
    <row r="413" spans="1:15" x14ac:dyDescent="0.25">
      <c r="A413" s="54">
        <v>45205</v>
      </c>
      <c r="B413" s="24">
        <f t="shared" si="24"/>
        <v>10</v>
      </c>
      <c r="C413" s="24">
        <f t="shared" si="25"/>
        <v>2023</v>
      </c>
      <c r="D413" s="104" t="s">
        <v>124</v>
      </c>
      <c r="E413" s="104" t="s">
        <v>343</v>
      </c>
      <c r="F413" s="104" t="s">
        <v>395</v>
      </c>
      <c r="K413" s="61">
        <v>27520</v>
      </c>
      <c r="L413" s="49">
        <f t="shared" si="26"/>
        <v>30000</v>
      </c>
      <c r="M413" s="50">
        <f t="shared" si="27"/>
        <v>0</v>
      </c>
      <c r="N413" s="143"/>
      <c r="O413" s="26"/>
    </row>
    <row r="414" spans="1:15" x14ac:dyDescent="0.25">
      <c r="A414" s="54">
        <v>45205</v>
      </c>
      <c r="B414" s="24">
        <f t="shared" si="24"/>
        <v>10</v>
      </c>
      <c r="C414" s="24">
        <f t="shared" si="25"/>
        <v>2023</v>
      </c>
      <c r="D414" s="104" t="s">
        <v>384</v>
      </c>
      <c r="E414" s="104" t="s">
        <v>343</v>
      </c>
      <c r="J414" s="61">
        <v>15000</v>
      </c>
      <c r="L414" s="49">
        <f t="shared" si="26"/>
        <v>45000</v>
      </c>
      <c r="M414" s="50">
        <f t="shared" si="27"/>
        <v>0</v>
      </c>
      <c r="N414" s="143"/>
      <c r="O414" s="26"/>
    </row>
    <row r="415" spans="1:15" x14ac:dyDescent="0.25">
      <c r="A415" s="54">
        <v>45205</v>
      </c>
      <c r="B415" s="24">
        <f t="shared" si="24"/>
        <v>10</v>
      </c>
      <c r="C415" s="24">
        <f t="shared" si="25"/>
        <v>2023</v>
      </c>
      <c r="D415" s="104" t="s">
        <v>92</v>
      </c>
      <c r="E415" s="104" t="s">
        <v>92</v>
      </c>
      <c r="K415" s="61">
        <v>15000</v>
      </c>
      <c r="L415" s="49">
        <f t="shared" si="26"/>
        <v>30000</v>
      </c>
      <c r="M415" s="50">
        <f t="shared" si="27"/>
        <v>0</v>
      </c>
      <c r="N415" s="143"/>
      <c r="O415" s="26"/>
    </row>
    <row r="416" spans="1:15" x14ac:dyDescent="0.25">
      <c r="A416" s="54">
        <v>45205</v>
      </c>
      <c r="B416" s="24">
        <f t="shared" si="24"/>
        <v>10</v>
      </c>
      <c r="C416" s="24">
        <f t="shared" si="25"/>
        <v>2023</v>
      </c>
      <c r="D416" s="104" t="s">
        <v>89</v>
      </c>
      <c r="E416" s="104" t="s">
        <v>343</v>
      </c>
      <c r="F416" s="104" t="s">
        <v>396</v>
      </c>
      <c r="J416" s="61">
        <v>15000</v>
      </c>
      <c r="L416" s="49">
        <f t="shared" si="26"/>
        <v>45000</v>
      </c>
      <c r="M416" s="50">
        <f t="shared" si="27"/>
        <v>0</v>
      </c>
      <c r="N416" s="143"/>
      <c r="O416" s="26"/>
    </row>
    <row r="417" spans="1:15" x14ac:dyDescent="0.25">
      <c r="A417" s="54">
        <v>45205</v>
      </c>
      <c r="B417" s="24">
        <f t="shared" si="24"/>
        <v>10</v>
      </c>
      <c r="C417" s="24">
        <f t="shared" si="25"/>
        <v>2023</v>
      </c>
      <c r="D417" s="104" t="s">
        <v>51</v>
      </c>
      <c r="E417" s="104" t="s">
        <v>343</v>
      </c>
      <c r="F417" s="104" t="s">
        <v>398</v>
      </c>
      <c r="K417" s="61">
        <v>3000</v>
      </c>
      <c r="L417" s="49">
        <f t="shared" si="26"/>
        <v>42000</v>
      </c>
      <c r="M417" s="50">
        <f t="shared" si="27"/>
        <v>0</v>
      </c>
      <c r="N417" s="143"/>
      <c r="O417" s="26"/>
    </row>
    <row r="418" spans="1:15" x14ac:dyDescent="0.25">
      <c r="A418" s="54">
        <v>45205</v>
      </c>
      <c r="B418" s="24">
        <f t="shared" si="24"/>
        <v>10</v>
      </c>
      <c r="C418" s="24">
        <f t="shared" si="25"/>
        <v>2023</v>
      </c>
      <c r="D418" s="104" t="s">
        <v>109</v>
      </c>
      <c r="E418" s="104" t="s">
        <v>343</v>
      </c>
      <c r="F418" s="104" t="s">
        <v>354</v>
      </c>
      <c r="K418" s="61">
        <v>1800</v>
      </c>
      <c r="L418" s="49">
        <f t="shared" si="26"/>
        <v>40200</v>
      </c>
      <c r="M418" s="50">
        <f t="shared" si="27"/>
        <v>0</v>
      </c>
      <c r="N418" s="143"/>
      <c r="O418" s="26"/>
    </row>
    <row r="419" spans="1:15" x14ac:dyDescent="0.25">
      <c r="A419" s="54">
        <v>45205</v>
      </c>
      <c r="B419" s="24">
        <f t="shared" si="24"/>
        <v>10</v>
      </c>
      <c r="C419" s="24">
        <f t="shared" si="25"/>
        <v>2023</v>
      </c>
      <c r="D419" s="104" t="s">
        <v>111</v>
      </c>
      <c r="E419" s="104" t="s">
        <v>343</v>
      </c>
      <c r="F419" s="104" t="s">
        <v>405</v>
      </c>
      <c r="K419" s="61">
        <v>10200</v>
      </c>
      <c r="L419" s="49">
        <f t="shared" si="26"/>
        <v>30000</v>
      </c>
      <c r="M419" s="50">
        <f t="shared" si="27"/>
        <v>0</v>
      </c>
      <c r="N419" s="143"/>
      <c r="O419" s="26"/>
    </row>
    <row r="420" spans="1:15" x14ac:dyDescent="0.25">
      <c r="A420" s="54">
        <v>45205</v>
      </c>
      <c r="B420" s="24">
        <f t="shared" si="24"/>
        <v>10</v>
      </c>
      <c r="C420" s="24">
        <f t="shared" si="25"/>
        <v>2023</v>
      </c>
      <c r="D420" s="104" t="s">
        <v>384</v>
      </c>
      <c r="E420" s="104" t="s">
        <v>93</v>
      </c>
      <c r="J420" s="61">
        <v>236000</v>
      </c>
      <c r="L420" s="49">
        <f t="shared" si="26"/>
        <v>266000</v>
      </c>
      <c r="M420" s="50">
        <f t="shared" si="27"/>
        <v>0</v>
      </c>
      <c r="N420" s="143"/>
      <c r="O420" s="26"/>
    </row>
    <row r="421" spans="1:15" s="92" customFormat="1" x14ac:dyDescent="0.25">
      <c r="A421" s="86">
        <v>45205</v>
      </c>
      <c r="B421" s="24">
        <f t="shared" si="24"/>
        <v>10</v>
      </c>
      <c r="C421" s="24">
        <f t="shared" si="25"/>
        <v>2023</v>
      </c>
      <c r="D421" s="106" t="s">
        <v>109</v>
      </c>
      <c r="E421" s="106" t="s">
        <v>343</v>
      </c>
      <c r="F421" s="106" t="s">
        <v>367</v>
      </c>
      <c r="G421" s="106"/>
      <c r="H421" s="88"/>
      <c r="I421" s="88"/>
      <c r="J421" s="116"/>
      <c r="K421" s="116">
        <v>236000</v>
      </c>
      <c r="L421" s="89">
        <f t="shared" si="26"/>
        <v>30000</v>
      </c>
      <c r="M421" s="90">
        <f t="shared" si="27"/>
        <v>0</v>
      </c>
      <c r="N421" s="154"/>
      <c r="O421" s="91"/>
    </row>
    <row r="422" spans="1:15" x14ac:dyDescent="0.25">
      <c r="A422" s="54">
        <v>45206</v>
      </c>
      <c r="B422" s="24">
        <f t="shared" si="24"/>
        <v>10</v>
      </c>
      <c r="C422" s="24">
        <f t="shared" si="25"/>
        <v>2023</v>
      </c>
      <c r="D422" s="104" t="s">
        <v>89</v>
      </c>
      <c r="E422" s="104" t="s">
        <v>343</v>
      </c>
      <c r="F422" s="104" t="s">
        <v>399</v>
      </c>
      <c r="J422" s="61">
        <v>60000</v>
      </c>
      <c r="L422" s="49">
        <f t="shared" si="26"/>
        <v>90000</v>
      </c>
      <c r="M422" s="50">
        <f t="shared" si="27"/>
        <v>0</v>
      </c>
      <c r="N422" s="143"/>
      <c r="O422" s="26"/>
    </row>
    <row r="423" spans="1:15" x14ac:dyDescent="0.25">
      <c r="A423" s="54">
        <v>45208</v>
      </c>
      <c r="B423" s="24">
        <f t="shared" si="24"/>
        <v>10</v>
      </c>
      <c r="C423" s="24">
        <f t="shared" si="25"/>
        <v>2023</v>
      </c>
      <c r="D423" s="104" t="s">
        <v>124</v>
      </c>
      <c r="E423" s="104" t="s">
        <v>343</v>
      </c>
      <c r="F423" s="104" t="s">
        <v>194</v>
      </c>
      <c r="K423" s="61">
        <v>36970</v>
      </c>
      <c r="L423" s="49">
        <f t="shared" si="26"/>
        <v>53030</v>
      </c>
      <c r="M423" s="50">
        <f t="shared" si="27"/>
        <v>0</v>
      </c>
      <c r="N423" s="143"/>
      <c r="O423" s="26"/>
    </row>
    <row r="424" spans="1:15" x14ac:dyDescent="0.25">
      <c r="A424" s="54">
        <v>45208</v>
      </c>
      <c r="B424" s="24">
        <f t="shared" si="24"/>
        <v>10</v>
      </c>
      <c r="C424" s="24">
        <f t="shared" si="25"/>
        <v>2023</v>
      </c>
      <c r="D424" s="104" t="s">
        <v>89</v>
      </c>
      <c r="E424" s="104" t="s">
        <v>343</v>
      </c>
      <c r="F424" s="104" t="s">
        <v>400</v>
      </c>
      <c r="J424" s="61">
        <v>125000</v>
      </c>
      <c r="L424" s="49">
        <f t="shared" si="26"/>
        <v>178030</v>
      </c>
      <c r="M424" s="50">
        <f t="shared" si="27"/>
        <v>0</v>
      </c>
      <c r="N424" s="143"/>
      <c r="O424" s="26"/>
    </row>
    <row r="425" spans="1:15" x14ac:dyDescent="0.25">
      <c r="A425" s="54">
        <v>45208</v>
      </c>
      <c r="B425" s="24">
        <f t="shared" si="24"/>
        <v>10</v>
      </c>
      <c r="C425" s="24">
        <f t="shared" si="25"/>
        <v>2023</v>
      </c>
      <c r="D425" s="104" t="s">
        <v>352</v>
      </c>
      <c r="E425" s="104" t="s">
        <v>343</v>
      </c>
      <c r="F425" s="104" t="s">
        <v>401</v>
      </c>
      <c r="J425" s="61">
        <v>50000</v>
      </c>
      <c r="L425" s="49">
        <f t="shared" si="26"/>
        <v>228030</v>
      </c>
      <c r="M425" s="50">
        <f t="shared" si="27"/>
        <v>0</v>
      </c>
      <c r="N425" s="143"/>
      <c r="O425" s="26"/>
    </row>
    <row r="426" spans="1:15" x14ac:dyDescent="0.25">
      <c r="A426" s="54">
        <v>45208</v>
      </c>
      <c r="B426" s="24">
        <f t="shared" si="24"/>
        <v>10</v>
      </c>
      <c r="C426" s="24">
        <f t="shared" si="25"/>
        <v>2023</v>
      </c>
      <c r="D426" s="104" t="s">
        <v>124</v>
      </c>
      <c r="E426" s="104" t="s">
        <v>343</v>
      </c>
      <c r="F426" s="104" t="s">
        <v>184</v>
      </c>
      <c r="K426" s="61">
        <v>34870</v>
      </c>
      <c r="L426" s="49">
        <f t="shared" si="26"/>
        <v>193160</v>
      </c>
      <c r="M426" s="50">
        <f t="shared" si="27"/>
        <v>0</v>
      </c>
      <c r="N426" s="143"/>
      <c r="O426" s="26"/>
    </row>
    <row r="427" spans="1:15" x14ac:dyDescent="0.25">
      <c r="A427" s="54">
        <v>45208</v>
      </c>
      <c r="B427" s="24">
        <f t="shared" si="24"/>
        <v>10</v>
      </c>
      <c r="C427" s="24">
        <f t="shared" si="25"/>
        <v>2023</v>
      </c>
      <c r="D427" s="104" t="s">
        <v>503</v>
      </c>
      <c r="E427" s="104" t="s">
        <v>343</v>
      </c>
      <c r="F427" s="104" t="s">
        <v>402</v>
      </c>
      <c r="K427" s="61">
        <v>8000</v>
      </c>
      <c r="L427" s="49">
        <f t="shared" si="26"/>
        <v>185160</v>
      </c>
      <c r="M427" s="50">
        <f t="shared" si="27"/>
        <v>0</v>
      </c>
      <c r="N427" s="143"/>
      <c r="O427" s="26"/>
    </row>
    <row r="428" spans="1:15" x14ac:dyDescent="0.25">
      <c r="A428" s="54">
        <v>45208</v>
      </c>
      <c r="B428" s="24">
        <f t="shared" si="24"/>
        <v>10</v>
      </c>
      <c r="C428" s="24">
        <f t="shared" si="25"/>
        <v>2023</v>
      </c>
      <c r="D428" s="104" t="s">
        <v>352</v>
      </c>
      <c r="E428" s="104" t="s">
        <v>343</v>
      </c>
      <c r="F428" s="104" t="s">
        <v>404</v>
      </c>
      <c r="J428" s="61">
        <v>7500</v>
      </c>
      <c r="L428" s="49">
        <f t="shared" si="26"/>
        <v>192660</v>
      </c>
      <c r="M428" s="50">
        <f t="shared" si="27"/>
        <v>0</v>
      </c>
      <c r="N428" s="143"/>
      <c r="O428" s="26"/>
    </row>
    <row r="429" spans="1:15" x14ac:dyDescent="0.25">
      <c r="A429" s="80">
        <v>45208</v>
      </c>
      <c r="B429" s="24">
        <f t="shared" si="24"/>
        <v>10</v>
      </c>
      <c r="C429" s="24">
        <f t="shared" si="25"/>
        <v>2023</v>
      </c>
      <c r="D429" s="107" t="s">
        <v>122</v>
      </c>
      <c r="E429" s="107" t="s">
        <v>343</v>
      </c>
      <c r="F429" s="107"/>
      <c r="G429" s="107"/>
      <c r="H429" s="81"/>
      <c r="I429" s="81"/>
      <c r="J429" s="52"/>
      <c r="K429" s="52">
        <v>162660</v>
      </c>
      <c r="L429" s="49">
        <f t="shared" si="26"/>
        <v>30000</v>
      </c>
      <c r="M429" s="50">
        <f t="shared" si="27"/>
        <v>0</v>
      </c>
      <c r="N429" s="143"/>
      <c r="O429" s="26"/>
    </row>
    <row r="430" spans="1:15" x14ac:dyDescent="0.25">
      <c r="A430" s="54">
        <v>45209</v>
      </c>
      <c r="B430" s="24">
        <f t="shared" si="24"/>
        <v>10</v>
      </c>
      <c r="C430" s="24">
        <f t="shared" si="25"/>
        <v>2023</v>
      </c>
      <c r="D430" s="104" t="s">
        <v>352</v>
      </c>
      <c r="E430" s="104" t="s">
        <v>343</v>
      </c>
      <c r="F430" s="104" t="s">
        <v>406</v>
      </c>
      <c r="J430" s="61">
        <v>40000</v>
      </c>
      <c r="L430" s="49">
        <f t="shared" si="26"/>
        <v>70000</v>
      </c>
      <c r="M430" s="50">
        <f t="shared" si="27"/>
        <v>0</v>
      </c>
      <c r="N430" s="143"/>
      <c r="O430" s="26"/>
    </row>
    <row r="431" spans="1:15" x14ac:dyDescent="0.25">
      <c r="A431" s="54">
        <v>45209</v>
      </c>
      <c r="B431" s="24">
        <f t="shared" si="24"/>
        <v>10</v>
      </c>
      <c r="C431" s="24">
        <f t="shared" si="25"/>
        <v>2023</v>
      </c>
      <c r="D431" s="104" t="s">
        <v>352</v>
      </c>
      <c r="E431" s="104" t="s">
        <v>343</v>
      </c>
      <c r="F431" s="104" t="s">
        <v>356</v>
      </c>
      <c r="J431" s="61">
        <v>30120</v>
      </c>
      <c r="L431" s="49">
        <f t="shared" si="26"/>
        <v>100120</v>
      </c>
      <c r="M431" s="50">
        <f t="shared" si="27"/>
        <v>0</v>
      </c>
      <c r="N431" s="143"/>
      <c r="O431" s="26"/>
    </row>
    <row r="432" spans="1:15" x14ac:dyDescent="0.25">
      <c r="A432" s="54">
        <v>45209</v>
      </c>
      <c r="B432" s="24">
        <f t="shared" si="24"/>
        <v>10</v>
      </c>
      <c r="C432" s="24">
        <f t="shared" si="25"/>
        <v>2023</v>
      </c>
      <c r="D432" s="104" t="s">
        <v>51</v>
      </c>
      <c r="E432" s="104" t="s">
        <v>343</v>
      </c>
      <c r="F432" s="104" t="s">
        <v>407</v>
      </c>
      <c r="K432" s="61">
        <v>4000</v>
      </c>
      <c r="L432" s="49">
        <f t="shared" si="26"/>
        <v>96120</v>
      </c>
      <c r="M432" s="50">
        <f t="shared" si="27"/>
        <v>0</v>
      </c>
      <c r="N432" s="143"/>
      <c r="O432" s="26"/>
    </row>
    <row r="433" spans="1:15" x14ac:dyDescent="0.25">
      <c r="A433" s="54">
        <v>45209</v>
      </c>
      <c r="B433" s="24">
        <f t="shared" si="24"/>
        <v>10</v>
      </c>
      <c r="C433" s="24">
        <f t="shared" si="25"/>
        <v>2023</v>
      </c>
      <c r="D433" s="104" t="s">
        <v>384</v>
      </c>
      <c r="E433" s="104" t="s">
        <v>93</v>
      </c>
      <c r="J433" s="61">
        <v>68000</v>
      </c>
      <c r="L433" s="49">
        <f t="shared" si="26"/>
        <v>164120</v>
      </c>
      <c r="M433" s="50">
        <f t="shared" si="27"/>
        <v>0</v>
      </c>
      <c r="N433" s="143"/>
      <c r="O433" s="26"/>
    </row>
    <row r="434" spans="1:15" x14ac:dyDescent="0.25">
      <c r="A434" s="54">
        <v>45209</v>
      </c>
      <c r="B434" s="24">
        <f t="shared" si="24"/>
        <v>10</v>
      </c>
      <c r="C434" s="24">
        <f t="shared" si="25"/>
        <v>2023</v>
      </c>
      <c r="D434" s="104" t="s">
        <v>503</v>
      </c>
      <c r="E434" s="104" t="s">
        <v>93</v>
      </c>
      <c r="F434" s="104" t="s">
        <v>408</v>
      </c>
      <c r="K434" s="61">
        <v>60000</v>
      </c>
      <c r="L434" s="49">
        <f t="shared" si="26"/>
        <v>104120</v>
      </c>
      <c r="M434" s="50">
        <f t="shared" si="27"/>
        <v>0</v>
      </c>
      <c r="N434" s="143"/>
      <c r="O434" s="26"/>
    </row>
    <row r="435" spans="1:15" x14ac:dyDescent="0.25">
      <c r="A435" s="54">
        <v>45209</v>
      </c>
      <c r="B435" s="24">
        <f t="shared" si="24"/>
        <v>10</v>
      </c>
      <c r="C435" s="24">
        <f t="shared" si="25"/>
        <v>2023</v>
      </c>
      <c r="D435" s="104" t="s">
        <v>503</v>
      </c>
      <c r="E435" s="104" t="s">
        <v>93</v>
      </c>
      <c r="F435" s="104" t="s">
        <v>409</v>
      </c>
      <c r="K435" s="61">
        <v>8000</v>
      </c>
      <c r="L435" s="49">
        <f t="shared" si="26"/>
        <v>96120</v>
      </c>
      <c r="M435" s="50">
        <f t="shared" si="27"/>
        <v>0</v>
      </c>
      <c r="N435" s="143"/>
      <c r="O435" s="26"/>
    </row>
    <row r="436" spans="1:15" x14ac:dyDescent="0.25">
      <c r="A436" s="54">
        <v>45209</v>
      </c>
      <c r="B436" s="24">
        <f t="shared" si="24"/>
        <v>10</v>
      </c>
      <c r="C436" s="24">
        <f t="shared" si="25"/>
        <v>2023</v>
      </c>
      <c r="D436" s="104" t="s">
        <v>110</v>
      </c>
      <c r="E436" s="104" t="s">
        <v>343</v>
      </c>
      <c r="F436" s="104" t="s">
        <v>410</v>
      </c>
      <c r="J436" s="61">
        <v>3000</v>
      </c>
      <c r="L436" s="49">
        <f t="shared" si="26"/>
        <v>99120</v>
      </c>
      <c r="M436" s="50">
        <f t="shared" si="27"/>
        <v>0</v>
      </c>
      <c r="N436" s="143"/>
      <c r="O436" s="26"/>
    </row>
    <row r="437" spans="1:15" x14ac:dyDescent="0.25">
      <c r="A437" s="54">
        <v>45209</v>
      </c>
      <c r="B437" s="24">
        <f t="shared" si="24"/>
        <v>10</v>
      </c>
      <c r="C437" s="24">
        <f t="shared" si="25"/>
        <v>2023</v>
      </c>
      <c r="D437" s="104" t="s">
        <v>89</v>
      </c>
      <c r="E437" s="104" t="s">
        <v>93</v>
      </c>
      <c r="F437" s="104" t="s">
        <v>411</v>
      </c>
      <c r="J437" s="61">
        <v>85750</v>
      </c>
      <c r="L437" s="49">
        <f t="shared" si="26"/>
        <v>184870</v>
      </c>
      <c r="M437" s="50">
        <f t="shared" si="27"/>
        <v>0</v>
      </c>
      <c r="N437" s="143"/>
      <c r="O437" s="26"/>
    </row>
    <row r="438" spans="1:15" x14ac:dyDescent="0.25">
      <c r="A438" s="54">
        <v>45209</v>
      </c>
      <c r="B438" s="24">
        <f t="shared" si="24"/>
        <v>10</v>
      </c>
      <c r="C438" s="24">
        <f t="shared" si="25"/>
        <v>2023</v>
      </c>
      <c r="D438" s="104" t="s">
        <v>109</v>
      </c>
      <c r="E438" s="104" t="s">
        <v>343</v>
      </c>
      <c r="F438" s="104" t="s">
        <v>412</v>
      </c>
      <c r="K438" s="61">
        <v>3000</v>
      </c>
      <c r="L438" s="49">
        <f t="shared" si="26"/>
        <v>181870</v>
      </c>
      <c r="M438" s="50">
        <f t="shared" si="27"/>
        <v>0</v>
      </c>
      <c r="N438" s="143"/>
      <c r="O438" s="26"/>
    </row>
    <row r="439" spans="1:15" x14ac:dyDescent="0.25">
      <c r="A439" s="54">
        <v>45209</v>
      </c>
      <c r="B439" s="24">
        <f t="shared" si="24"/>
        <v>10</v>
      </c>
      <c r="C439" s="24">
        <f t="shared" si="25"/>
        <v>2023</v>
      </c>
      <c r="D439" s="104" t="s">
        <v>51</v>
      </c>
      <c r="E439" s="104" t="s">
        <v>343</v>
      </c>
      <c r="F439" s="104" t="s">
        <v>413</v>
      </c>
      <c r="K439" s="61">
        <v>6000</v>
      </c>
      <c r="L439" s="49">
        <f t="shared" si="26"/>
        <v>175870</v>
      </c>
      <c r="M439" s="50">
        <f t="shared" si="27"/>
        <v>0</v>
      </c>
      <c r="N439" s="143"/>
      <c r="O439" s="26"/>
    </row>
    <row r="440" spans="1:15" x14ac:dyDescent="0.25">
      <c r="A440" s="80">
        <v>45209</v>
      </c>
      <c r="B440" s="24">
        <f t="shared" si="24"/>
        <v>10</v>
      </c>
      <c r="C440" s="24">
        <f t="shared" si="25"/>
        <v>2023</v>
      </c>
      <c r="D440" s="107" t="s">
        <v>122</v>
      </c>
      <c r="E440" s="107" t="s">
        <v>343</v>
      </c>
      <c r="F440" s="107"/>
      <c r="G440" s="107"/>
      <c r="H440" s="81"/>
      <c r="I440" s="81"/>
      <c r="J440" s="52"/>
      <c r="K440" s="52">
        <v>145870</v>
      </c>
      <c r="L440" s="49">
        <f t="shared" si="26"/>
        <v>30000</v>
      </c>
      <c r="M440" s="50">
        <f t="shared" si="27"/>
        <v>0</v>
      </c>
      <c r="N440" s="143"/>
      <c r="O440" s="26"/>
    </row>
    <row r="441" spans="1:15" x14ac:dyDescent="0.25">
      <c r="A441" s="54">
        <v>45210</v>
      </c>
      <c r="B441" s="24">
        <f t="shared" si="24"/>
        <v>10</v>
      </c>
      <c r="C441" s="24">
        <f t="shared" si="25"/>
        <v>2023</v>
      </c>
      <c r="D441" s="104" t="s">
        <v>352</v>
      </c>
      <c r="E441" s="104" t="s">
        <v>343</v>
      </c>
      <c r="F441" s="104" t="s">
        <v>467</v>
      </c>
      <c r="J441" s="61">
        <v>400000</v>
      </c>
      <c r="L441" s="49">
        <f t="shared" si="26"/>
        <v>430000</v>
      </c>
      <c r="M441" s="50">
        <f t="shared" si="27"/>
        <v>0</v>
      </c>
      <c r="N441" s="143"/>
      <c r="O441" s="26"/>
    </row>
    <row r="442" spans="1:15" x14ac:dyDescent="0.25">
      <c r="A442" s="54">
        <v>45210</v>
      </c>
      <c r="B442" s="24">
        <f t="shared" si="24"/>
        <v>10</v>
      </c>
      <c r="C442" s="24">
        <f t="shared" si="25"/>
        <v>2023</v>
      </c>
      <c r="D442" s="104" t="s">
        <v>352</v>
      </c>
      <c r="E442" s="104" t="s">
        <v>93</v>
      </c>
      <c r="F442" s="104" t="s">
        <v>415</v>
      </c>
      <c r="J442" s="61">
        <v>40000</v>
      </c>
      <c r="L442" s="49">
        <f t="shared" si="26"/>
        <v>470000</v>
      </c>
      <c r="M442" s="50">
        <f t="shared" si="27"/>
        <v>0</v>
      </c>
      <c r="N442" s="143"/>
      <c r="O442" s="26"/>
    </row>
    <row r="443" spans="1:15" x14ac:dyDescent="0.25">
      <c r="A443" s="54">
        <v>45210</v>
      </c>
      <c r="B443" s="24">
        <f t="shared" si="24"/>
        <v>10</v>
      </c>
      <c r="C443" s="24">
        <f t="shared" si="25"/>
        <v>2023</v>
      </c>
      <c r="D443" s="104" t="s">
        <v>124</v>
      </c>
      <c r="E443" s="104" t="s">
        <v>343</v>
      </c>
      <c r="F443" s="104" t="s">
        <v>416</v>
      </c>
      <c r="K443" s="61">
        <v>408000</v>
      </c>
      <c r="L443" s="49">
        <f t="shared" si="26"/>
        <v>62000</v>
      </c>
      <c r="M443" s="50">
        <f t="shared" si="27"/>
        <v>0</v>
      </c>
      <c r="N443" s="143"/>
      <c r="O443" s="26"/>
    </row>
    <row r="444" spans="1:15" x14ac:dyDescent="0.25">
      <c r="A444" s="54">
        <v>45210</v>
      </c>
      <c r="B444" s="24">
        <f t="shared" si="24"/>
        <v>10</v>
      </c>
      <c r="C444" s="24">
        <f t="shared" si="25"/>
        <v>2023</v>
      </c>
      <c r="D444" s="104" t="s">
        <v>112</v>
      </c>
      <c r="E444" s="104" t="s">
        <v>343</v>
      </c>
      <c r="F444" s="104" t="s">
        <v>417</v>
      </c>
      <c r="K444" s="61">
        <v>10000</v>
      </c>
      <c r="L444" s="49">
        <f t="shared" si="26"/>
        <v>52000</v>
      </c>
      <c r="M444" s="50">
        <f t="shared" si="27"/>
        <v>0</v>
      </c>
      <c r="N444" s="143"/>
      <c r="O444" s="26"/>
    </row>
    <row r="445" spans="1:15" x14ac:dyDescent="0.25">
      <c r="A445" s="54">
        <v>45210</v>
      </c>
      <c r="B445" s="24">
        <f t="shared" si="24"/>
        <v>10</v>
      </c>
      <c r="C445" s="24">
        <f t="shared" si="25"/>
        <v>2023</v>
      </c>
      <c r="D445" s="104" t="s">
        <v>89</v>
      </c>
      <c r="E445" s="104" t="s">
        <v>343</v>
      </c>
      <c r="F445" s="104" t="s">
        <v>418</v>
      </c>
      <c r="J445" s="61">
        <v>115200</v>
      </c>
      <c r="L445" s="49">
        <f t="shared" si="26"/>
        <v>167200</v>
      </c>
      <c r="M445" s="50">
        <f t="shared" si="27"/>
        <v>0</v>
      </c>
      <c r="N445" s="143"/>
      <c r="O445" s="26"/>
    </row>
    <row r="446" spans="1:15" x14ac:dyDescent="0.25">
      <c r="A446" s="54">
        <v>45210</v>
      </c>
      <c r="B446" s="24">
        <f t="shared" si="24"/>
        <v>10</v>
      </c>
      <c r="C446" s="24">
        <f t="shared" si="25"/>
        <v>2023</v>
      </c>
      <c r="D446" s="104" t="s">
        <v>124</v>
      </c>
      <c r="E446" s="104" t="s">
        <v>343</v>
      </c>
      <c r="F446" s="104" t="s">
        <v>204</v>
      </c>
      <c r="K446" s="61">
        <v>4000</v>
      </c>
      <c r="L446" s="49">
        <f t="shared" si="26"/>
        <v>163200</v>
      </c>
      <c r="M446" s="50">
        <f t="shared" si="27"/>
        <v>0</v>
      </c>
      <c r="N446" s="143"/>
      <c r="O446" s="26"/>
    </row>
    <row r="447" spans="1:15" x14ac:dyDescent="0.25">
      <c r="A447" s="54">
        <v>45210</v>
      </c>
      <c r="B447" s="24">
        <f t="shared" si="24"/>
        <v>10</v>
      </c>
      <c r="C447" s="24">
        <f t="shared" si="25"/>
        <v>2023</v>
      </c>
      <c r="D447" s="104" t="s">
        <v>123</v>
      </c>
      <c r="E447" s="104" t="s">
        <v>343</v>
      </c>
      <c r="J447" s="61">
        <v>8000</v>
      </c>
      <c r="L447" s="49">
        <f t="shared" si="26"/>
        <v>171200</v>
      </c>
      <c r="M447" s="50">
        <f t="shared" si="27"/>
        <v>0</v>
      </c>
      <c r="N447" s="143"/>
      <c r="O447" s="26"/>
    </row>
    <row r="448" spans="1:15" x14ac:dyDescent="0.25">
      <c r="A448" s="54">
        <v>45210</v>
      </c>
      <c r="B448" s="24">
        <f t="shared" si="24"/>
        <v>10</v>
      </c>
      <c r="C448" s="24">
        <f t="shared" si="25"/>
        <v>2023</v>
      </c>
      <c r="D448" s="104" t="s">
        <v>124</v>
      </c>
      <c r="E448" s="104" t="s">
        <v>343</v>
      </c>
      <c r="F448" s="104" t="s">
        <v>419</v>
      </c>
      <c r="K448" s="61">
        <v>8000</v>
      </c>
      <c r="L448" s="49">
        <f t="shared" si="26"/>
        <v>163200</v>
      </c>
      <c r="M448" s="50">
        <f t="shared" si="27"/>
        <v>0</v>
      </c>
      <c r="N448" s="143"/>
      <c r="O448" s="26"/>
    </row>
    <row r="449" spans="1:15" x14ac:dyDescent="0.25">
      <c r="A449" s="54">
        <v>45210</v>
      </c>
      <c r="B449" s="24">
        <f t="shared" si="24"/>
        <v>10</v>
      </c>
      <c r="C449" s="24">
        <f t="shared" si="25"/>
        <v>2023</v>
      </c>
      <c r="D449" s="104" t="s">
        <v>352</v>
      </c>
      <c r="E449" s="104" t="s">
        <v>343</v>
      </c>
      <c r="F449" s="104" t="s">
        <v>368</v>
      </c>
      <c r="J449" s="61">
        <v>49750</v>
      </c>
      <c r="L449" s="49">
        <f t="shared" si="26"/>
        <v>212950</v>
      </c>
      <c r="M449" s="50">
        <f t="shared" si="27"/>
        <v>0</v>
      </c>
      <c r="N449" s="143"/>
      <c r="O449" s="26"/>
    </row>
    <row r="450" spans="1:15" x14ac:dyDescent="0.25">
      <c r="A450" s="54">
        <v>45210</v>
      </c>
      <c r="B450" s="24">
        <f t="shared" si="24"/>
        <v>10</v>
      </c>
      <c r="C450" s="24">
        <f t="shared" si="25"/>
        <v>2023</v>
      </c>
      <c r="D450" s="104" t="s">
        <v>123</v>
      </c>
      <c r="E450" s="104" t="s">
        <v>343</v>
      </c>
      <c r="J450" s="61">
        <v>51000</v>
      </c>
      <c r="L450" s="49">
        <f t="shared" si="26"/>
        <v>263950</v>
      </c>
      <c r="M450" s="50">
        <f t="shared" si="27"/>
        <v>0</v>
      </c>
      <c r="N450" s="143"/>
      <c r="O450" s="26"/>
    </row>
    <row r="451" spans="1:15" x14ac:dyDescent="0.25">
      <c r="A451" s="54">
        <v>45210</v>
      </c>
      <c r="B451" s="24">
        <f t="shared" ref="B451:B514" si="28">MONTH(A451)</f>
        <v>10</v>
      </c>
      <c r="C451" s="24">
        <f t="shared" ref="C451:C514" si="29">YEAR(A451)</f>
        <v>2023</v>
      </c>
      <c r="D451" s="104" t="s">
        <v>135</v>
      </c>
      <c r="E451" s="104" t="s">
        <v>343</v>
      </c>
      <c r="K451" s="61">
        <v>51250</v>
      </c>
      <c r="L451" s="49">
        <f t="shared" si="26"/>
        <v>212700</v>
      </c>
      <c r="M451" s="50">
        <f t="shared" si="27"/>
        <v>0</v>
      </c>
      <c r="N451" s="143"/>
      <c r="O451" s="26"/>
    </row>
    <row r="452" spans="1:15" x14ac:dyDescent="0.25">
      <c r="A452" s="54">
        <v>45210</v>
      </c>
      <c r="B452" s="24">
        <f t="shared" si="28"/>
        <v>10</v>
      </c>
      <c r="C452" s="24">
        <f t="shared" si="29"/>
        <v>2023</v>
      </c>
      <c r="D452" s="104" t="s">
        <v>123</v>
      </c>
      <c r="E452" s="104" t="s">
        <v>343</v>
      </c>
      <c r="J452" s="61">
        <v>408000</v>
      </c>
      <c r="L452" s="49">
        <f t="shared" ref="L452:L515" si="30">IF((L451+M451+J452-K452)&gt;0,(L451+M451+J452-K452),0)</f>
        <v>620700</v>
      </c>
      <c r="M452" s="50">
        <f t="shared" ref="M452:M515" si="31">IF((L451+M451+J452-K452)&lt;0,(L451+M451+J452-K452),0)</f>
        <v>0</v>
      </c>
      <c r="N452" s="143"/>
      <c r="O452" s="26"/>
    </row>
    <row r="453" spans="1:15" x14ac:dyDescent="0.25">
      <c r="A453" s="54">
        <v>45210</v>
      </c>
      <c r="B453" s="24">
        <f t="shared" si="28"/>
        <v>10</v>
      </c>
      <c r="C453" s="24">
        <f t="shared" si="29"/>
        <v>2023</v>
      </c>
      <c r="D453" s="104" t="s">
        <v>420</v>
      </c>
      <c r="E453" s="104" t="s">
        <v>92</v>
      </c>
      <c r="F453" s="104" t="s">
        <v>421</v>
      </c>
      <c r="K453" s="61">
        <v>101000</v>
      </c>
      <c r="L453" s="49">
        <f t="shared" si="30"/>
        <v>519700</v>
      </c>
      <c r="M453" s="50">
        <f t="shared" si="31"/>
        <v>0</v>
      </c>
      <c r="N453" s="143"/>
      <c r="O453" s="26"/>
    </row>
    <row r="454" spans="1:15" x14ac:dyDescent="0.25">
      <c r="A454" s="54">
        <v>45210</v>
      </c>
      <c r="B454" s="24">
        <f t="shared" si="28"/>
        <v>10</v>
      </c>
      <c r="C454" s="24">
        <f t="shared" si="29"/>
        <v>2023</v>
      </c>
      <c r="D454" s="104" t="s">
        <v>135</v>
      </c>
      <c r="E454" s="104" t="s">
        <v>343</v>
      </c>
      <c r="K454" s="61">
        <v>2600</v>
      </c>
      <c r="L454" s="49">
        <f t="shared" si="30"/>
        <v>517100</v>
      </c>
      <c r="M454" s="50">
        <f t="shared" si="31"/>
        <v>0</v>
      </c>
      <c r="N454" s="143"/>
      <c r="O454" s="26"/>
    </row>
    <row r="455" spans="1:15" x14ac:dyDescent="0.25">
      <c r="A455" s="54">
        <v>45210</v>
      </c>
      <c r="B455" s="24">
        <f t="shared" si="28"/>
        <v>10</v>
      </c>
      <c r="C455" s="24">
        <f t="shared" si="29"/>
        <v>2023</v>
      </c>
      <c r="D455" s="104" t="s">
        <v>124</v>
      </c>
      <c r="E455" s="104" t="s">
        <v>343</v>
      </c>
      <c r="G455" s="104" t="s">
        <v>333</v>
      </c>
      <c r="K455" s="61">
        <v>173250</v>
      </c>
      <c r="L455" s="49">
        <f t="shared" si="30"/>
        <v>343850</v>
      </c>
      <c r="M455" s="50">
        <f t="shared" si="31"/>
        <v>0</v>
      </c>
      <c r="N455" s="143"/>
      <c r="O455" s="26"/>
    </row>
    <row r="456" spans="1:15" x14ac:dyDescent="0.25">
      <c r="A456" s="80">
        <v>45210</v>
      </c>
      <c r="B456" s="24">
        <f t="shared" si="28"/>
        <v>10</v>
      </c>
      <c r="C456" s="24">
        <f t="shared" si="29"/>
        <v>2023</v>
      </c>
      <c r="D456" s="107" t="s">
        <v>122</v>
      </c>
      <c r="E456" s="107" t="s">
        <v>343</v>
      </c>
      <c r="F456" s="107"/>
      <c r="G456" s="107"/>
      <c r="H456" s="81"/>
      <c r="I456" s="81"/>
      <c r="J456" s="52"/>
      <c r="K456" s="52">
        <v>313850</v>
      </c>
      <c r="L456" s="49">
        <f t="shared" si="30"/>
        <v>30000</v>
      </c>
      <c r="M456" s="50">
        <f t="shared" si="31"/>
        <v>0</v>
      </c>
      <c r="N456" s="143"/>
      <c r="O456" s="26"/>
    </row>
    <row r="457" spans="1:15" x14ac:dyDescent="0.25">
      <c r="A457" s="54">
        <v>45211</v>
      </c>
      <c r="B457" s="24">
        <f t="shared" si="28"/>
        <v>10</v>
      </c>
      <c r="C457" s="24">
        <f t="shared" si="29"/>
        <v>2023</v>
      </c>
      <c r="D457" s="104" t="s">
        <v>352</v>
      </c>
      <c r="E457" s="104" t="s">
        <v>343</v>
      </c>
      <c r="F457" s="104" t="s">
        <v>423</v>
      </c>
      <c r="J457" s="61">
        <v>35000</v>
      </c>
      <c r="L457" s="49">
        <f t="shared" si="30"/>
        <v>65000</v>
      </c>
      <c r="M457" s="50">
        <f t="shared" si="31"/>
        <v>0</v>
      </c>
      <c r="N457" s="143"/>
      <c r="O457" s="26"/>
    </row>
    <row r="458" spans="1:15" x14ac:dyDescent="0.25">
      <c r="A458" s="54">
        <v>45211</v>
      </c>
      <c r="B458" s="24">
        <f t="shared" si="28"/>
        <v>10</v>
      </c>
      <c r="C458" s="24">
        <f t="shared" si="29"/>
        <v>2023</v>
      </c>
      <c r="D458" s="104" t="s">
        <v>109</v>
      </c>
      <c r="E458" s="104" t="s">
        <v>343</v>
      </c>
      <c r="F458" s="104" t="s">
        <v>424</v>
      </c>
      <c r="K458" s="61">
        <v>1500</v>
      </c>
      <c r="L458" s="49">
        <f t="shared" si="30"/>
        <v>63500</v>
      </c>
      <c r="M458" s="50">
        <f t="shared" si="31"/>
        <v>0</v>
      </c>
      <c r="N458" s="143"/>
      <c r="O458" s="26"/>
    </row>
    <row r="459" spans="1:15" x14ac:dyDescent="0.25">
      <c r="A459" s="54">
        <v>45211</v>
      </c>
      <c r="B459" s="24">
        <f t="shared" si="28"/>
        <v>10</v>
      </c>
      <c r="C459" s="24">
        <f t="shared" si="29"/>
        <v>2023</v>
      </c>
      <c r="D459" s="104" t="s">
        <v>51</v>
      </c>
      <c r="E459" s="104" t="s">
        <v>343</v>
      </c>
      <c r="G459" s="104" t="s">
        <v>333</v>
      </c>
      <c r="K459" s="61">
        <v>2000</v>
      </c>
      <c r="L459" s="49">
        <f t="shared" si="30"/>
        <v>61500</v>
      </c>
      <c r="M459" s="50">
        <f t="shared" si="31"/>
        <v>0</v>
      </c>
      <c r="N459" s="143"/>
      <c r="O459" s="26"/>
    </row>
    <row r="460" spans="1:15" x14ac:dyDescent="0.25">
      <c r="A460" s="54">
        <v>45211</v>
      </c>
      <c r="B460" s="24">
        <f t="shared" si="28"/>
        <v>10</v>
      </c>
      <c r="C460" s="24">
        <f t="shared" si="29"/>
        <v>2023</v>
      </c>
      <c r="D460" s="104" t="s">
        <v>123</v>
      </c>
      <c r="E460" s="104" t="s">
        <v>343</v>
      </c>
      <c r="J460" s="61">
        <v>2500</v>
      </c>
      <c r="L460" s="49">
        <f t="shared" si="30"/>
        <v>64000</v>
      </c>
      <c r="M460" s="50">
        <f t="shared" si="31"/>
        <v>0</v>
      </c>
      <c r="N460" s="143"/>
      <c r="O460" s="26"/>
    </row>
    <row r="461" spans="1:15" x14ac:dyDescent="0.25">
      <c r="A461" s="54">
        <v>45211</v>
      </c>
      <c r="B461" s="24">
        <f t="shared" si="28"/>
        <v>10</v>
      </c>
      <c r="C461" s="24">
        <f t="shared" si="29"/>
        <v>2023</v>
      </c>
      <c r="D461" s="104" t="s">
        <v>51</v>
      </c>
      <c r="E461" s="104" t="s">
        <v>343</v>
      </c>
      <c r="F461" s="104" t="s">
        <v>425</v>
      </c>
      <c r="K461" s="61">
        <v>2500</v>
      </c>
      <c r="L461" s="49">
        <f t="shared" si="30"/>
        <v>61500</v>
      </c>
      <c r="M461" s="50">
        <f t="shared" si="31"/>
        <v>0</v>
      </c>
      <c r="N461" s="143"/>
      <c r="O461" s="26"/>
    </row>
    <row r="462" spans="1:15" x14ac:dyDescent="0.25">
      <c r="A462" s="54">
        <v>45211</v>
      </c>
      <c r="B462" s="24">
        <f t="shared" si="28"/>
        <v>10</v>
      </c>
      <c r="C462" s="24">
        <f t="shared" si="29"/>
        <v>2023</v>
      </c>
      <c r="D462" s="104" t="s">
        <v>352</v>
      </c>
      <c r="E462" s="104" t="s">
        <v>343</v>
      </c>
      <c r="F462" s="104" t="s">
        <v>427</v>
      </c>
      <c r="J462" s="61">
        <v>40000</v>
      </c>
      <c r="L462" s="49">
        <f t="shared" si="30"/>
        <v>101500</v>
      </c>
      <c r="M462" s="50">
        <f t="shared" si="31"/>
        <v>0</v>
      </c>
      <c r="N462" s="143"/>
      <c r="O462" s="26"/>
    </row>
    <row r="463" spans="1:15" x14ac:dyDescent="0.25">
      <c r="A463" s="54">
        <v>45211</v>
      </c>
      <c r="B463" s="24">
        <f t="shared" si="28"/>
        <v>10</v>
      </c>
      <c r="C463" s="24">
        <f t="shared" si="29"/>
        <v>2023</v>
      </c>
      <c r="D463" s="104" t="s">
        <v>384</v>
      </c>
      <c r="E463" s="104" t="s">
        <v>343</v>
      </c>
      <c r="J463" s="61">
        <v>236000</v>
      </c>
      <c r="L463" s="49">
        <f t="shared" si="30"/>
        <v>337500</v>
      </c>
      <c r="M463" s="50">
        <f t="shared" si="31"/>
        <v>0</v>
      </c>
      <c r="N463" s="143"/>
      <c r="O463" s="26"/>
    </row>
    <row r="464" spans="1:15" s="92" customFormat="1" x14ac:dyDescent="0.25">
      <c r="A464" s="86">
        <v>45211</v>
      </c>
      <c r="B464" s="24">
        <f t="shared" si="28"/>
        <v>10</v>
      </c>
      <c r="C464" s="24">
        <f t="shared" si="29"/>
        <v>2023</v>
      </c>
      <c r="D464" s="106" t="s">
        <v>428</v>
      </c>
      <c r="E464" s="106" t="s">
        <v>343</v>
      </c>
      <c r="F464" s="106" t="s">
        <v>367</v>
      </c>
      <c r="G464" s="106"/>
      <c r="H464" s="88"/>
      <c r="I464" s="88"/>
      <c r="J464" s="116"/>
      <c r="K464" s="116">
        <v>236000</v>
      </c>
      <c r="L464" s="89">
        <f t="shared" si="30"/>
        <v>101500</v>
      </c>
      <c r="M464" s="90">
        <f t="shared" si="31"/>
        <v>0</v>
      </c>
      <c r="N464" s="154"/>
      <c r="O464" s="91"/>
    </row>
    <row r="465" spans="1:19" x14ac:dyDescent="0.25">
      <c r="A465" s="80">
        <v>45211</v>
      </c>
      <c r="B465" s="24">
        <f t="shared" si="28"/>
        <v>10</v>
      </c>
      <c r="C465" s="24">
        <f t="shared" si="29"/>
        <v>2023</v>
      </c>
      <c r="D465" s="107" t="s">
        <v>361</v>
      </c>
      <c r="E465" s="107" t="s">
        <v>343</v>
      </c>
      <c r="F465" s="107"/>
      <c r="G465" s="107"/>
      <c r="H465" s="81"/>
      <c r="I465" s="81"/>
      <c r="J465" s="52"/>
      <c r="K465" s="52">
        <v>71500</v>
      </c>
      <c r="L465" s="49">
        <f t="shared" si="30"/>
        <v>30000</v>
      </c>
      <c r="M465" s="50">
        <f t="shared" si="31"/>
        <v>0</v>
      </c>
      <c r="N465" s="143"/>
      <c r="O465" s="26"/>
    </row>
    <row r="466" spans="1:19" x14ac:dyDescent="0.25">
      <c r="A466" s="54">
        <v>45216</v>
      </c>
      <c r="B466" s="24">
        <f t="shared" si="28"/>
        <v>10</v>
      </c>
      <c r="C466" s="24">
        <f t="shared" si="29"/>
        <v>2023</v>
      </c>
      <c r="D466" s="104" t="s">
        <v>89</v>
      </c>
      <c r="E466" s="104" t="s">
        <v>343</v>
      </c>
      <c r="F466" s="104" t="s">
        <v>429</v>
      </c>
      <c r="J466" s="61">
        <v>90850</v>
      </c>
      <c r="L466" s="49">
        <f t="shared" si="30"/>
        <v>120850</v>
      </c>
      <c r="M466" s="50">
        <f t="shared" si="31"/>
        <v>0</v>
      </c>
      <c r="N466" s="143"/>
      <c r="O466" s="26"/>
    </row>
    <row r="467" spans="1:19" x14ac:dyDescent="0.25">
      <c r="A467" s="54">
        <v>45216</v>
      </c>
      <c r="B467" s="24">
        <f t="shared" si="28"/>
        <v>10</v>
      </c>
      <c r="C467" s="24">
        <f t="shared" si="29"/>
        <v>2023</v>
      </c>
      <c r="D467" s="104" t="s">
        <v>112</v>
      </c>
      <c r="E467" s="104" t="s">
        <v>93</v>
      </c>
      <c r="K467" s="61">
        <v>5000</v>
      </c>
      <c r="L467" s="49">
        <f t="shared" si="30"/>
        <v>115850</v>
      </c>
      <c r="M467" s="50">
        <f t="shared" si="31"/>
        <v>0</v>
      </c>
      <c r="N467" s="143"/>
      <c r="O467" s="26"/>
    </row>
    <row r="468" spans="1:19" x14ac:dyDescent="0.25">
      <c r="A468" s="54">
        <v>45216</v>
      </c>
      <c r="B468" s="24">
        <f t="shared" si="28"/>
        <v>10</v>
      </c>
      <c r="C468" s="24">
        <f t="shared" si="29"/>
        <v>2023</v>
      </c>
      <c r="D468" s="104" t="s">
        <v>89</v>
      </c>
      <c r="E468" s="104" t="s">
        <v>343</v>
      </c>
      <c r="F468" s="104" t="s">
        <v>418</v>
      </c>
      <c r="J468" s="61">
        <v>5000</v>
      </c>
      <c r="L468" s="49">
        <f t="shared" si="30"/>
        <v>120850</v>
      </c>
      <c r="M468" s="50">
        <f t="shared" si="31"/>
        <v>0</v>
      </c>
      <c r="N468" s="143"/>
      <c r="O468" s="26"/>
      <c r="Q468" s="18"/>
      <c r="R468" s="18"/>
      <c r="S468" s="18"/>
    </row>
    <row r="469" spans="1:19" x14ac:dyDescent="0.25">
      <c r="A469" s="80">
        <v>45216</v>
      </c>
      <c r="B469" s="24">
        <f t="shared" si="28"/>
        <v>10</v>
      </c>
      <c r="C469" s="24">
        <f t="shared" si="29"/>
        <v>2023</v>
      </c>
      <c r="D469" s="107" t="s">
        <v>361</v>
      </c>
      <c r="E469" s="107" t="s">
        <v>343</v>
      </c>
      <c r="F469" s="107"/>
      <c r="G469" s="107"/>
      <c r="H469" s="81"/>
      <c r="I469" s="81"/>
      <c r="J469" s="52"/>
      <c r="K469" s="52">
        <v>90850</v>
      </c>
      <c r="L469" s="49">
        <f t="shared" si="30"/>
        <v>30000</v>
      </c>
      <c r="M469" s="50">
        <f t="shared" si="31"/>
        <v>0</v>
      </c>
      <c r="N469" s="143"/>
      <c r="O469" s="26"/>
    </row>
    <row r="470" spans="1:19" x14ac:dyDescent="0.25">
      <c r="A470" s="54">
        <v>45217</v>
      </c>
      <c r="B470" s="24">
        <f t="shared" si="28"/>
        <v>10</v>
      </c>
      <c r="C470" s="24">
        <f t="shared" si="29"/>
        <v>2023</v>
      </c>
      <c r="D470" s="104" t="s">
        <v>352</v>
      </c>
      <c r="E470" s="104" t="s">
        <v>343</v>
      </c>
      <c r="F470" s="104" t="s">
        <v>431</v>
      </c>
      <c r="J470" s="61">
        <v>4000</v>
      </c>
      <c r="L470" s="49">
        <f t="shared" si="30"/>
        <v>34000</v>
      </c>
      <c r="M470" s="50">
        <f t="shared" si="31"/>
        <v>0</v>
      </c>
      <c r="N470" s="143"/>
      <c r="O470" s="26"/>
    </row>
    <row r="471" spans="1:19" x14ac:dyDescent="0.25">
      <c r="A471" s="54">
        <v>45217</v>
      </c>
      <c r="B471" s="24">
        <f t="shared" si="28"/>
        <v>10</v>
      </c>
      <c r="C471" s="24">
        <f t="shared" si="29"/>
        <v>2023</v>
      </c>
      <c r="D471" s="104" t="s">
        <v>124</v>
      </c>
      <c r="E471" s="104" t="s">
        <v>343</v>
      </c>
      <c r="F471" s="104" t="s">
        <v>432</v>
      </c>
      <c r="K471" s="61">
        <v>6500</v>
      </c>
      <c r="L471" s="49">
        <f t="shared" si="30"/>
        <v>27500</v>
      </c>
      <c r="M471" s="50">
        <f t="shared" si="31"/>
        <v>0</v>
      </c>
      <c r="N471" s="143"/>
      <c r="O471" s="26"/>
    </row>
    <row r="472" spans="1:19" x14ac:dyDescent="0.25">
      <c r="A472" s="54">
        <v>45217</v>
      </c>
      <c r="B472" s="24">
        <f t="shared" si="28"/>
        <v>10</v>
      </c>
      <c r="C472" s="24">
        <f t="shared" si="29"/>
        <v>2023</v>
      </c>
      <c r="D472" s="104" t="s">
        <v>352</v>
      </c>
      <c r="E472" s="104" t="s">
        <v>343</v>
      </c>
      <c r="F472" s="104" t="s">
        <v>434</v>
      </c>
      <c r="J472" s="61">
        <v>83400</v>
      </c>
      <c r="L472" s="49">
        <f t="shared" si="30"/>
        <v>110900</v>
      </c>
      <c r="M472" s="50">
        <f t="shared" si="31"/>
        <v>0</v>
      </c>
      <c r="N472" s="143"/>
      <c r="O472" s="26"/>
    </row>
    <row r="473" spans="1:19" x14ac:dyDescent="0.25">
      <c r="A473" s="54">
        <v>45217</v>
      </c>
      <c r="B473" s="24">
        <f t="shared" si="28"/>
        <v>10</v>
      </c>
      <c r="C473" s="24">
        <f t="shared" si="29"/>
        <v>2023</v>
      </c>
      <c r="D473" s="104" t="s">
        <v>352</v>
      </c>
      <c r="E473" s="104" t="s">
        <v>343</v>
      </c>
      <c r="F473" s="104" t="s">
        <v>353</v>
      </c>
      <c r="J473" s="61">
        <v>29200</v>
      </c>
      <c r="L473" s="49">
        <f t="shared" si="30"/>
        <v>140100</v>
      </c>
      <c r="M473" s="50">
        <f t="shared" si="31"/>
        <v>0</v>
      </c>
      <c r="N473" s="143"/>
      <c r="O473" s="26"/>
    </row>
    <row r="474" spans="1:19" x14ac:dyDescent="0.25">
      <c r="A474" s="80">
        <v>45217</v>
      </c>
      <c r="B474" s="24">
        <f t="shared" si="28"/>
        <v>10</v>
      </c>
      <c r="C474" s="24">
        <f t="shared" si="29"/>
        <v>2023</v>
      </c>
      <c r="D474" s="107" t="s">
        <v>361</v>
      </c>
      <c r="E474" s="107" t="s">
        <v>343</v>
      </c>
      <c r="F474" s="107"/>
      <c r="G474" s="107"/>
      <c r="H474" s="81"/>
      <c r="I474" s="81"/>
      <c r="J474" s="52"/>
      <c r="K474" s="52">
        <v>110100</v>
      </c>
      <c r="L474" s="49">
        <f t="shared" si="30"/>
        <v>30000</v>
      </c>
      <c r="M474" s="50">
        <f t="shared" si="31"/>
        <v>0</v>
      </c>
      <c r="N474" s="143"/>
      <c r="O474" s="26"/>
    </row>
    <row r="475" spans="1:19" x14ac:dyDescent="0.25">
      <c r="A475" s="54">
        <v>45218</v>
      </c>
      <c r="B475" s="24">
        <f t="shared" si="28"/>
        <v>10</v>
      </c>
      <c r="C475" s="24">
        <f t="shared" si="29"/>
        <v>2023</v>
      </c>
      <c r="D475" s="104" t="s">
        <v>352</v>
      </c>
      <c r="E475" s="104" t="s">
        <v>343</v>
      </c>
      <c r="F475" s="104" t="s">
        <v>406</v>
      </c>
      <c r="J475" s="61">
        <v>93800</v>
      </c>
      <c r="L475" s="49">
        <f t="shared" si="30"/>
        <v>123800</v>
      </c>
      <c r="M475" s="50">
        <f t="shared" si="31"/>
        <v>0</v>
      </c>
      <c r="N475" s="143"/>
      <c r="O475" s="26"/>
    </row>
    <row r="476" spans="1:19" x14ac:dyDescent="0.25">
      <c r="A476" s="54">
        <v>45218</v>
      </c>
      <c r="B476" s="24">
        <f t="shared" si="28"/>
        <v>10</v>
      </c>
      <c r="C476" s="24">
        <f t="shared" si="29"/>
        <v>2023</v>
      </c>
      <c r="D476" s="104" t="s">
        <v>89</v>
      </c>
      <c r="E476" s="104" t="s">
        <v>343</v>
      </c>
      <c r="F476" s="104" t="s">
        <v>436</v>
      </c>
      <c r="J476" s="61">
        <v>30000</v>
      </c>
      <c r="L476" s="49">
        <f t="shared" si="30"/>
        <v>153800</v>
      </c>
      <c r="M476" s="50">
        <f t="shared" si="31"/>
        <v>0</v>
      </c>
      <c r="N476" s="143"/>
      <c r="O476" s="26"/>
    </row>
    <row r="477" spans="1:19" x14ac:dyDescent="0.25">
      <c r="A477" s="54">
        <v>45218</v>
      </c>
      <c r="B477" s="24">
        <f t="shared" si="28"/>
        <v>10</v>
      </c>
      <c r="C477" s="24">
        <f t="shared" si="29"/>
        <v>2023</v>
      </c>
      <c r="D477" s="104" t="s">
        <v>123</v>
      </c>
      <c r="E477" s="104" t="s">
        <v>343</v>
      </c>
      <c r="J477" s="61">
        <v>5500</v>
      </c>
      <c r="L477" s="49">
        <f t="shared" si="30"/>
        <v>159300</v>
      </c>
      <c r="M477" s="50">
        <f t="shared" si="31"/>
        <v>0</v>
      </c>
      <c r="N477" s="143"/>
      <c r="O477" s="26"/>
    </row>
    <row r="478" spans="1:19" x14ac:dyDescent="0.25">
      <c r="A478" s="54">
        <v>45218</v>
      </c>
      <c r="B478" s="24">
        <f t="shared" si="28"/>
        <v>10</v>
      </c>
      <c r="C478" s="24">
        <f t="shared" si="29"/>
        <v>2023</v>
      </c>
      <c r="D478" s="104" t="s">
        <v>109</v>
      </c>
      <c r="E478" s="104" t="s">
        <v>343</v>
      </c>
      <c r="F478" s="104" t="s">
        <v>246</v>
      </c>
      <c r="K478" s="61">
        <v>5500</v>
      </c>
      <c r="L478" s="49">
        <f t="shared" si="30"/>
        <v>153800</v>
      </c>
      <c r="M478" s="50">
        <f t="shared" si="31"/>
        <v>0</v>
      </c>
      <c r="N478" s="143"/>
      <c r="O478" s="26"/>
    </row>
    <row r="479" spans="1:19" x14ac:dyDescent="0.25">
      <c r="A479" s="54">
        <v>45218</v>
      </c>
      <c r="B479" s="24">
        <f t="shared" si="28"/>
        <v>10</v>
      </c>
      <c r="C479" s="24">
        <f t="shared" si="29"/>
        <v>2023</v>
      </c>
      <c r="D479" s="104" t="s">
        <v>124</v>
      </c>
      <c r="E479" s="104" t="s">
        <v>343</v>
      </c>
      <c r="F479" s="104" t="s">
        <v>437</v>
      </c>
      <c r="K479" s="61">
        <v>5000</v>
      </c>
      <c r="L479" s="49">
        <f t="shared" si="30"/>
        <v>148800</v>
      </c>
      <c r="M479" s="50">
        <f t="shared" si="31"/>
        <v>0</v>
      </c>
      <c r="N479" s="143"/>
      <c r="O479" s="26"/>
    </row>
    <row r="480" spans="1:19" x14ac:dyDescent="0.25">
      <c r="A480" s="54">
        <v>45218</v>
      </c>
      <c r="B480" s="24">
        <f t="shared" si="28"/>
        <v>10</v>
      </c>
      <c r="C480" s="24">
        <f t="shared" si="29"/>
        <v>2023</v>
      </c>
      <c r="D480" s="104" t="s">
        <v>352</v>
      </c>
      <c r="E480" s="104" t="s">
        <v>343</v>
      </c>
      <c r="F480" s="104" t="s">
        <v>438</v>
      </c>
      <c r="J480" s="61">
        <v>103600</v>
      </c>
      <c r="L480" s="49">
        <f t="shared" si="30"/>
        <v>252400</v>
      </c>
      <c r="M480" s="50">
        <f t="shared" si="31"/>
        <v>0</v>
      </c>
      <c r="N480" s="143"/>
      <c r="O480" s="26"/>
    </row>
    <row r="481" spans="1:15" x14ac:dyDescent="0.25">
      <c r="A481" s="54">
        <v>45218</v>
      </c>
      <c r="B481" s="24">
        <f t="shared" si="28"/>
        <v>10</v>
      </c>
      <c r="C481" s="24">
        <f t="shared" si="29"/>
        <v>2023</v>
      </c>
      <c r="D481" s="104" t="s">
        <v>92</v>
      </c>
      <c r="E481" s="104" t="s">
        <v>92</v>
      </c>
      <c r="F481" s="104" t="s">
        <v>359</v>
      </c>
      <c r="K481" s="61">
        <v>15000</v>
      </c>
      <c r="L481" s="49">
        <f t="shared" si="30"/>
        <v>237400</v>
      </c>
      <c r="M481" s="50">
        <f t="shared" si="31"/>
        <v>0</v>
      </c>
      <c r="N481" s="143"/>
      <c r="O481" s="26"/>
    </row>
    <row r="482" spans="1:15" x14ac:dyDescent="0.25">
      <c r="A482" s="80">
        <v>45218</v>
      </c>
      <c r="B482" s="24">
        <f t="shared" si="28"/>
        <v>10</v>
      </c>
      <c r="C482" s="24">
        <f t="shared" si="29"/>
        <v>2023</v>
      </c>
      <c r="D482" s="107" t="s">
        <v>361</v>
      </c>
      <c r="E482" s="107" t="s">
        <v>343</v>
      </c>
      <c r="F482" s="107"/>
      <c r="G482" s="107"/>
      <c r="H482" s="81"/>
      <c r="I482" s="81"/>
      <c r="J482" s="52"/>
      <c r="K482" s="52">
        <v>207400</v>
      </c>
      <c r="L482" s="49">
        <f t="shared" si="30"/>
        <v>30000</v>
      </c>
      <c r="M482" s="50">
        <f t="shared" si="31"/>
        <v>0</v>
      </c>
      <c r="N482" s="143"/>
      <c r="O482" s="26"/>
    </row>
    <row r="483" spans="1:15" x14ac:dyDescent="0.25">
      <c r="A483" s="54">
        <v>45219</v>
      </c>
      <c r="B483" s="24">
        <f t="shared" si="28"/>
        <v>10</v>
      </c>
      <c r="C483" s="24">
        <f t="shared" si="29"/>
        <v>2023</v>
      </c>
      <c r="D483" s="104" t="s">
        <v>110</v>
      </c>
      <c r="E483" s="104" t="s">
        <v>343</v>
      </c>
      <c r="F483" s="104" t="s">
        <v>437</v>
      </c>
      <c r="J483" s="61">
        <v>5000</v>
      </c>
      <c r="L483" s="49">
        <f t="shared" si="30"/>
        <v>35000</v>
      </c>
      <c r="M483" s="50">
        <f t="shared" si="31"/>
        <v>0</v>
      </c>
      <c r="N483" s="143"/>
      <c r="O483" s="26"/>
    </row>
    <row r="484" spans="1:15" x14ac:dyDescent="0.25">
      <c r="A484" s="54">
        <v>45219</v>
      </c>
      <c r="B484" s="24">
        <f t="shared" si="28"/>
        <v>10</v>
      </c>
      <c r="C484" s="24">
        <f t="shared" si="29"/>
        <v>2023</v>
      </c>
      <c r="D484" s="104" t="s">
        <v>352</v>
      </c>
      <c r="E484" s="104" t="s">
        <v>343</v>
      </c>
      <c r="F484" s="104" t="s">
        <v>442</v>
      </c>
      <c r="J484" s="61">
        <v>38000</v>
      </c>
      <c r="L484" s="49">
        <f t="shared" si="30"/>
        <v>73000</v>
      </c>
      <c r="M484" s="50">
        <f t="shared" si="31"/>
        <v>0</v>
      </c>
      <c r="N484" s="143"/>
      <c r="O484" s="26"/>
    </row>
    <row r="485" spans="1:15" x14ac:dyDescent="0.25">
      <c r="A485" s="54">
        <v>45219</v>
      </c>
      <c r="B485" s="24">
        <f t="shared" si="28"/>
        <v>10</v>
      </c>
      <c r="C485" s="24">
        <f t="shared" si="29"/>
        <v>2023</v>
      </c>
      <c r="D485" s="104" t="s">
        <v>502</v>
      </c>
      <c r="E485" s="104" t="s">
        <v>343</v>
      </c>
      <c r="F485" s="104" t="s">
        <v>443</v>
      </c>
      <c r="K485" s="61">
        <v>23200</v>
      </c>
      <c r="L485" s="49">
        <f t="shared" si="30"/>
        <v>49800</v>
      </c>
      <c r="M485" s="50">
        <f t="shared" si="31"/>
        <v>0</v>
      </c>
      <c r="N485" s="143"/>
      <c r="O485" s="26"/>
    </row>
    <row r="486" spans="1:15" x14ac:dyDescent="0.25">
      <c r="A486" s="54">
        <v>45219</v>
      </c>
      <c r="B486" s="24">
        <f t="shared" si="28"/>
        <v>10</v>
      </c>
      <c r="C486" s="24">
        <f t="shared" si="29"/>
        <v>2023</v>
      </c>
      <c r="D486" s="104" t="s">
        <v>504</v>
      </c>
      <c r="E486" s="104" t="s">
        <v>343</v>
      </c>
      <c r="F486" s="104" t="s">
        <v>444</v>
      </c>
      <c r="K486" s="61">
        <v>18000</v>
      </c>
      <c r="L486" s="49">
        <f t="shared" si="30"/>
        <v>31800</v>
      </c>
      <c r="M486" s="50">
        <f t="shared" si="31"/>
        <v>0</v>
      </c>
      <c r="N486" s="143"/>
      <c r="O486" s="26"/>
    </row>
    <row r="487" spans="1:15" x14ac:dyDescent="0.25">
      <c r="A487" s="54">
        <v>45219</v>
      </c>
      <c r="B487" s="24">
        <f t="shared" si="28"/>
        <v>10</v>
      </c>
      <c r="C487" s="24">
        <f t="shared" si="29"/>
        <v>2023</v>
      </c>
      <c r="D487" s="104" t="s">
        <v>124</v>
      </c>
      <c r="E487" s="104" t="s">
        <v>343</v>
      </c>
      <c r="F487" s="104" t="s">
        <v>445</v>
      </c>
      <c r="K487" s="61">
        <v>13200</v>
      </c>
      <c r="L487" s="49">
        <f t="shared" si="30"/>
        <v>18600</v>
      </c>
      <c r="M487" s="50">
        <f t="shared" si="31"/>
        <v>0</v>
      </c>
      <c r="N487" s="143"/>
      <c r="O487" s="26"/>
    </row>
    <row r="488" spans="1:15" x14ac:dyDescent="0.25">
      <c r="A488" s="78">
        <v>45219</v>
      </c>
      <c r="B488" s="24">
        <f t="shared" si="28"/>
        <v>10</v>
      </c>
      <c r="C488" s="24">
        <f t="shared" si="29"/>
        <v>2023</v>
      </c>
      <c r="D488" s="108" t="s">
        <v>384</v>
      </c>
      <c r="E488" s="108" t="s">
        <v>343</v>
      </c>
      <c r="F488" s="108"/>
      <c r="G488" s="108"/>
      <c r="H488" s="79"/>
      <c r="I488" s="79"/>
      <c r="J488" s="117">
        <v>11400</v>
      </c>
      <c r="L488" s="49">
        <f t="shared" si="30"/>
        <v>30000</v>
      </c>
      <c r="M488" s="50">
        <f t="shared" si="31"/>
        <v>0</v>
      </c>
      <c r="N488" s="143"/>
      <c r="O488" s="26"/>
    </row>
    <row r="489" spans="1:15" x14ac:dyDescent="0.25">
      <c r="A489" s="54">
        <v>45220</v>
      </c>
      <c r="B489" s="24">
        <f t="shared" si="28"/>
        <v>10</v>
      </c>
      <c r="C489" s="24">
        <f t="shared" si="29"/>
        <v>2023</v>
      </c>
      <c r="D489" s="104" t="s">
        <v>384</v>
      </c>
      <c r="J489" s="61">
        <v>266000</v>
      </c>
      <c r="L489" s="49">
        <f t="shared" si="30"/>
        <v>296000</v>
      </c>
      <c r="M489" s="50">
        <f t="shared" si="31"/>
        <v>0</v>
      </c>
      <c r="N489" s="143"/>
      <c r="O489" s="26"/>
    </row>
    <row r="490" spans="1:15" s="92" customFormat="1" x14ac:dyDescent="0.25">
      <c r="A490" s="86">
        <v>45220</v>
      </c>
      <c r="B490" s="24">
        <f t="shared" si="28"/>
        <v>10</v>
      </c>
      <c r="C490" s="24">
        <f t="shared" si="29"/>
        <v>2023</v>
      </c>
      <c r="D490" s="106" t="s">
        <v>109</v>
      </c>
      <c r="E490" s="106" t="s">
        <v>343</v>
      </c>
      <c r="F490" s="106" t="s">
        <v>367</v>
      </c>
      <c r="G490" s="106"/>
      <c r="H490" s="88"/>
      <c r="I490" s="88"/>
      <c r="J490" s="116"/>
      <c r="K490" s="116">
        <v>266000</v>
      </c>
      <c r="L490" s="89">
        <f t="shared" si="30"/>
        <v>30000</v>
      </c>
      <c r="M490" s="90">
        <f t="shared" si="31"/>
        <v>0</v>
      </c>
      <c r="N490" s="154"/>
      <c r="O490" s="91"/>
    </row>
    <row r="491" spans="1:15" x14ac:dyDescent="0.25">
      <c r="A491" s="54">
        <v>45222</v>
      </c>
      <c r="B491" s="24">
        <f t="shared" si="28"/>
        <v>10</v>
      </c>
      <c r="C491" s="24">
        <f t="shared" si="29"/>
        <v>2023</v>
      </c>
      <c r="D491" s="104" t="s">
        <v>109</v>
      </c>
      <c r="E491" s="104" t="s">
        <v>343</v>
      </c>
      <c r="F491" s="104" t="s">
        <v>354</v>
      </c>
      <c r="K491" s="61">
        <v>3000</v>
      </c>
      <c r="L491" s="49">
        <f t="shared" si="30"/>
        <v>27000</v>
      </c>
      <c r="M491" s="50">
        <f t="shared" si="31"/>
        <v>0</v>
      </c>
      <c r="N491" s="143"/>
      <c r="O491" s="26"/>
    </row>
    <row r="492" spans="1:15" x14ac:dyDescent="0.25">
      <c r="A492" s="54">
        <v>45222</v>
      </c>
      <c r="B492" s="24">
        <f t="shared" si="28"/>
        <v>10</v>
      </c>
      <c r="C492" s="24">
        <f t="shared" si="29"/>
        <v>2023</v>
      </c>
      <c r="D492" s="104" t="s">
        <v>352</v>
      </c>
      <c r="E492" s="104" t="s">
        <v>343</v>
      </c>
      <c r="F492" s="104" t="s">
        <v>448</v>
      </c>
      <c r="J492" s="61">
        <v>500</v>
      </c>
      <c r="L492" s="49">
        <f t="shared" si="30"/>
        <v>27500</v>
      </c>
      <c r="M492" s="50">
        <f t="shared" si="31"/>
        <v>0</v>
      </c>
      <c r="N492" s="143"/>
      <c r="O492" s="26"/>
    </row>
    <row r="493" spans="1:15" x14ac:dyDescent="0.25">
      <c r="A493" s="54">
        <v>45222</v>
      </c>
      <c r="B493" s="24">
        <f t="shared" si="28"/>
        <v>10</v>
      </c>
      <c r="C493" s="24">
        <f t="shared" si="29"/>
        <v>2023</v>
      </c>
      <c r="D493" s="104" t="s">
        <v>352</v>
      </c>
      <c r="E493" s="104" t="s">
        <v>343</v>
      </c>
      <c r="F493" s="104" t="s">
        <v>449</v>
      </c>
      <c r="J493" s="61">
        <v>85000</v>
      </c>
      <c r="L493" s="49">
        <f t="shared" si="30"/>
        <v>112500</v>
      </c>
      <c r="M493" s="50">
        <f t="shared" si="31"/>
        <v>0</v>
      </c>
      <c r="N493" s="143"/>
      <c r="O493" s="26"/>
    </row>
    <row r="494" spans="1:15" x14ac:dyDescent="0.25">
      <c r="A494" s="80">
        <v>45222</v>
      </c>
      <c r="B494" s="24">
        <f t="shared" si="28"/>
        <v>10</v>
      </c>
      <c r="C494" s="24">
        <f t="shared" si="29"/>
        <v>2023</v>
      </c>
      <c r="D494" s="107" t="s">
        <v>361</v>
      </c>
      <c r="E494" s="107" t="s">
        <v>343</v>
      </c>
      <c r="F494" s="107"/>
      <c r="G494" s="107"/>
      <c r="H494" s="81"/>
      <c r="I494" s="81"/>
      <c r="J494" s="52"/>
      <c r="K494" s="52">
        <v>82500</v>
      </c>
      <c r="L494" s="49">
        <f t="shared" si="30"/>
        <v>30000</v>
      </c>
      <c r="M494" s="50">
        <f t="shared" si="31"/>
        <v>0</v>
      </c>
      <c r="N494" s="143"/>
      <c r="O494" s="26"/>
    </row>
    <row r="495" spans="1:15" x14ac:dyDescent="0.25">
      <c r="A495" s="54">
        <v>45223</v>
      </c>
      <c r="B495" s="24">
        <f t="shared" si="28"/>
        <v>10</v>
      </c>
      <c r="C495" s="24">
        <f t="shared" si="29"/>
        <v>2023</v>
      </c>
      <c r="D495" s="104" t="s">
        <v>352</v>
      </c>
      <c r="E495" s="104" t="s">
        <v>343</v>
      </c>
      <c r="F495" s="104" t="s">
        <v>450</v>
      </c>
      <c r="J495" s="61">
        <v>12700</v>
      </c>
      <c r="L495" s="49">
        <f t="shared" si="30"/>
        <v>42700</v>
      </c>
      <c r="M495" s="50">
        <f t="shared" si="31"/>
        <v>0</v>
      </c>
      <c r="N495" s="143"/>
      <c r="O495" s="26"/>
    </row>
    <row r="496" spans="1:15" x14ac:dyDescent="0.25">
      <c r="A496" s="54">
        <v>45223</v>
      </c>
      <c r="B496" s="24">
        <f t="shared" si="28"/>
        <v>10</v>
      </c>
      <c r="C496" s="24">
        <f t="shared" si="29"/>
        <v>2023</v>
      </c>
      <c r="D496" s="104" t="s">
        <v>109</v>
      </c>
      <c r="E496" s="104" t="s">
        <v>343</v>
      </c>
      <c r="F496" s="104" t="s">
        <v>189</v>
      </c>
      <c r="K496" s="61">
        <v>1600</v>
      </c>
      <c r="L496" s="49">
        <f t="shared" si="30"/>
        <v>41100</v>
      </c>
      <c r="M496" s="50">
        <f t="shared" si="31"/>
        <v>0</v>
      </c>
      <c r="N496" s="143"/>
      <c r="O496" s="26"/>
    </row>
    <row r="497" spans="1:15" x14ac:dyDescent="0.25">
      <c r="A497" s="54">
        <v>45223</v>
      </c>
      <c r="B497" s="24">
        <f t="shared" si="28"/>
        <v>10</v>
      </c>
      <c r="C497" s="24">
        <f t="shared" si="29"/>
        <v>2023</v>
      </c>
      <c r="D497" s="104" t="s">
        <v>352</v>
      </c>
      <c r="E497" s="104" t="s">
        <v>343</v>
      </c>
      <c r="F497" s="104" t="s">
        <v>452</v>
      </c>
      <c r="J497" s="61">
        <v>21850</v>
      </c>
      <c r="L497" s="49">
        <f t="shared" si="30"/>
        <v>62950</v>
      </c>
      <c r="M497" s="50">
        <f t="shared" si="31"/>
        <v>0</v>
      </c>
      <c r="N497" s="143"/>
      <c r="O497" s="26"/>
    </row>
    <row r="498" spans="1:15" x14ac:dyDescent="0.25">
      <c r="A498" s="54">
        <v>45223</v>
      </c>
      <c r="B498" s="24">
        <f t="shared" si="28"/>
        <v>10</v>
      </c>
      <c r="C498" s="24">
        <f t="shared" si="29"/>
        <v>2023</v>
      </c>
      <c r="D498" s="104" t="s">
        <v>352</v>
      </c>
      <c r="E498" s="104" t="s">
        <v>343</v>
      </c>
      <c r="F498" s="104" t="s">
        <v>453</v>
      </c>
      <c r="J498" s="61">
        <v>18870</v>
      </c>
      <c r="L498" s="49">
        <f t="shared" si="30"/>
        <v>81820</v>
      </c>
      <c r="M498" s="50">
        <f t="shared" si="31"/>
        <v>0</v>
      </c>
      <c r="N498" s="143"/>
      <c r="O498" s="26"/>
    </row>
    <row r="499" spans="1:15" x14ac:dyDescent="0.25">
      <c r="A499" s="54">
        <v>45223</v>
      </c>
      <c r="B499" s="24">
        <f t="shared" si="28"/>
        <v>10</v>
      </c>
      <c r="C499" s="24">
        <f t="shared" si="29"/>
        <v>2023</v>
      </c>
      <c r="D499" s="104" t="s">
        <v>123</v>
      </c>
      <c r="E499" s="104" t="s">
        <v>343</v>
      </c>
      <c r="J499" s="61">
        <v>239750</v>
      </c>
      <c r="L499" s="49">
        <f t="shared" si="30"/>
        <v>321570</v>
      </c>
      <c r="M499" s="50">
        <f t="shared" si="31"/>
        <v>0</v>
      </c>
      <c r="N499" s="143"/>
      <c r="O499" s="26"/>
    </row>
    <row r="500" spans="1:15" x14ac:dyDescent="0.25">
      <c r="A500" s="54">
        <v>45223</v>
      </c>
      <c r="B500" s="24">
        <f t="shared" si="28"/>
        <v>10</v>
      </c>
      <c r="C500" s="24">
        <f t="shared" si="29"/>
        <v>2023</v>
      </c>
      <c r="D500" s="104" t="s">
        <v>124</v>
      </c>
      <c r="E500" s="104" t="s">
        <v>343</v>
      </c>
      <c r="F500" s="104" t="s">
        <v>454</v>
      </c>
      <c r="K500" s="61">
        <v>239750</v>
      </c>
      <c r="L500" s="49">
        <f t="shared" si="30"/>
        <v>81820</v>
      </c>
      <c r="M500" s="50">
        <f t="shared" si="31"/>
        <v>0</v>
      </c>
      <c r="N500" s="143"/>
      <c r="O500" s="26"/>
    </row>
    <row r="501" spans="1:15" x14ac:dyDescent="0.25">
      <c r="A501" s="80">
        <v>45223</v>
      </c>
      <c r="B501" s="24">
        <f t="shared" si="28"/>
        <v>10</v>
      </c>
      <c r="C501" s="24">
        <f t="shared" si="29"/>
        <v>2023</v>
      </c>
      <c r="D501" s="107" t="s">
        <v>122</v>
      </c>
      <c r="E501" s="107" t="s">
        <v>343</v>
      </c>
      <c r="F501" s="107"/>
      <c r="G501" s="107"/>
      <c r="H501" s="81"/>
      <c r="I501" s="81"/>
      <c r="J501" s="52"/>
      <c r="K501" s="52">
        <v>51820</v>
      </c>
      <c r="L501" s="49">
        <f t="shared" si="30"/>
        <v>30000</v>
      </c>
      <c r="M501" s="50">
        <f t="shared" si="31"/>
        <v>0</v>
      </c>
      <c r="N501" s="143"/>
      <c r="O501" s="26"/>
    </row>
    <row r="502" spans="1:15" x14ac:dyDescent="0.25">
      <c r="A502" s="54">
        <v>45225</v>
      </c>
      <c r="B502" s="24">
        <f t="shared" si="28"/>
        <v>10</v>
      </c>
      <c r="C502" s="24">
        <f t="shared" si="29"/>
        <v>2023</v>
      </c>
      <c r="D502" s="104" t="s">
        <v>109</v>
      </c>
      <c r="E502" s="104" t="s">
        <v>343</v>
      </c>
      <c r="F502" s="104" t="s">
        <v>219</v>
      </c>
      <c r="K502" s="61">
        <v>1500</v>
      </c>
      <c r="L502" s="49">
        <f t="shared" si="30"/>
        <v>28500</v>
      </c>
      <c r="M502" s="50">
        <f t="shared" si="31"/>
        <v>0</v>
      </c>
      <c r="N502" s="143"/>
      <c r="O502" s="26"/>
    </row>
    <row r="503" spans="1:15" x14ac:dyDescent="0.25">
      <c r="A503" s="54">
        <v>45225</v>
      </c>
      <c r="B503" s="24">
        <f t="shared" si="28"/>
        <v>10</v>
      </c>
      <c r="C503" s="24">
        <f t="shared" si="29"/>
        <v>2023</v>
      </c>
      <c r="D503" s="104" t="s">
        <v>352</v>
      </c>
      <c r="E503" s="104" t="s">
        <v>343</v>
      </c>
      <c r="F503" s="104" t="s">
        <v>455</v>
      </c>
      <c r="J503" s="61">
        <v>200768</v>
      </c>
      <c r="L503" s="49">
        <f t="shared" si="30"/>
        <v>229268</v>
      </c>
      <c r="M503" s="50">
        <f t="shared" si="31"/>
        <v>0</v>
      </c>
      <c r="N503" s="143"/>
      <c r="O503" s="26"/>
    </row>
    <row r="504" spans="1:15" x14ac:dyDescent="0.25">
      <c r="A504" s="54">
        <v>45225</v>
      </c>
      <c r="B504" s="24">
        <f t="shared" si="28"/>
        <v>10</v>
      </c>
      <c r="C504" s="24">
        <f t="shared" si="29"/>
        <v>2023</v>
      </c>
      <c r="D504" s="104" t="s">
        <v>352</v>
      </c>
      <c r="E504" s="104" t="s">
        <v>343</v>
      </c>
      <c r="F504" s="104" t="s">
        <v>456</v>
      </c>
      <c r="J504" s="61">
        <v>7000</v>
      </c>
      <c r="L504" s="49">
        <f t="shared" si="30"/>
        <v>236268</v>
      </c>
      <c r="M504" s="50">
        <f t="shared" si="31"/>
        <v>0</v>
      </c>
      <c r="N504" s="143"/>
      <c r="O504" s="26"/>
    </row>
    <row r="505" spans="1:15" x14ac:dyDescent="0.25">
      <c r="A505" s="54">
        <v>45225</v>
      </c>
      <c r="B505" s="24">
        <f t="shared" si="28"/>
        <v>10</v>
      </c>
      <c r="C505" s="24">
        <f t="shared" si="29"/>
        <v>2023</v>
      </c>
      <c r="D505" s="104" t="s">
        <v>352</v>
      </c>
      <c r="E505" s="104" t="s">
        <v>343</v>
      </c>
      <c r="F505" s="104" t="s">
        <v>457</v>
      </c>
      <c r="J505" s="61">
        <v>3800</v>
      </c>
      <c r="L505" s="49">
        <f t="shared" si="30"/>
        <v>240068</v>
      </c>
      <c r="M505" s="50">
        <f t="shared" si="31"/>
        <v>0</v>
      </c>
      <c r="N505" s="143"/>
      <c r="O505" s="26"/>
    </row>
    <row r="506" spans="1:15" x14ac:dyDescent="0.25">
      <c r="A506" s="54">
        <v>45225</v>
      </c>
      <c r="B506" s="24">
        <f t="shared" si="28"/>
        <v>10</v>
      </c>
      <c r="C506" s="24">
        <f t="shared" si="29"/>
        <v>2023</v>
      </c>
      <c r="D506" s="104" t="s">
        <v>109</v>
      </c>
      <c r="E506" s="104" t="s">
        <v>343</v>
      </c>
      <c r="F506" s="104" t="s">
        <v>246</v>
      </c>
      <c r="K506" s="61">
        <v>3000</v>
      </c>
      <c r="L506" s="49">
        <f t="shared" si="30"/>
        <v>237068</v>
      </c>
      <c r="M506" s="50">
        <f t="shared" si="31"/>
        <v>0</v>
      </c>
      <c r="N506" s="143"/>
      <c r="O506" s="26"/>
    </row>
    <row r="507" spans="1:15" x14ac:dyDescent="0.25">
      <c r="A507" s="80">
        <v>45225</v>
      </c>
      <c r="B507" s="24">
        <f t="shared" si="28"/>
        <v>10</v>
      </c>
      <c r="C507" s="24">
        <f t="shared" si="29"/>
        <v>2023</v>
      </c>
      <c r="D507" s="107" t="s">
        <v>122</v>
      </c>
      <c r="E507" s="107" t="s">
        <v>343</v>
      </c>
      <c r="F507" s="107"/>
      <c r="G507" s="107"/>
      <c r="H507" s="81"/>
      <c r="I507" s="81"/>
      <c r="J507" s="52"/>
      <c r="K507" s="52">
        <v>207068</v>
      </c>
      <c r="L507" s="49">
        <f t="shared" si="30"/>
        <v>30000</v>
      </c>
      <c r="M507" s="50">
        <f t="shared" si="31"/>
        <v>0</v>
      </c>
      <c r="N507" s="143"/>
      <c r="O507" s="26"/>
    </row>
    <row r="508" spans="1:15" x14ac:dyDescent="0.25">
      <c r="A508" s="54">
        <v>45226</v>
      </c>
      <c r="B508" s="24">
        <f t="shared" si="28"/>
        <v>10</v>
      </c>
      <c r="C508" s="24">
        <f t="shared" si="29"/>
        <v>2023</v>
      </c>
      <c r="D508" s="104" t="s">
        <v>135</v>
      </c>
      <c r="E508" s="104" t="s">
        <v>343</v>
      </c>
      <c r="F508" s="104" t="s">
        <v>458</v>
      </c>
      <c r="K508" s="61">
        <v>2000</v>
      </c>
      <c r="L508" s="49">
        <f t="shared" si="30"/>
        <v>28000</v>
      </c>
      <c r="M508" s="50">
        <f t="shared" si="31"/>
        <v>0</v>
      </c>
      <c r="N508" s="143"/>
      <c r="O508" s="26"/>
    </row>
    <row r="509" spans="1:15" x14ac:dyDescent="0.25">
      <c r="A509" s="54">
        <v>45226</v>
      </c>
      <c r="B509" s="24">
        <f t="shared" si="28"/>
        <v>10</v>
      </c>
      <c r="C509" s="24">
        <f t="shared" si="29"/>
        <v>2023</v>
      </c>
      <c r="D509" s="104" t="s">
        <v>352</v>
      </c>
      <c r="E509" s="104" t="s">
        <v>343</v>
      </c>
      <c r="F509" s="104" t="s">
        <v>459</v>
      </c>
      <c r="J509" s="61">
        <v>39200</v>
      </c>
      <c r="L509" s="49">
        <f t="shared" si="30"/>
        <v>67200</v>
      </c>
      <c r="M509" s="50">
        <f t="shared" si="31"/>
        <v>0</v>
      </c>
      <c r="N509" s="143"/>
      <c r="O509" s="26"/>
    </row>
    <row r="510" spans="1:15" x14ac:dyDescent="0.25">
      <c r="A510" s="54">
        <v>45226</v>
      </c>
      <c r="B510" s="24">
        <f t="shared" si="28"/>
        <v>10</v>
      </c>
      <c r="C510" s="24">
        <f t="shared" si="29"/>
        <v>2023</v>
      </c>
      <c r="D510" s="104" t="s">
        <v>28</v>
      </c>
      <c r="E510" s="104" t="s">
        <v>343</v>
      </c>
      <c r="F510" s="104" t="s">
        <v>253</v>
      </c>
      <c r="K510" s="61">
        <v>13000</v>
      </c>
      <c r="L510" s="49">
        <f t="shared" si="30"/>
        <v>54200</v>
      </c>
      <c r="M510" s="50">
        <f t="shared" si="31"/>
        <v>0</v>
      </c>
      <c r="N510" s="143"/>
      <c r="O510" s="26"/>
    </row>
    <row r="511" spans="1:15" x14ac:dyDescent="0.25">
      <c r="A511" s="54">
        <v>45226</v>
      </c>
      <c r="B511" s="24">
        <f t="shared" si="28"/>
        <v>10</v>
      </c>
      <c r="C511" s="24">
        <f t="shared" si="29"/>
        <v>2023</v>
      </c>
      <c r="D511" s="104" t="s">
        <v>352</v>
      </c>
      <c r="E511" s="104" t="s">
        <v>343</v>
      </c>
      <c r="F511" s="104" t="s">
        <v>460</v>
      </c>
      <c r="J511" s="61">
        <v>20000</v>
      </c>
      <c r="L511" s="49">
        <f t="shared" si="30"/>
        <v>74200</v>
      </c>
      <c r="M511" s="50">
        <f t="shared" si="31"/>
        <v>0</v>
      </c>
      <c r="N511" s="143"/>
      <c r="O511" s="26"/>
    </row>
    <row r="512" spans="1:15" x14ac:dyDescent="0.25">
      <c r="A512" s="54">
        <v>45226</v>
      </c>
      <c r="B512" s="24">
        <f t="shared" si="28"/>
        <v>10</v>
      </c>
      <c r="C512" s="24">
        <f t="shared" si="29"/>
        <v>2023</v>
      </c>
      <c r="D512" s="104" t="s">
        <v>109</v>
      </c>
      <c r="E512" s="104" t="s">
        <v>343</v>
      </c>
      <c r="F512" s="104" t="s">
        <v>354</v>
      </c>
      <c r="K512" s="61">
        <v>1000</v>
      </c>
      <c r="L512" s="49">
        <f t="shared" si="30"/>
        <v>73200</v>
      </c>
      <c r="M512" s="50">
        <f t="shared" si="31"/>
        <v>0</v>
      </c>
      <c r="N512" s="143"/>
      <c r="O512" s="26"/>
    </row>
    <row r="513" spans="1:15" x14ac:dyDescent="0.25">
      <c r="A513" s="54">
        <v>45226</v>
      </c>
      <c r="B513" s="24">
        <f t="shared" si="28"/>
        <v>10</v>
      </c>
      <c r="C513" s="24">
        <f t="shared" si="29"/>
        <v>2023</v>
      </c>
      <c r="D513" s="104" t="s">
        <v>89</v>
      </c>
      <c r="E513" s="104" t="s">
        <v>343</v>
      </c>
      <c r="J513" s="61">
        <v>1500</v>
      </c>
      <c r="L513" s="49">
        <f t="shared" si="30"/>
        <v>74700</v>
      </c>
      <c r="M513" s="50">
        <f t="shared" si="31"/>
        <v>0</v>
      </c>
      <c r="N513" s="143"/>
      <c r="O513" s="26"/>
    </row>
    <row r="514" spans="1:15" x14ac:dyDescent="0.25">
      <c r="A514" s="54">
        <v>45226</v>
      </c>
      <c r="B514" s="24">
        <f t="shared" si="28"/>
        <v>10</v>
      </c>
      <c r="C514" s="24">
        <f t="shared" si="29"/>
        <v>2023</v>
      </c>
      <c r="D514" s="104" t="s">
        <v>384</v>
      </c>
      <c r="E514" s="104" t="s">
        <v>343</v>
      </c>
      <c r="J514" s="61">
        <v>226000</v>
      </c>
      <c r="L514" s="49">
        <f t="shared" si="30"/>
        <v>300700</v>
      </c>
      <c r="M514" s="50">
        <f t="shared" si="31"/>
        <v>0</v>
      </c>
      <c r="N514" s="143"/>
      <c r="O514" s="26"/>
    </row>
    <row r="515" spans="1:15" s="92" customFormat="1" x14ac:dyDescent="0.25">
      <c r="A515" s="86">
        <v>45226</v>
      </c>
      <c r="B515" s="24">
        <f t="shared" ref="B515:B578" si="32">MONTH(A515)</f>
        <v>10</v>
      </c>
      <c r="C515" s="24">
        <f t="shared" ref="C515:C578" si="33">YEAR(A515)</f>
        <v>2023</v>
      </c>
      <c r="D515" s="106" t="s">
        <v>109</v>
      </c>
      <c r="E515" s="106" t="s">
        <v>343</v>
      </c>
      <c r="F515" s="106" t="s">
        <v>367</v>
      </c>
      <c r="G515" s="106"/>
      <c r="H515" s="88"/>
      <c r="I515" s="88"/>
      <c r="J515" s="116"/>
      <c r="K515" s="116">
        <v>226000</v>
      </c>
      <c r="L515" s="89">
        <f t="shared" si="30"/>
        <v>74700</v>
      </c>
      <c r="M515" s="90">
        <f t="shared" si="31"/>
        <v>0</v>
      </c>
      <c r="N515" s="154"/>
      <c r="O515" s="91"/>
    </row>
    <row r="516" spans="1:15" x14ac:dyDescent="0.25">
      <c r="A516" s="80">
        <v>45226</v>
      </c>
      <c r="B516" s="24">
        <f t="shared" si="32"/>
        <v>10</v>
      </c>
      <c r="C516" s="24">
        <f t="shared" si="33"/>
        <v>2023</v>
      </c>
      <c r="D516" s="107" t="s">
        <v>361</v>
      </c>
      <c r="E516" s="107" t="s">
        <v>343</v>
      </c>
      <c r="F516" s="107"/>
      <c r="G516" s="107"/>
      <c r="H516" s="81"/>
      <c r="I516" s="81"/>
      <c r="J516" s="52"/>
      <c r="K516" s="52">
        <v>44700</v>
      </c>
      <c r="L516" s="49">
        <f t="shared" ref="L516:L579" si="34">IF((L515+M515+J516-K516)&gt;0,(L515+M515+J516-K516),0)</f>
        <v>30000</v>
      </c>
      <c r="M516" s="50">
        <f t="shared" ref="M516:M579" si="35">IF((L515+M515+J516-K516)&lt;0,(L515+M515+J516-K516),0)</f>
        <v>0</v>
      </c>
      <c r="N516" s="143"/>
      <c r="O516" s="26"/>
    </row>
    <row r="517" spans="1:15" x14ac:dyDescent="0.25">
      <c r="A517" s="54">
        <v>45229</v>
      </c>
      <c r="B517" s="24">
        <f t="shared" si="32"/>
        <v>10</v>
      </c>
      <c r="C517" s="24">
        <f t="shared" si="33"/>
        <v>2023</v>
      </c>
      <c r="D517" s="104" t="s">
        <v>51</v>
      </c>
      <c r="E517" s="104" t="s">
        <v>343</v>
      </c>
      <c r="K517" s="61">
        <v>2500</v>
      </c>
      <c r="L517" s="49">
        <f t="shared" si="34"/>
        <v>27500</v>
      </c>
      <c r="M517" s="50">
        <f t="shared" si="35"/>
        <v>0</v>
      </c>
      <c r="N517" s="143"/>
      <c r="O517" s="26"/>
    </row>
    <row r="518" spans="1:15" x14ac:dyDescent="0.25">
      <c r="A518" s="54">
        <v>45229</v>
      </c>
      <c r="B518" s="24">
        <f t="shared" si="32"/>
        <v>10</v>
      </c>
      <c r="C518" s="24">
        <f t="shared" si="33"/>
        <v>2023</v>
      </c>
      <c r="D518" s="104" t="s">
        <v>352</v>
      </c>
      <c r="E518" s="104" t="s">
        <v>343</v>
      </c>
      <c r="F518" s="104" t="s">
        <v>460</v>
      </c>
      <c r="J518" s="61">
        <v>97800</v>
      </c>
      <c r="L518" s="49">
        <f t="shared" si="34"/>
        <v>125300</v>
      </c>
      <c r="M518" s="50">
        <f t="shared" si="35"/>
        <v>0</v>
      </c>
      <c r="N518" s="143"/>
      <c r="O518" s="26"/>
    </row>
    <row r="519" spans="1:15" x14ac:dyDescent="0.25">
      <c r="A519" s="80">
        <v>45229</v>
      </c>
      <c r="B519" s="24">
        <f t="shared" si="32"/>
        <v>10</v>
      </c>
      <c r="C519" s="24">
        <f t="shared" si="33"/>
        <v>2023</v>
      </c>
      <c r="D519" s="107" t="s">
        <v>122</v>
      </c>
      <c r="E519" s="107" t="s">
        <v>343</v>
      </c>
      <c r="F519" s="107"/>
      <c r="G519" s="107"/>
      <c r="H519" s="81"/>
      <c r="I519" s="81"/>
      <c r="J519" s="52"/>
      <c r="K519" s="52">
        <v>95300</v>
      </c>
      <c r="L519" s="49">
        <f t="shared" si="34"/>
        <v>30000</v>
      </c>
      <c r="M519" s="50">
        <f t="shared" si="35"/>
        <v>0</v>
      </c>
      <c r="N519" s="143"/>
      <c r="O519" s="26"/>
    </row>
    <row r="520" spans="1:15" x14ac:dyDescent="0.25">
      <c r="A520" s="54">
        <v>45230</v>
      </c>
      <c r="B520" s="24">
        <f t="shared" si="32"/>
        <v>10</v>
      </c>
      <c r="C520" s="24">
        <f t="shared" si="33"/>
        <v>2023</v>
      </c>
      <c r="D520" s="104" t="s">
        <v>384</v>
      </c>
      <c r="E520" s="104" t="s">
        <v>343</v>
      </c>
      <c r="J520" s="61">
        <v>23200</v>
      </c>
      <c r="L520" s="49">
        <f t="shared" si="34"/>
        <v>53200</v>
      </c>
      <c r="M520" s="50">
        <f t="shared" si="35"/>
        <v>0</v>
      </c>
      <c r="N520" s="143"/>
      <c r="O520" s="26"/>
    </row>
    <row r="521" spans="1:15" x14ac:dyDescent="0.25">
      <c r="A521" s="54">
        <v>45230</v>
      </c>
      <c r="B521" s="24">
        <f t="shared" si="32"/>
        <v>10</v>
      </c>
      <c r="C521" s="24">
        <f t="shared" si="33"/>
        <v>2023</v>
      </c>
      <c r="D521" s="104" t="s">
        <v>124</v>
      </c>
      <c r="E521" s="104" t="s">
        <v>93</v>
      </c>
      <c r="F521" s="104" t="s">
        <v>321</v>
      </c>
      <c r="K521" s="61">
        <v>23200</v>
      </c>
      <c r="L521" s="49">
        <f t="shared" si="34"/>
        <v>30000</v>
      </c>
      <c r="M521" s="50">
        <f t="shared" si="35"/>
        <v>0</v>
      </c>
      <c r="N521" s="143"/>
      <c r="O521" s="26"/>
    </row>
    <row r="522" spans="1:15" x14ac:dyDescent="0.25">
      <c r="A522" s="54">
        <v>45230</v>
      </c>
      <c r="B522" s="24">
        <f t="shared" si="32"/>
        <v>10</v>
      </c>
      <c r="C522" s="24">
        <f t="shared" si="33"/>
        <v>2023</v>
      </c>
      <c r="D522" s="104" t="s">
        <v>384</v>
      </c>
      <c r="E522" s="104" t="s">
        <v>343</v>
      </c>
      <c r="J522" s="61">
        <v>11050</v>
      </c>
      <c r="L522" s="49">
        <f t="shared" si="34"/>
        <v>41050</v>
      </c>
      <c r="M522" s="50">
        <f t="shared" si="35"/>
        <v>0</v>
      </c>
      <c r="N522" s="143"/>
      <c r="O522" s="26"/>
    </row>
    <row r="523" spans="1:15" x14ac:dyDescent="0.25">
      <c r="A523" s="54">
        <v>45230</v>
      </c>
      <c r="B523" s="24">
        <f t="shared" si="32"/>
        <v>10</v>
      </c>
      <c r="C523" s="24">
        <f t="shared" si="33"/>
        <v>2023</v>
      </c>
      <c r="D523" s="104" t="s">
        <v>30</v>
      </c>
      <c r="E523" s="104" t="s">
        <v>343</v>
      </c>
      <c r="F523" s="104" t="s">
        <v>463</v>
      </c>
      <c r="K523" s="61">
        <v>11050</v>
      </c>
      <c r="L523" s="49">
        <f t="shared" si="34"/>
        <v>30000</v>
      </c>
      <c r="M523" s="50">
        <f t="shared" si="35"/>
        <v>0</v>
      </c>
      <c r="N523" s="143"/>
      <c r="O523" s="26"/>
    </row>
    <row r="524" spans="1:15" x14ac:dyDescent="0.25">
      <c r="A524" s="54">
        <v>45230</v>
      </c>
      <c r="B524" s="24">
        <f t="shared" si="32"/>
        <v>10</v>
      </c>
      <c r="C524" s="24">
        <f t="shared" si="33"/>
        <v>2023</v>
      </c>
      <c r="D524" s="104" t="s">
        <v>384</v>
      </c>
      <c r="E524" s="104" t="s">
        <v>343</v>
      </c>
      <c r="J524" s="61">
        <v>20000</v>
      </c>
      <c r="L524" s="49">
        <f t="shared" si="34"/>
        <v>50000</v>
      </c>
      <c r="M524" s="50">
        <f t="shared" si="35"/>
        <v>0</v>
      </c>
      <c r="N524" s="143"/>
      <c r="O524" s="26"/>
    </row>
    <row r="525" spans="1:15" x14ac:dyDescent="0.25">
      <c r="A525" s="54">
        <v>45230</v>
      </c>
      <c r="B525" s="24">
        <f t="shared" si="32"/>
        <v>10</v>
      </c>
      <c r="C525" s="24">
        <f t="shared" si="33"/>
        <v>2023</v>
      </c>
      <c r="D525" s="104" t="s">
        <v>506</v>
      </c>
      <c r="E525" s="104" t="s">
        <v>343</v>
      </c>
      <c r="F525" s="104" t="s">
        <v>464</v>
      </c>
      <c r="K525" s="61">
        <v>20000</v>
      </c>
      <c r="L525" s="49">
        <f t="shared" si="34"/>
        <v>30000</v>
      </c>
      <c r="M525" s="50">
        <f t="shared" si="35"/>
        <v>0</v>
      </c>
      <c r="N525" s="143"/>
      <c r="O525" s="26"/>
    </row>
    <row r="526" spans="1:15" x14ac:dyDescent="0.25">
      <c r="A526" s="54">
        <v>45230</v>
      </c>
      <c r="B526" s="24">
        <f t="shared" si="32"/>
        <v>10</v>
      </c>
      <c r="C526" s="24">
        <f t="shared" si="33"/>
        <v>2023</v>
      </c>
      <c r="D526" s="104" t="s">
        <v>352</v>
      </c>
      <c r="E526" s="104" t="s">
        <v>343</v>
      </c>
      <c r="F526" s="104" t="s">
        <v>465</v>
      </c>
      <c r="J526" s="61">
        <v>3000</v>
      </c>
      <c r="L526" s="49">
        <f t="shared" si="34"/>
        <v>33000</v>
      </c>
      <c r="M526" s="50">
        <f t="shared" si="35"/>
        <v>0</v>
      </c>
      <c r="N526" s="143"/>
      <c r="O526" s="26"/>
    </row>
    <row r="527" spans="1:15" x14ac:dyDescent="0.25">
      <c r="A527" s="54">
        <v>45230</v>
      </c>
      <c r="B527" s="24">
        <f t="shared" si="32"/>
        <v>10</v>
      </c>
      <c r="C527" s="24">
        <f t="shared" si="33"/>
        <v>2023</v>
      </c>
      <c r="D527" s="104" t="s">
        <v>352</v>
      </c>
      <c r="E527" s="104" t="s">
        <v>343</v>
      </c>
      <c r="F527" s="104" t="s">
        <v>466</v>
      </c>
      <c r="J527" s="61">
        <v>51700</v>
      </c>
      <c r="L527" s="49">
        <f t="shared" si="34"/>
        <v>84700</v>
      </c>
      <c r="M527" s="50">
        <f t="shared" si="35"/>
        <v>0</v>
      </c>
      <c r="N527" s="143"/>
      <c r="O527" s="26"/>
    </row>
    <row r="528" spans="1:15" x14ac:dyDescent="0.25">
      <c r="A528" s="80">
        <v>45230</v>
      </c>
      <c r="B528" s="24">
        <f t="shared" si="32"/>
        <v>10</v>
      </c>
      <c r="C528" s="24">
        <f t="shared" si="33"/>
        <v>2023</v>
      </c>
      <c r="D528" s="107" t="s">
        <v>122</v>
      </c>
      <c r="E528" s="107" t="s">
        <v>343</v>
      </c>
      <c r="F528" s="107"/>
      <c r="G528" s="107"/>
      <c r="H528" s="81"/>
      <c r="I528" s="81"/>
      <c r="J528" s="52"/>
      <c r="K528" s="52">
        <v>54700</v>
      </c>
      <c r="L528" s="49">
        <f t="shared" si="34"/>
        <v>30000</v>
      </c>
      <c r="M528" s="50">
        <f t="shared" si="35"/>
        <v>0</v>
      </c>
      <c r="N528" s="143"/>
      <c r="O528" s="26"/>
    </row>
    <row r="529" spans="1:15" x14ac:dyDescent="0.25">
      <c r="A529" s="54">
        <v>45231</v>
      </c>
      <c r="B529" s="24">
        <f t="shared" si="32"/>
        <v>11</v>
      </c>
      <c r="C529" s="24">
        <f t="shared" si="33"/>
        <v>2023</v>
      </c>
      <c r="D529" s="104" t="s">
        <v>384</v>
      </c>
      <c r="E529" s="104" t="s">
        <v>343</v>
      </c>
      <c r="J529" s="61">
        <v>15000</v>
      </c>
      <c r="L529" s="49">
        <f t="shared" si="34"/>
        <v>45000</v>
      </c>
      <c r="M529" s="50">
        <f t="shared" si="35"/>
        <v>0</v>
      </c>
      <c r="N529" s="143"/>
      <c r="O529" s="26"/>
    </row>
    <row r="530" spans="1:15" x14ac:dyDescent="0.25">
      <c r="A530" s="54">
        <v>45231</v>
      </c>
      <c r="B530" s="24">
        <f t="shared" si="32"/>
        <v>11</v>
      </c>
      <c r="C530" s="24">
        <f t="shared" si="33"/>
        <v>2023</v>
      </c>
      <c r="D530" s="104" t="s">
        <v>92</v>
      </c>
      <c r="E530" s="104" t="s">
        <v>92</v>
      </c>
      <c r="K530" s="61">
        <v>15000</v>
      </c>
      <c r="L530" s="49">
        <f t="shared" si="34"/>
        <v>30000</v>
      </c>
      <c r="M530" s="50">
        <f t="shared" si="35"/>
        <v>0</v>
      </c>
      <c r="N530" s="143"/>
      <c r="O530" s="26"/>
    </row>
    <row r="531" spans="1:15" x14ac:dyDescent="0.25">
      <c r="A531" s="54">
        <v>45232</v>
      </c>
      <c r="B531" s="24">
        <f t="shared" si="32"/>
        <v>11</v>
      </c>
      <c r="C531" s="24">
        <f t="shared" si="33"/>
        <v>2023</v>
      </c>
      <c r="D531" s="104" t="s">
        <v>352</v>
      </c>
      <c r="E531" s="104" t="s">
        <v>343</v>
      </c>
      <c r="F531" s="104" t="s">
        <v>329</v>
      </c>
      <c r="J531" s="61">
        <v>105750</v>
      </c>
      <c r="L531" s="49">
        <f t="shared" si="34"/>
        <v>135750</v>
      </c>
      <c r="M531" s="50">
        <f t="shared" si="35"/>
        <v>0</v>
      </c>
      <c r="N531" s="143"/>
      <c r="O531" s="26"/>
    </row>
    <row r="532" spans="1:15" x14ac:dyDescent="0.25">
      <c r="A532" s="54">
        <v>45232</v>
      </c>
      <c r="B532" s="24">
        <f t="shared" si="32"/>
        <v>11</v>
      </c>
      <c r="C532" s="24">
        <f t="shared" si="33"/>
        <v>2023</v>
      </c>
      <c r="D532" s="104" t="s">
        <v>109</v>
      </c>
      <c r="E532" s="104" t="s">
        <v>343</v>
      </c>
      <c r="F532" s="104" t="s">
        <v>468</v>
      </c>
      <c r="K532" s="61">
        <v>25800</v>
      </c>
      <c r="L532" s="49">
        <f t="shared" si="34"/>
        <v>109950</v>
      </c>
      <c r="M532" s="50">
        <f t="shared" si="35"/>
        <v>0</v>
      </c>
      <c r="N532" s="143"/>
      <c r="O532" s="26"/>
    </row>
    <row r="533" spans="1:15" x14ac:dyDescent="0.25">
      <c r="A533" s="54">
        <v>45232</v>
      </c>
      <c r="B533" s="24">
        <f t="shared" si="32"/>
        <v>11</v>
      </c>
      <c r="C533" s="24">
        <f t="shared" si="33"/>
        <v>2023</v>
      </c>
      <c r="D533" s="104" t="s">
        <v>51</v>
      </c>
      <c r="E533" s="104" t="s">
        <v>343</v>
      </c>
      <c r="K533" s="61">
        <v>3000</v>
      </c>
      <c r="L533" s="49">
        <f t="shared" si="34"/>
        <v>106950</v>
      </c>
      <c r="M533" s="50">
        <f t="shared" si="35"/>
        <v>0</v>
      </c>
      <c r="N533" s="143"/>
      <c r="O533" s="26"/>
    </row>
    <row r="534" spans="1:15" x14ac:dyDescent="0.25">
      <c r="A534" s="54">
        <v>45232</v>
      </c>
      <c r="B534" s="24">
        <f t="shared" si="32"/>
        <v>11</v>
      </c>
      <c r="C534" s="24">
        <f t="shared" si="33"/>
        <v>2023</v>
      </c>
      <c r="D534" s="104" t="s">
        <v>352</v>
      </c>
      <c r="E534" s="104" t="s">
        <v>343</v>
      </c>
      <c r="F534" s="104" t="s">
        <v>469</v>
      </c>
      <c r="J534" s="61">
        <v>50000</v>
      </c>
      <c r="L534" s="49">
        <f t="shared" si="34"/>
        <v>156950</v>
      </c>
      <c r="M534" s="50">
        <f t="shared" si="35"/>
        <v>0</v>
      </c>
      <c r="N534" s="143"/>
      <c r="O534" s="26"/>
    </row>
    <row r="535" spans="1:15" x14ac:dyDescent="0.25">
      <c r="A535" s="54">
        <v>45232</v>
      </c>
      <c r="B535" s="24">
        <f t="shared" si="32"/>
        <v>11</v>
      </c>
      <c r="C535" s="24">
        <f t="shared" si="33"/>
        <v>2023</v>
      </c>
      <c r="D535" s="104" t="s">
        <v>352</v>
      </c>
      <c r="E535" s="104" t="s">
        <v>93</v>
      </c>
      <c r="F535" s="104" t="s">
        <v>471</v>
      </c>
      <c r="J535" s="61">
        <v>100000</v>
      </c>
      <c r="L535" s="49">
        <f t="shared" si="34"/>
        <v>256950</v>
      </c>
      <c r="M535" s="50">
        <f t="shared" si="35"/>
        <v>0</v>
      </c>
      <c r="N535" s="143"/>
      <c r="O535" s="26"/>
    </row>
    <row r="536" spans="1:15" x14ac:dyDescent="0.25">
      <c r="A536" s="80">
        <v>45232</v>
      </c>
      <c r="B536" s="24">
        <f t="shared" si="32"/>
        <v>11</v>
      </c>
      <c r="C536" s="24">
        <f t="shared" si="33"/>
        <v>2023</v>
      </c>
      <c r="D536" s="107" t="s">
        <v>122</v>
      </c>
      <c r="E536" s="107" t="s">
        <v>343</v>
      </c>
      <c r="F536" s="107"/>
      <c r="G536" s="107"/>
      <c r="H536" s="81"/>
      <c r="I536" s="81"/>
      <c r="J536" s="52"/>
      <c r="K536" s="52">
        <v>226950</v>
      </c>
      <c r="L536" s="49">
        <f t="shared" si="34"/>
        <v>30000</v>
      </c>
      <c r="M536" s="50">
        <f t="shared" si="35"/>
        <v>0</v>
      </c>
      <c r="N536" s="143"/>
      <c r="O536" s="26"/>
    </row>
    <row r="537" spans="1:15" x14ac:dyDescent="0.25">
      <c r="A537" s="54">
        <v>45233</v>
      </c>
      <c r="B537" s="24">
        <f t="shared" si="32"/>
        <v>11</v>
      </c>
      <c r="C537" s="24">
        <f t="shared" si="33"/>
        <v>2023</v>
      </c>
      <c r="D537" s="104" t="s">
        <v>124</v>
      </c>
      <c r="E537" s="104" t="s">
        <v>343</v>
      </c>
      <c r="F537" s="104" t="s">
        <v>268</v>
      </c>
      <c r="K537" s="61">
        <v>9500</v>
      </c>
      <c r="L537" s="49">
        <f t="shared" si="34"/>
        <v>20500</v>
      </c>
      <c r="M537" s="50">
        <f t="shared" si="35"/>
        <v>0</v>
      </c>
      <c r="N537" s="143"/>
      <c r="O537" s="26"/>
    </row>
    <row r="538" spans="1:15" x14ac:dyDescent="0.25">
      <c r="A538" s="54">
        <v>45233</v>
      </c>
      <c r="B538" s="24">
        <f t="shared" si="32"/>
        <v>11</v>
      </c>
      <c r="C538" s="24">
        <f t="shared" si="33"/>
        <v>2023</v>
      </c>
      <c r="D538" s="104" t="s">
        <v>352</v>
      </c>
      <c r="E538" s="104" t="s">
        <v>343</v>
      </c>
      <c r="F538" s="104" t="s">
        <v>472</v>
      </c>
      <c r="J538" s="61">
        <v>28000</v>
      </c>
      <c r="L538" s="49">
        <f t="shared" si="34"/>
        <v>48500</v>
      </c>
      <c r="M538" s="50">
        <f t="shared" si="35"/>
        <v>0</v>
      </c>
      <c r="N538" s="143"/>
      <c r="O538" s="26"/>
    </row>
    <row r="539" spans="1:15" x14ac:dyDescent="0.25">
      <c r="A539" s="54">
        <v>45233</v>
      </c>
      <c r="B539" s="24">
        <f t="shared" si="32"/>
        <v>11</v>
      </c>
      <c r="C539" s="24">
        <f t="shared" si="33"/>
        <v>2023</v>
      </c>
      <c r="D539" s="104" t="s">
        <v>352</v>
      </c>
      <c r="E539" s="104" t="s">
        <v>343</v>
      </c>
      <c r="F539" s="104" t="s">
        <v>473</v>
      </c>
      <c r="J539" s="61">
        <v>80450</v>
      </c>
      <c r="L539" s="49">
        <f t="shared" si="34"/>
        <v>128950</v>
      </c>
      <c r="M539" s="50">
        <f t="shared" si="35"/>
        <v>0</v>
      </c>
      <c r="N539" s="143"/>
      <c r="O539" s="26"/>
    </row>
    <row r="540" spans="1:15" x14ac:dyDescent="0.25">
      <c r="A540" s="54">
        <v>45233</v>
      </c>
      <c r="B540" s="24">
        <f t="shared" si="32"/>
        <v>11</v>
      </c>
      <c r="C540" s="24">
        <f t="shared" si="33"/>
        <v>2023</v>
      </c>
      <c r="D540" s="104" t="s">
        <v>352</v>
      </c>
      <c r="E540" s="104" t="s">
        <v>343</v>
      </c>
      <c r="F540" s="104" t="s">
        <v>474</v>
      </c>
      <c r="J540" s="61">
        <v>15200</v>
      </c>
      <c r="L540" s="49">
        <f t="shared" si="34"/>
        <v>144150</v>
      </c>
      <c r="M540" s="50">
        <f t="shared" si="35"/>
        <v>0</v>
      </c>
      <c r="N540" s="143"/>
      <c r="O540" s="26"/>
    </row>
    <row r="541" spans="1:15" x14ac:dyDescent="0.25">
      <c r="A541" s="54">
        <v>45233</v>
      </c>
      <c r="B541" s="24">
        <f t="shared" si="32"/>
        <v>11</v>
      </c>
      <c r="C541" s="24">
        <f t="shared" si="33"/>
        <v>2023</v>
      </c>
      <c r="D541" s="104" t="s">
        <v>109</v>
      </c>
      <c r="E541" s="104" t="s">
        <v>343</v>
      </c>
      <c r="F541" s="104" t="s">
        <v>354</v>
      </c>
      <c r="K541" s="61">
        <v>1000</v>
      </c>
      <c r="L541" s="49">
        <f t="shared" si="34"/>
        <v>143150</v>
      </c>
      <c r="M541" s="50">
        <f t="shared" si="35"/>
        <v>0</v>
      </c>
      <c r="N541" s="143"/>
      <c r="O541" s="26"/>
    </row>
    <row r="542" spans="1:15" x14ac:dyDescent="0.25">
      <c r="A542" s="54">
        <v>45233</v>
      </c>
      <c r="B542" s="24">
        <f t="shared" si="32"/>
        <v>11</v>
      </c>
      <c r="C542" s="24">
        <f t="shared" si="33"/>
        <v>2023</v>
      </c>
      <c r="D542" s="104" t="s">
        <v>109</v>
      </c>
      <c r="E542" s="104" t="s">
        <v>343</v>
      </c>
      <c r="F542" s="104" t="s">
        <v>189</v>
      </c>
      <c r="K542" s="61">
        <v>1600</v>
      </c>
      <c r="L542" s="49">
        <f t="shared" si="34"/>
        <v>141550</v>
      </c>
      <c r="M542" s="50">
        <f t="shared" si="35"/>
        <v>0</v>
      </c>
      <c r="N542" s="143"/>
      <c r="O542" s="26"/>
    </row>
    <row r="543" spans="1:15" x14ac:dyDescent="0.25">
      <c r="A543" s="54">
        <v>45233</v>
      </c>
      <c r="B543" s="24">
        <f t="shared" si="32"/>
        <v>11</v>
      </c>
      <c r="C543" s="24">
        <f t="shared" si="33"/>
        <v>2023</v>
      </c>
      <c r="D543" s="104" t="s">
        <v>135</v>
      </c>
      <c r="E543" s="104" t="s">
        <v>343</v>
      </c>
      <c r="F543" s="104" t="s">
        <v>476</v>
      </c>
      <c r="K543" s="61">
        <v>2000</v>
      </c>
      <c r="L543" s="49">
        <f t="shared" si="34"/>
        <v>139550</v>
      </c>
      <c r="M543" s="50">
        <f t="shared" si="35"/>
        <v>0</v>
      </c>
      <c r="N543" s="143"/>
      <c r="O543" s="26"/>
    </row>
    <row r="544" spans="1:15" x14ac:dyDescent="0.25">
      <c r="A544" s="66">
        <v>45233</v>
      </c>
      <c r="B544" s="24">
        <f t="shared" si="32"/>
        <v>11</v>
      </c>
      <c r="C544" s="24">
        <f t="shared" si="33"/>
        <v>2023</v>
      </c>
      <c r="D544" s="109" t="s">
        <v>384</v>
      </c>
      <c r="E544" s="109" t="s">
        <v>343</v>
      </c>
      <c r="F544" s="109"/>
      <c r="G544" s="109"/>
      <c r="H544" s="14"/>
      <c r="I544" s="14"/>
      <c r="J544" s="118">
        <v>250000</v>
      </c>
      <c r="K544" s="118"/>
      <c r="L544" s="49">
        <f t="shared" si="34"/>
        <v>389550</v>
      </c>
      <c r="M544" s="50">
        <f t="shared" si="35"/>
        <v>0</v>
      </c>
      <c r="N544" s="143"/>
      <c r="O544" s="26"/>
    </row>
    <row r="545" spans="1:15" x14ac:dyDescent="0.25">
      <c r="A545" s="54">
        <v>45233</v>
      </c>
      <c r="B545" s="24">
        <f t="shared" si="32"/>
        <v>11</v>
      </c>
      <c r="C545" s="24">
        <f t="shared" si="33"/>
        <v>2023</v>
      </c>
      <c r="D545" s="104" t="s">
        <v>109</v>
      </c>
      <c r="E545" s="104" t="s">
        <v>343</v>
      </c>
      <c r="F545" s="104" t="s">
        <v>367</v>
      </c>
      <c r="K545" s="61">
        <v>250000</v>
      </c>
      <c r="L545" s="49">
        <f t="shared" si="34"/>
        <v>139550</v>
      </c>
      <c r="M545" s="50">
        <f t="shared" si="35"/>
        <v>0</v>
      </c>
      <c r="N545" s="143"/>
      <c r="O545" s="26"/>
    </row>
    <row r="546" spans="1:15" x14ac:dyDescent="0.25">
      <c r="A546" s="80">
        <v>45233</v>
      </c>
      <c r="B546" s="24">
        <f t="shared" si="32"/>
        <v>11</v>
      </c>
      <c r="C546" s="24">
        <f t="shared" si="33"/>
        <v>2023</v>
      </c>
      <c r="D546" s="107" t="s">
        <v>122</v>
      </c>
      <c r="E546" s="107" t="s">
        <v>343</v>
      </c>
      <c r="F546" s="107"/>
      <c r="G546" s="107"/>
      <c r="H546" s="81"/>
      <c r="I546" s="81"/>
      <c r="J546" s="52"/>
      <c r="K546" s="52">
        <v>109550</v>
      </c>
      <c r="L546" s="49">
        <f t="shared" si="34"/>
        <v>30000</v>
      </c>
      <c r="M546" s="50">
        <f t="shared" si="35"/>
        <v>0</v>
      </c>
      <c r="N546" s="143"/>
      <c r="O546" s="26"/>
    </row>
    <row r="547" spans="1:15" x14ac:dyDescent="0.25">
      <c r="A547" s="54">
        <v>45236</v>
      </c>
      <c r="B547" s="24">
        <f t="shared" si="32"/>
        <v>11</v>
      </c>
      <c r="C547" s="24">
        <f t="shared" si="33"/>
        <v>2023</v>
      </c>
      <c r="D547" s="104" t="s">
        <v>352</v>
      </c>
      <c r="E547" s="104" t="s">
        <v>343</v>
      </c>
      <c r="F547" s="104" t="s">
        <v>353</v>
      </c>
      <c r="J547" s="61">
        <v>21300</v>
      </c>
      <c r="L547" s="49">
        <f t="shared" si="34"/>
        <v>51300</v>
      </c>
      <c r="M547" s="50">
        <f t="shared" si="35"/>
        <v>0</v>
      </c>
      <c r="N547" s="143"/>
      <c r="O547" s="26"/>
    </row>
    <row r="548" spans="1:15" x14ac:dyDescent="0.25">
      <c r="A548" s="54">
        <v>45236</v>
      </c>
      <c r="B548" s="24">
        <f t="shared" si="32"/>
        <v>11</v>
      </c>
      <c r="C548" s="24">
        <f t="shared" si="33"/>
        <v>2023</v>
      </c>
      <c r="D548" s="104" t="s">
        <v>384</v>
      </c>
      <c r="E548" s="104" t="s">
        <v>343</v>
      </c>
      <c r="J548" s="61">
        <v>20000</v>
      </c>
      <c r="L548" s="49">
        <f t="shared" si="34"/>
        <v>71300</v>
      </c>
      <c r="M548" s="50">
        <f t="shared" si="35"/>
        <v>0</v>
      </c>
      <c r="N548" s="143"/>
      <c r="O548" s="26"/>
    </row>
    <row r="549" spans="1:15" x14ac:dyDescent="0.25">
      <c r="A549" s="54">
        <v>45236</v>
      </c>
      <c r="B549" s="24">
        <f t="shared" si="32"/>
        <v>11</v>
      </c>
      <c r="C549" s="24">
        <f t="shared" si="33"/>
        <v>2023</v>
      </c>
      <c r="D549" s="104" t="s">
        <v>124</v>
      </c>
      <c r="E549" s="104" t="s">
        <v>343</v>
      </c>
      <c r="F549" s="104" t="s">
        <v>244</v>
      </c>
      <c r="K549" s="61">
        <v>20000</v>
      </c>
      <c r="L549" s="49">
        <f t="shared" si="34"/>
        <v>51300</v>
      </c>
      <c r="M549" s="50">
        <f t="shared" si="35"/>
        <v>0</v>
      </c>
      <c r="N549" s="143"/>
      <c r="O549" s="26"/>
    </row>
    <row r="550" spans="1:15" x14ac:dyDescent="0.25">
      <c r="A550" s="54">
        <v>45236</v>
      </c>
      <c r="B550" s="24">
        <f t="shared" si="32"/>
        <v>11</v>
      </c>
      <c r="C550" s="24">
        <f t="shared" si="33"/>
        <v>2023</v>
      </c>
      <c r="D550" s="104" t="s">
        <v>123</v>
      </c>
      <c r="E550" s="104" t="s">
        <v>343</v>
      </c>
      <c r="J550" s="61">
        <v>9500</v>
      </c>
      <c r="L550" s="49">
        <f t="shared" si="34"/>
        <v>60800</v>
      </c>
      <c r="M550" s="50">
        <f t="shared" si="35"/>
        <v>0</v>
      </c>
      <c r="N550" s="143"/>
      <c r="O550" s="26"/>
    </row>
    <row r="551" spans="1:15" x14ac:dyDescent="0.25">
      <c r="A551" s="54">
        <v>45236</v>
      </c>
      <c r="B551" s="24">
        <f t="shared" si="32"/>
        <v>11</v>
      </c>
      <c r="C551" s="24">
        <f t="shared" si="33"/>
        <v>2023</v>
      </c>
      <c r="D551" s="104" t="s">
        <v>420</v>
      </c>
      <c r="E551" s="104" t="s">
        <v>92</v>
      </c>
      <c r="F551" s="104" t="s">
        <v>479</v>
      </c>
      <c r="K551" s="61">
        <v>9500</v>
      </c>
      <c r="L551" s="49">
        <f t="shared" si="34"/>
        <v>51300</v>
      </c>
      <c r="M551" s="50">
        <f t="shared" si="35"/>
        <v>0</v>
      </c>
      <c r="N551" s="143"/>
      <c r="O551" s="26"/>
    </row>
    <row r="552" spans="1:15" x14ac:dyDescent="0.25">
      <c r="A552" s="54">
        <v>45236</v>
      </c>
      <c r="B552" s="24">
        <f t="shared" si="32"/>
        <v>11</v>
      </c>
      <c r="C552" s="24">
        <f t="shared" si="33"/>
        <v>2023</v>
      </c>
      <c r="D552" s="104" t="s">
        <v>352</v>
      </c>
      <c r="E552" s="104" t="s">
        <v>343</v>
      </c>
      <c r="F552" s="104" t="s">
        <v>480</v>
      </c>
      <c r="J552" s="61">
        <v>66500</v>
      </c>
      <c r="L552" s="49">
        <f t="shared" si="34"/>
        <v>117800</v>
      </c>
      <c r="M552" s="50">
        <f t="shared" si="35"/>
        <v>0</v>
      </c>
      <c r="N552" s="143"/>
      <c r="O552" s="26"/>
    </row>
    <row r="553" spans="1:15" x14ac:dyDescent="0.25">
      <c r="A553" s="66">
        <v>45236</v>
      </c>
      <c r="B553" s="24">
        <f t="shared" si="32"/>
        <v>11</v>
      </c>
      <c r="C553" s="24">
        <f t="shared" si="33"/>
        <v>2023</v>
      </c>
      <c r="D553" s="109" t="s">
        <v>352</v>
      </c>
      <c r="E553" s="109" t="s">
        <v>343</v>
      </c>
      <c r="F553" s="109" t="s">
        <v>481</v>
      </c>
      <c r="G553" s="109"/>
      <c r="H553" s="14"/>
      <c r="I553" s="14"/>
      <c r="J553" s="118">
        <v>37300</v>
      </c>
      <c r="K553" s="118"/>
      <c r="L553" s="49">
        <f t="shared" si="34"/>
        <v>155100</v>
      </c>
      <c r="M553" s="50">
        <f t="shared" si="35"/>
        <v>0</v>
      </c>
      <c r="N553" s="143"/>
      <c r="O553" s="26"/>
    </row>
    <row r="554" spans="1:15" x14ac:dyDescent="0.25">
      <c r="A554" s="80">
        <v>45236</v>
      </c>
      <c r="B554" s="24">
        <f t="shared" si="32"/>
        <v>11</v>
      </c>
      <c r="C554" s="24">
        <f t="shared" si="33"/>
        <v>2023</v>
      </c>
      <c r="D554" s="107" t="s">
        <v>122</v>
      </c>
      <c r="E554" s="107" t="s">
        <v>343</v>
      </c>
      <c r="F554" s="107"/>
      <c r="G554" s="107"/>
      <c r="H554" s="81"/>
      <c r="I554" s="81"/>
      <c r="J554" s="52"/>
      <c r="K554" s="52">
        <v>125100</v>
      </c>
      <c r="L554" s="49">
        <f t="shared" si="34"/>
        <v>30000</v>
      </c>
      <c r="M554" s="50">
        <f t="shared" si="35"/>
        <v>0</v>
      </c>
      <c r="N554" s="143"/>
      <c r="O554" s="26"/>
    </row>
    <row r="555" spans="1:15" x14ac:dyDescent="0.25">
      <c r="A555" s="54">
        <v>45237</v>
      </c>
      <c r="B555" s="24">
        <f t="shared" si="32"/>
        <v>11</v>
      </c>
      <c r="C555" s="24">
        <f t="shared" si="33"/>
        <v>2023</v>
      </c>
      <c r="D555" s="104" t="s">
        <v>352</v>
      </c>
      <c r="E555" s="104" t="s">
        <v>343</v>
      </c>
      <c r="F555" s="104" t="s">
        <v>482</v>
      </c>
      <c r="J555" s="61">
        <v>18400</v>
      </c>
      <c r="L555" s="49">
        <f t="shared" si="34"/>
        <v>48400</v>
      </c>
      <c r="M555" s="50">
        <f t="shared" si="35"/>
        <v>0</v>
      </c>
      <c r="N555" s="143"/>
      <c r="O555" s="26"/>
    </row>
    <row r="556" spans="1:15" x14ac:dyDescent="0.25">
      <c r="A556" s="54">
        <v>45237</v>
      </c>
      <c r="B556" s="24">
        <f t="shared" si="32"/>
        <v>11</v>
      </c>
      <c r="C556" s="24">
        <f t="shared" si="33"/>
        <v>2023</v>
      </c>
      <c r="D556" s="104" t="s">
        <v>124</v>
      </c>
      <c r="E556" s="104" t="s">
        <v>343</v>
      </c>
      <c r="G556" s="104" t="s">
        <v>103</v>
      </c>
      <c r="K556" s="61">
        <v>18800</v>
      </c>
      <c r="L556" s="49">
        <f t="shared" si="34"/>
        <v>29600</v>
      </c>
      <c r="M556" s="50">
        <f t="shared" si="35"/>
        <v>0</v>
      </c>
      <c r="N556" s="143"/>
      <c r="O556" s="26"/>
    </row>
    <row r="557" spans="1:15" x14ac:dyDescent="0.25">
      <c r="A557" s="54">
        <v>45237</v>
      </c>
      <c r="B557" s="24">
        <f t="shared" si="32"/>
        <v>11</v>
      </c>
      <c r="C557" s="24">
        <f t="shared" si="33"/>
        <v>2023</v>
      </c>
      <c r="D557" s="104" t="s">
        <v>483</v>
      </c>
      <c r="E557" s="104" t="s">
        <v>343</v>
      </c>
      <c r="J557" s="61">
        <v>55000</v>
      </c>
      <c r="L557" s="49">
        <f t="shared" si="34"/>
        <v>84600</v>
      </c>
      <c r="M557" s="50">
        <f t="shared" si="35"/>
        <v>0</v>
      </c>
      <c r="N557" s="143"/>
      <c r="O557" s="26"/>
    </row>
    <row r="558" spans="1:15" x14ac:dyDescent="0.25">
      <c r="A558" s="54">
        <v>45237</v>
      </c>
      <c r="B558" s="24">
        <f t="shared" si="32"/>
        <v>11</v>
      </c>
      <c r="C558" s="24">
        <f t="shared" si="33"/>
        <v>2023</v>
      </c>
      <c r="D558" s="104" t="s">
        <v>51</v>
      </c>
      <c r="E558" s="104" t="s">
        <v>343</v>
      </c>
      <c r="F558" s="104" t="s">
        <v>484</v>
      </c>
      <c r="K558" s="61">
        <v>55000</v>
      </c>
      <c r="L558" s="49">
        <f t="shared" si="34"/>
        <v>29600</v>
      </c>
      <c r="M558" s="50">
        <f t="shared" si="35"/>
        <v>0</v>
      </c>
      <c r="N558" s="143"/>
      <c r="O558" s="26"/>
    </row>
    <row r="559" spans="1:15" x14ac:dyDescent="0.25">
      <c r="A559" s="82">
        <v>45237</v>
      </c>
      <c r="B559" s="24">
        <f t="shared" si="32"/>
        <v>11</v>
      </c>
      <c r="C559" s="24">
        <f t="shared" si="33"/>
        <v>2023</v>
      </c>
      <c r="D559" s="110" t="s">
        <v>384</v>
      </c>
      <c r="E559" s="110" t="s">
        <v>343</v>
      </c>
      <c r="F559" s="110"/>
      <c r="G559" s="110"/>
      <c r="H559" s="83"/>
      <c r="I559" s="83"/>
      <c r="J559" s="119">
        <v>400</v>
      </c>
      <c r="K559" s="119"/>
      <c r="L559" s="49">
        <f t="shared" si="34"/>
        <v>30000</v>
      </c>
      <c r="M559" s="50">
        <f t="shared" si="35"/>
        <v>0</v>
      </c>
      <c r="N559" s="143"/>
      <c r="O559" s="26"/>
    </row>
    <row r="560" spans="1:15" x14ac:dyDescent="0.25">
      <c r="A560" s="54">
        <v>45238</v>
      </c>
      <c r="B560" s="24">
        <f t="shared" si="32"/>
        <v>11</v>
      </c>
      <c r="C560" s="24">
        <f t="shared" si="33"/>
        <v>2023</v>
      </c>
      <c r="D560" s="104" t="s">
        <v>109</v>
      </c>
      <c r="E560" s="104" t="s">
        <v>343</v>
      </c>
      <c r="F560" s="104" t="s">
        <v>574</v>
      </c>
      <c r="K560" s="61">
        <v>8000</v>
      </c>
      <c r="L560" s="49">
        <f t="shared" si="34"/>
        <v>22000</v>
      </c>
      <c r="M560" s="50">
        <f t="shared" si="35"/>
        <v>0</v>
      </c>
      <c r="N560" s="143"/>
      <c r="O560" s="26"/>
    </row>
    <row r="561" spans="1:15" x14ac:dyDescent="0.25">
      <c r="A561" s="54">
        <v>45238</v>
      </c>
      <c r="B561" s="24">
        <f t="shared" si="32"/>
        <v>11</v>
      </c>
      <c r="C561" s="24">
        <f t="shared" si="33"/>
        <v>2023</v>
      </c>
      <c r="D561" s="104" t="s">
        <v>486</v>
      </c>
      <c r="E561" s="104" t="s">
        <v>343</v>
      </c>
      <c r="F561" s="104" t="s">
        <v>487</v>
      </c>
      <c r="K561" s="61">
        <v>6500</v>
      </c>
      <c r="L561" s="49">
        <f t="shared" si="34"/>
        <v>15500</v>
      </c>
      <c r="M561" s="50">
        <f t="shared" si="35"/>
        <v>0</v>
      </c>
      <c r="N561" s="143"/>
      <c r="O561" s="26"/>
    </row>
    <row r="562" spans="1:15" x14ac:dyDescent="0.25">
      <c r="A562" s="54">
        <v>45238</v>
      </c>
      <c r="B562" s="24">
        <f t="shared" si="32"/>
        <v>11</v>
      </c>
      <c r="C562" s="24">
        <f t="shared" si="33"/>
        <v>2023</v>
      </c>
      <c r="D562" s="104" t="s">
        <v>352</v>
      </c>
      <c r="E562" s="104" t="s">
        <v>343</v>
      </c>
      <c r="F562" s="104" t="s">
        <v>488</v>
      </c>
      <c r="J562" s="61">
        <v>73300</v>
      </c>
      <c r="L562" s="49">
        <f t="shared" si="34"/>
        <v>88800</v>
      </c>
      <c r="M562" s="50">
        <f t="shared" si="35"/>
        <v>0</v>
      </c>
      <c r="N562" s="143"/>
      <c r="O562" s="26"/>
    </row>
    <row r="563" spans="1:15" x14ac:dyDescent="0.25">
      <c r="A563" s="54">
        <v>45238</v>
      </c>
      <c r="B563" s="24">
        <f t="shared" si="32"/>
        <v>11</v>
      </c>
      <c r="C563" s="24">
        <f t="shared" si="33"/>
        <v>2023</v>
      </c>
      <c r="D563" s="104" t="s">
        <v>483</v>
      </c>
      <c r="E563" s="104" t="s">
        <v>343</v>
      </c>
      <c r="J563" s="61">
        <v>80000</v>
      </c>
      <c r="L563" s="49">
        <f t="shared" si="34"/>
        <v>168800</v>
      </c>
      <c r="M563" s="50">
        <f t="shared" si="35"/>
        <v>0</v>
      </c>
      <c r="N563" s="143"/>
      <c r="O563" s="26"/>
    </row>
    <row r="564" spans="1:15" x14ac:dyDescent="0.25">
      <c r="A564" s="54">
        <v>45238</v>
      </c>
      <c r="B564" s="24">
        <f t="shared" si="32"/>
        <v>11</v>
      </c>
      <c r="C564" s="24">
        <f t="shared" si="33"/>
        <v>2023</v>
      </c>
      <c r="D564" s="104" t="s">
        <v>147</v>
      </c>
      <c r="E564" s="104" t="s">
        <v>93</v>
      </c>
      <c r="F564" s="104" t="s">
        <v>489</v>
      </c>
      <c r="K564" s="61">
        <v>80000</v>
      </c>
      <c r="L564" s="49">
        <f t="shared" si="34"/>
        <v>88800</v>
      </c>
      <c r="M564" s="50">
        <f t="shared" si="35"/>
        <v>0</v>
      </c>
      <c r="N564" s="143"/>
      <c r="O564" s="26"/>
    </row>
    <row r="565" spans="1:15" x14ac:dyDescent="0.25">
      <c r="A565" s="80">
        <v>45238</v>
      </c>
      <c r="B565" s="24">
        <f t="shared" si="32"/>
        <v>11</v>
      </c>
      <c r="C565" s="24">
        <f t="shared" si="33"/>
        <v>2023</v>
      </c>
      <c r="D565" s="107" t="s">
        <v>361</v>
      </c>
      <c r="E565" s="107" t="s">
        <v>343</v>
      </c>
      <c r="F565" s="107"/>
      <c r="G565" s="107"/>
      <c r="H565" s="81"/>
      <c r="I565" s="81"/>
      <c r="J565" s="52"/>
      <c r="K565" s="52">
        <v>58800</v>
      </c>
      <c r="L565" s="49">
        <f t="shared" si="34"/>
        <v>30000</v>
      </c>
      <c r="M565" s="50">
        <f t="shared" si="35"/>
        <v>0</v>
      </c>
      <c r="N565" s="143"/>
      <c r="O565" s="26"/>
    </row>
    <row r="566" spans="1:15" x14ac:dyDescent="0.25">
      <c r="A566" s="54">
        <v>45239</v>
      </c>
      <c r="B566" s="24">
        <f t="shared" si="32"/>
        <v>11</v>
      </c>
      <c r="C566" s="24">
        <f t="shared" si="33"/>
        <v>2023</v>
      </c>
      <c r="D566" s="104" t="s">
        <v>352</v>
      </c>
      <c r="E566" s="104" t="s">
        <v>343</v>
      </c>
      <c r="F566" s="104" t="s">
        <v>490</v>
      </c>
      <c r="J566" s="61">
        <v>132000</v>
      </c>
      <c r="L566" s="49">
        <f t="shared" si="34"/>
        <v>162000</v>
      </c>
      <c r="M566" s="50">
        <f t="shared" si="35"/>
        <v>0</v>
      </c>
      <c r="N566" s="143"/>
      <c r="O566" s="26"/>
    </row>
    <row r="567" spans="1:15" x14ac:dyDescent="0.25">
      <c r="A567" s="54">
        <v>45239</v>
      </c>
      <c r="B567" s="24">
        <f t="shared" si="32"/>
        <v>11</v>
      </c>
      <c r="C567" s="24">
        <f t="shared" si="33"/>
        <v>2023</v>
      </c>
      <c r="D567" s="104" t="s">
        <v>352</v>
      </c>
      <c r="E567" s="104" t="s">
        <v>343</v>
      </c>
      <c r="F567" s="104" t="s">
        <v>491</v>
      </c>
      <c r="J567" s="61">
        <v>101200</v>
      </c>
      <c r="L567" s="49">
        <f t="shared" si="34"/>
        <v>263200</v>
      </c>
      <c r="M567" s="50">
        <f t="shared" si="35"/>
        <v>0</v>
      </c>
      <c r="N567" s="143"/>
      <c r="O567" s="26"/>
    </row>
    <row r="568" spans="1:15" x14ac:dyDescent="0.25">
      <c r="A568" s="54">
        <v>45239</v>
      </c>
      <c r="B568" s="24">
        <f t="shared" si="32"/>
        <v>11</v>
      </c>
      <c r="C568" s="24">
        <f t="shared" si="33"/>
        <v>2023</v>
      </c>
      <c r="D568" s="104" t="s">
        <v>148</v>
      </c>
      <c r="E568" s="104" t="s">
        <v>343</v>
      </c>
      <c r="K568" s="61">
        <v>100</v>
      </c>
      <c r="L568" s="49">
        <f t="shared" si="34"/>
        <v>263100</v>
      </c>
      <c r="M568" s="50">
        <f t="shared" si="35"/>
        <v>0</v>
      </c>
      <c r="N568" s="143"/>
      <c r="O568" s="26"/>
    </row>
    <row r="569" spans="1:15" x14ac:dyDescent="0.25">
      <c r="A569" s="54">
        <v>45239</v>
      </c>
      <c r="B569" s="24">
        <f t="shared" si="32"/>
        <v>11</v>
      </c>
      <c r="C569" s="24">
        <f t="shared" si="33"/>
        <v>2023</v>
      </c>
      <c r="D569" s="104" t="s">
        <v>352</v>
      </c>
      <c r="E569" s="104" t="s">
        <v>343</v>
      </c>
      <c r="F569" s="104" t="s">
        <v>492</v>
      </c>
      <c r="J569" s="61">
        <v>190000</v>
      </c>
      <c r="L569" s="49">
        <f t="shared" si="34"/>
        <v>453100</v>
      </c>
      <c r="M569" s="50">
        <f t="shared" si="35"/>
        <v>0</v>
      </c>
      <c r="N569" s="143"/>
      <c r="O569" s="26"/>
    </row>
    <row r="570" spans="1:15" x14ac:dyDescent="0.25">
      <c r="A570" s="54">
        <v>45239</v>
      </c>
      <c r="B570" s="24">
        <f t="shared" si="32"/>
        <v>11</v>
      </c>
      <c r="C570" s="24">
        <f t="shared" si="33"/>
        <v>2023</v>
      </c>
      <c r="D570" s="104" t="s">
        <v>147</v>
      </c>
      <c r="E570" s="104" t="s">
        <v>343</v>
      </c>
      <c r="F570" s="104" t="s">
        <v>493</v>
      </c>
      <c r="K570" s="61">
        <v>2500</v>
      </c>
      <c r="L570" s="49">
        <f t="shared" si="34"/>
        <v>450600</v>
      </c>
      <c r="M570" s="50">
        <f t="shared" si="35"/>
        <v>0</v>
      </c>
      <c r="N570" s="143"/>
      <c r="O570" s="26"/>
    </row>
    <row r="571" spans="1:15" x14ac:dyDescent="0.25">
      <c r="A571" s="54">
        <v>45239</v>
      </c>
      <c r="B571" s="24">
        <f t="shared" si="32"/>
        <v>11</v>
      </c>
      <c r="C571" s="24">
        <f t="shared" si="33"/>
        <v>2023</v>
      </c>
      <c r="D571" s="104" t="s">
        <v>124</v>
      </c>
      <c r="E571" s="104" t="s">
        <v>343</v>
      </c>
      <c r="F571" s="104" t="s">
        <v>494</v>
      </c>
      <c r="K571" s="61">
        <v>8300</v>
      </c>
      <c r="L571" s="49">
        <f t="shared" si="34"/>
        <v>442300</v>
      </c>
      <c r="M571" s="50">
        <f t="shared" si="35"/>
        <v>0</v>
      </c>
      <c r="N571" s="143"/>
      <c r="O571" s="26"/>
    </row>
    <row r="572" spans="1:15" x14ac:dyDescent="0.25">
      <c r="A572" s="54">
        <v>45239</v>
      </c>
      <c r="B572" s="24">
        <f t="shared" si="32"/>
        <v>11</v>
      </c>
      <c r="C572" s="24">
        <f t="shared" si="33"/>
        <v>2023</v>
      </c>
      <c r="D572" s="104" t="s">
        <v>360</v>
      </c>
      <c r="E572" s="104" t="s">
        <v>343</v>
      </c>
      <c r="K572" s="61">
        <v>3000</v>
      </c>
      <c r="L572" s="49">
        <f t="shared" si="34"/>
        <v>439300</v>
      </c>
      <c r="M572" s="50">
        <f t="shared" si="35"/>
        <v>0</v>
      </c>
      <c r="N572" s="143"/>
      <c r="O572" s="26"/>
    </row>
    <row r="573" spans="1:15" x14ac:dyDescent="0.25">
      <c r="A573" s="54">
        <v>45239</v>
      </c>
      <c r="B573" s="24">
        <f t="shared" si="32"/>
        <v>11</v>
      </c>
      <c r="C573" s="24">
        <f t="shared" si="33"/>
        <v>2023</v>
      </c>
      <c r="D573" s="104" t="s">
        <v>352</v>
      </c>
      <c r="E573" s="104" t="s">
        <v>343</v>
      </c>
      <c r="F573" s="104" t="s">
        <v>495</v>
      </c>
      <c r="J573" s="61">
        <v>95000</v>
      </c>
      <c r="L573" s="49">
        <f t="shared" si="34"/>
        <v>534300</v>
      </c>
      <c r="M573" s="50">
        <f t="shared" si="35"/>
        <v>0</v>
      </c>
      <c r="N573" s="143"/>
      <c r="O573" s="26"/>
    </row>
    <row r="574" spans="1:15" x14ac:dyDescent="0.25">
      <c r="A574" s="54">
        <v>45239</v>
      </c>
      <c r="B574" s="24">
        <f t="shared" si="32"/>
        <v>11</v>
      </c>
      <c r="C574" s="24">
        <f t="shared" si="33"/>
        <v>2023</v>
      </c>
      <c r="D574" s="104" t="s">
        <v>135</v>
      </c>
      <c r="E574" s="104" t="s">
        <v>343</v>
      </c>
      <c r="F574" s="104" t="s">
        <v>496</v>
      </c>
      <c r="K574" s="61">
        <v>15000</v>
      </c>
      <c r="L574" s="49">
        <f t="shared" si="34"/>
        <v>519300</v>
      </c>
      <c r="M574" s="50">
        <f t="shared" si="35"/>
        <v>0</v>
      </c>
      <c r="N574" s="143"/>
      <c r="O574" s="26"/>
    </row>
    <row r="575" spans="1:15" x14ac:dyDescent="0.25">
      <c r="A575" s="80">
        <v>45239</v>
      </c>
      <c r="B575" s="24">
        <f t="shared" si="32"/>
        <v>11</v>
      </c>
      <c r="C575" s="24">
        <f t="shared" si="33"/>
        <v>2023</v>
      </c>
      <c r="D575" s="107" t="s">
        <v>122</v>
      </c>
      <c r="E575" s="107" t="s">
        <v>343</v>
      </c>
      <c r="F575" s="107"/>
      <c r="G575" s="107"/>
      <c r="H575" s="81"/>
      <c r="I575" s="81"/>
      <c r="J575" s="52"/>
      <c r="K575" s="52">
        <v>489300</v>
      </c>
      <c r="L575" s="49">
        <f t="shared" si="34"/>
        <v>30000</v>
      </c>
      <c r="M575" s="50">
        <f t="shared" si="35"/>
        <v>0</v>
      </c>
      <c r="N575" s="143"/>
      <c r="O575" s="26"/>
    </row>
    <row r="576" spans="1:15" x14ac:dyDescent="0.25">
      <c r="A576" s="54">
        <v>45240</v>
      </c>
      <c r="B576" s="24">
        <f t="shared" si="32"/>
        <v>11</v>
      </c>
      <c r="C576" s="24">
        <f t="shared" si="33"/>
        <v>2023</v>
      </c>
      <c r="D576" s="104" t="s">
        <v>109</v>
      </c>
      <c r="E576" s="104" t="s">
        <v>343</v>
      </c>
      <c r="F576" s="104" t="s">
        <v>354</v>
      </c>
      <c r="K576" s="61">
        <v>2000</v>
      </c>
      <c r="L576" s="49">
        <f t="shared" si="34"/>
        <v>28000</v>
      </c>
      <c r="M576" s="50">
        <f t="shared" si="35"/>
        <v>0</v>
      </c>
      <c r="N576" s="143"/>
      <c r="O576" s="26"/>
    </row>
    <row r="577" spans="1:15" x14ac:dyDescent="0.25">
      <c r="A577" s="54">
        <v>45240</v>
      </c>
      <c r="B577" s="24">
        <f t="shared" si="32"/>
        <v>11</v>
      </c>
      <c r="C577" s="24">
        <f t="shared" si="33"/>
        <v>2023</v>
      </c>
      <c r="D577" s="104" t="s">
        <v>352</v>
      </c>
      <c r="E577" s="104" t="s">
        <v>343</v>
      </c>
      <c r="F577" s="104" t="s">
        <v>497</v>
      </c>
      <c r="J577" s="61">
        <v>127500</v>
      </c>
      <c r="L577" s="49">
        <f t="shared" si="34"/>
        <v>155500</v>
      </c>
      <c r="M577" s="50">
        <f t="shared" si="35"/>
        <v>0</v>
      </c>
      <c r="N577" s="143"/>
      <c r="O577" s="26"/>
    </row>
    <row r="578" spans="1:15" x14ac:dyDescent="0.25">
      <c r="A578" s="54">
        <v>45240</v>
      </c>
      <c r="B578" s="24">
        <f t="shared" si="32"/>
        <v>11</v>
      </c>
      <c r="C578" s="24">
        <f t="shared" si="33"/>
        <v>2023</v>
      </c>
      <c r="D578" s="104" t="s">
        <v>352</v>
      </c>
      <c r="E578" s="104" t="s">
        <v>343</v>
      </c>
      <c r="F578" s="104" t="s">
        <v>498</v>
      </c>
      <c r="J578" s="61">
        <v>25100</v>
      </c>
      <c r="L578" s="49">
        <f t="shared" si="34"/>
        <v>180600</v>
      </c>
      <c r="M578" s="50">
        <f t="shared" si="35"/>
        <v>0</v>
      </c>
      <c r="N578" s="143"/>
      <c r="O578" s="26"/>
    </row>
    <row r="579" spans="1:15" x14ac:dyDescent="0.25">
      <c r="A579" s="54">
        <v>45240</v>
      </c>
      <c r="B579" s="24">
        <f t="shared" ref="B579:B642" si="36">MONTH(A579)</f>
        <v>11</v>
      </c>
      <c r="C579" s="24">
        <f t="shared" ref="C579:C642" si="37">YEAR(A579)</f>
        <v>2023</v>
      </c>
      <c r="D579" s="104" t="s">
        <v>352</v>
      </c>
      <c r="E579" s="104" t="s">
        <v>343</v>
      </c>
      <c r="F579" s="104" t="s">
        <v>499</v>
      </c>
      <c r="J579" s="61">
        <v>81000</v>
      </c>
      <c r="L579" s="49">
        <f t="shared" si="34"/>
        <v>261600</v>
      </c>
      <c r="M579" s="50">
        <f t="shared" si="35"/>
        <v>0</v>
      </c>
      <c r="N579" s="143"/>
      <c r="O579" s="26"/>
    </row>
    <row r="580" spans="1:15" x14ac:dyDescent="0.25">
      <c r="A580" s="54">
        <v>45240</v>
      </c>
      <c r="B580" s="24">
        <f t="shared" si="36"/>
        <v>11</v>
      </c>
      <c r="C580" s="24">
        <f t="shared" si="37"/>
        <v>2023</v>
      </c>
      <c r="D580" s="104" t="s">
        <v>124</v>
      </c>
      <c r="E580" s="104" t="s">
        <v>343</v>
      </c>
      <c r="G580" s="104" t="s">
        <v>97</v>
      </c>
      <c r="K580" s="61">
        <v>101060</v>
      </c>
      <c r="L580" s="49">
        <f t="shared" ref="L580:L643" si="38">IF((L579+M579+J580-K580)&gt;0,(L579+M579+J580-K580),0)</f>
        <v>160540</v>
      </c>
      <c r="M580" s="50">
        <f t="shared" ref="M580:M643" si="39">IF((L579+M579+J580-K580)&lt;0,(L579+M579+J580-K580),0)</f>
        <v>0</v>
      </c>
      <c r="N580" s="143"/>
      <c r="O580" s="26"/>
    </row>
    <row r="581" spans="1:15" x14ac:dyDescent="0.25">
      <c r="A581" s="54">
        <v>45240</v>
      </c>
      <c r="B581" s="24">
        <f t="shared" si="36"/>
        <v>11</v>
      </c>
      <c r="C581" s="24">
        <f t="shared" si="37"/>
        <v>2023</v>
      </c>
      <c r="D581" s="104" t="s">
        <v>352</v>
      </c>
      <c r="E581" s="104" t="s">
        <v>343</v>
      </c>
      <c r="J581" s="61">
        <v>4000</v>
      </c>
      <c r="L581" s="49">
        <f t="shared" si="38"/>
        <v>164540</v>
      </c>
      <c r="M581" s="50">
        <f t="shared" si="39"/>
        <v>0</v>
      </c>
      <c r="N581" s="143"/>
      <c r="O581" s="26"/>
    </row>
    <row r="582" spans="1:15" x14ac:dyDescent="0.25">
      <c r="A582" s="80">
        <v>45240</v>
      </c>
      <c r="B582" s="24">
        <f t="shared" si="36"/>
        <v>11</v>
      </c>
      <c r="C582" s="24">
        <f t="shared" si="37"/>
        <v>2023</v>
      </c>
      <c r="D582" s="107" t="s">
        <v>122</v>
      </c>
      <c r="E582" s="107" t="s">
        <v>343</v>
      </c>
      <c r="F582" s="107"/>
      <c r="G582" s="107"/>
      <c r="H582" s="81"/>
      <c r="I582" s="81"/>
      <c r="J582" s="52"/>
      <c r="K582" s="52">
        <v>134540</v>
      </c>
      <c r="L582" s="49">
        <f t="shared" si="38"/>
        <v>30000</v>
      </c>
      <c r="M582" s="50">
        <f t="shared" si="39"/>
        <v>0</v>
      </c>
      <c r="N582" s="143"/>
      <c r="O582" s="26"/>
    </row>
    <row r="583" spans="1:15" x14ac:dyDescent="0.25">
      <c r="A583" s="54">
        <v>45240</v>
      </c>
      <c r="B583" s="24">
        <f t="shared" si="36"/>
        <v>11</v>
      </c>
      <c r="C583" s="24">
        <f t="shared" si="37"/>
        <v>2023</v>
      </c>
      <c r="D583" s="104" t="s">
        <v>384</v>
      </c>
      <c r="E583" s="104" t="s">
        <v>343</v>
      </c>
      <c r="J583" s="61">
        <v>250000</v>
      </c>
      <c r="L583" s="49">
        <f t="shared" si="38"/>
        <v>280000</v>
      </c>
      <c r="M583" s="50">
        <f t="shared" si="39"/>
        <v>0</v>
      </c>
      <c r="N583" s="143"/>
      <c r="O583" s="26"/>
    </row>
    <row r="584" spans="1:15" x14ac:dyDescent="0.25">
      <c r="A584" s="54">
        <v>45240</v>
      </c>
      <c r="B584" s="24">
        <f t="shared" si="36"/>
        <v>11</v>
      </c>
      <c r="C584" s="24">
        <f t="shared" si="37"/>
        <v>2023</v>
      </c>
      <c r="D584" s="104" t="s">
        <v>501</v>
      </c>
      <c r="E584" s="104" t="s">
        <v>343</v>
      </c>
      <c r="K584" s="61">
        <v>200000</v>
      </c>
      <c r="L584" s="49">
        <f t="shared" si="38"/>
        <v>80000</v>
      </c>
      <c r="M584" s="50">
        <f t="shared" si="39"/>
        <v>0</v>
      </c>
      <c r="N584" s="143"/>
      <c r="O584" s="26"/>
    </row>
    <row r="585" spans="1:15" x14ac:dyDescent="0.25">
      <c r="A585" s="54">
        <v>45240</v>
      </c>
      <c r="B585" s="24">
        <f t="shared" si="36"/>
        <v>11</v>
      </c>
      <c r="C585" s="24">
        <f t="shared" si="37"/>
        <v>2023</v>
      </c>
      <c r="D585" s="104" t="s">
        <v>500</v>
      </c>
      <c r="K585" s="61">
        <v>50000</v>
      </c>
      <c r="L585" s="49">
        <f t="shared" si="38"/>
        <v>30000</v>
      </c>
      <c r="M585" s="50">
        <f t="shared" si="39"/>
        <v>0</v>
      </c>
      <c r="N585" s="143"/>
      <c r="O585" s="26"/>
    </row>
    <row r="586" spans="1:15" x14ac:dyDescent="0.25">
      <c r="A586" s="54">
        <v>45243</v>
      </c>
      <c r="B586" s="24">
        <f t="shared" si="36"/>
        <v>11</v>
      </c>
      <c r="C586" s="24">
        <f t="shared" si="37"/>
        <v>2023</v>
      </c>
      <c r="D586" s="104" t="s">
        <v>51</v>
      </c>
      <c r="K586" s="61">
        <v>3000</v>
      </c>
      <c r="L586" s="49">
        <f t="shared" si="38"/>
        <v>27000</v>
      </c>
      <c r="M586" s="50">
        <f t="shared" si="39"/>
        <v>0</v>
      </c>
      <c r="N586" s="143"/>
      <c r="O586" s="26"/>
    </row>
    <row r="587" spans="1:15" x14ac:dyDescent="0.25">
      <c r="A587" s="54">
        <v>45243</v>
      </c>
      <c r="B587" s="24">
        <f t="shared" si="36"/>
        <v>11</v>
      </c>
      <c r="C587" s="24">
        <f t="shared" si="37"/>
        <v>2023</v>
      </c>
      <c r="D587" s="104" t="s">
        <v>89</v>
      </c>
      <c r="E587" s="104" t="s">
        <v>343</v>
      </c>
      <c r="F587" s="104" t="s">
        <v>508</v>
      </c>
      <c r="J587" s="61">
        <v>60000</v>
      </c>
      <c r="L587" s="49">
        <f t="shared" si="38"/>
        <v>87000</v>
      </c>
      <c r="M587" s="50">
        <f t="shared" si="39"/>
        <v>0</v>
      </c>
      <c r="N587" s="143"/>
      <c r="O587" s="26"/>
    </row>
    <row r="588" spans="1:15" x14ac:dyDescent="0.25">
      <c r="A588" s="54">
        <v>45243</v>
      </c>
      <c r="B588" s="24">
        <f t="shared" si="36"/>
        <v>11</v>
      </c>
      <c r="C588" s="24">
        <f t="shared" si="37"/>
        <v>2023</v>
      </c>
      <c r="D588" s="104" t="s">
        <v>89</v>
      </c>
      <c r="E588" s="104" t="s">
        <v>343</v>
      </c>
      <c r="F588" s="104" t="s">
        <v>509</v>
      </c>
      <c r="J588" s="61">
        <v>50000</v>
      </c>
      <c r="L588" s="49">
        <f t="shared" si="38"/>
        <v>137000</v>
      </c>
      <c r="M588" s="50">
        <f t="shared" si="39"/>
        <v>0</v>
      </c>
      <c r="N588" s="143"/>
    </row>
    <row r="589" spans="1:15" x14ac:dyDescent="0.25">
      <c r="A589" s="54">
        <v>45243</v>
      </c>
      <c r="B589" s="24">
        <f t="shared" si="36"/>
        <v>11</v>
      </c>
      <c r="C589" s="24">
        <f t="shared" si="37"/>
        <v>2023</v>
      </c>
      <c r="D589" s="104" t="s">
        <v>124</v>
      </c>
      <c r="E589" s="104" t="s">
        <v>343</v>
      </c>
      <c r="K589" s="61">
        <v>16900</v>
      </c>
      <c r="L589" s="49">
        <f t="shared" si="38"/>
        <v>120100</v>
      </c>
      <c r="M589" s="50">
        <f t="shared" si="39"/>
        <v>0</v>
      </c>
      <c r="N589" s="143"/>
    </row>
    <row r="590" spans="1:15" x14ac:dyDescent="0.25">
      <c r="A590" s="98">
        <v>45199</v>
      </c>
      <c r="B590" s="24">
        <f t="shared" si="36"/>
        <v>9</v>
      </c>
      <c r="C590" s="24">
        <f t="shared" si="37"/>
        <v>2023</v>
      </c>
      <c r="D590" s="111" t="s">
        <v>384</v>
      </c>
      <c r="E590" s="111" t="s">
        <v>343</v>
      </c>
      <c r="F590" s="111"/>
      <c r="G590" s="111"/>
      <c r="H590" s="99"/>
      <c r="I590" s="99"/>
      <c r="J590" s="120">
        <v>55967.4</v>
      </c>
      <c r="K590" s="120"/>
      <c r="L590" s="49">
        <f t="shared" si="38"/>
        <v>176067.4</v>
      </c>
      <c r="M590" s="50">
        <f t="shared" si="39"/>
        <v>0</v>
      </c>
      <c r="N590" s="143"/>
    </row>
    <row r="591" spans="1:15" x14ac:dyDescent="0.25">
      <c r="A591" s="98">
        <v>45199</v>
      </c>
      <c r="B591" s="24">
        <f t="shared" si="36"/>
        <v>9</v>
      </c>
      <c r="C591" s="24">
        <f t="shared" si="37"/>
        <v>2023</v>
      </c>
      <c r="D591" s="111" t="s">
        <v>148</v>
      </c>
      <c r="E591" s="111" t="s">
        <v>343</v>
      </c>
      <c r="F591" s="111" t="s">
        <v>510</v>
      </c>
      <c r="G591" s="111"/>
      <c r="H591" s="99"/>
      <c r="I591" s="99"/>
      <c r="J591" s="120"/>
      <c r="K591" s="120">
        <v>55967.4</v>
      </c>
      <c r="L591" s="49">
        <f t="shared" si="38"/>
        <v>120100</v>
      </c>
      <c r="M591" s="50">
        <f t="shared" si="39"/>
        <v>0</v>
      </c>
      <c r="N591" s="143"/>
    </row>
    <row r="592" spans="1:15" x14ac:dyDescent="0.25">
      <c r="A592" s="98">
        <v>45229</v>
      </c>
      <c r="B592" s="24">
        <f t="shared" si="36"/>
        <v>10</v>
      </c>
      <c r="C592" s="24">
        <f t="shared" si="37"/>
        <v>2023</v>
      </c>
      <c r="D592" s="111" t="s">
        <v>123</v>
      </c>
      <c r="E592" s="111" t="s">
        <v>343</v>
      </c>
      <c r="F592" s="111"/>
      <c r="G592" s="111"/>
      <c r="H592" s="99"/>
      <c r="I592" s="99"/>
      <c r="J592" s="120">
        <v>57790.7</v>
      </c>
      <c r="K592" s="120"/>
      <c r="L592" s="49">
        <f t="shared" si="38"/>
        <v>177890.7</v>
      </c>
      <c r="M592" s="50">
        <f t="shared" si="39"/>
        <v>0</v>
      </c>
      <c r="N592" s="143"/>
    </row>
    <row r="593" spans="1:14" x14ac:dyDescent="0.25">
      <c r="A593" s="98">
        <v>45229</v>
      </c>
      <c r="B593" s="24">
        <f t="shared" si="36"/>
        <v>10</v>
      </c>
      <c r="C593" s="24">
        <f t="shared" si="37"/>
        <v>2023</v>
      </c>
      <c r="D593" s="111" t="s">
        <v>148</v>
      </c>
      <c r="E593" s="111" t="s">
        <v>343</v>
      </c>
      <c r="F593" s="111" t="s">
        <v>511</v>
      </c>
      <c r="G593" s="111"/>
      <c r="H593" s="99"/>
      <c r="I593" s="99"/>
      <c r="J593" s="120"/>
      <c r="K593" s="120">
        <v>57790.7</v>
      </c>
      <c r="L593" s="49">
        <f t="shared" si="38"/>
        <v>120100.00000000001</v>
      </c>
      <c r="M593" s="50">
        <f t="shared" si="39"/>
        <v>0</v>
      </c>
      <c r="N593" s="143"/>
    </row>
    <row r="594" spans="1:14" x14ac:dyDescent="0.25">
      <c r="A594" s="80">
        <v>45243</v>
      </c>
      <c r="B594" s="24">
        <f t="shared" si="36"/>
        <v>11</v>
      </c>
      <c r="C594" s="24">
        <f t="shared" si="37"/>
        <v>2023</v>
      </c>
      <c r="D594" s="107" t="s">
        <v>361</v>
      </c>
      <c r="E594" s="107" t="s">
        <v>343</v>
      </c>
      <c r="F594" s="107"/>
      <c r="G594" s="107"/>
      <c r="H594" s="81"/>
      <c r="I594" s="81"/>
      <c r="J594" s="52"/>
      <c r="K594" s="52">
        <v>90100</v>
      </c>
      <c r="L594" s="49">
        <f t="shared" si="38"/>
        <v>30000.000000000015</v>
      </c>
      <c r="M594" s="50">
        <f t="shared" si="39"/>
        <v>0</v>
      </c>
      <c r="N594" s="143"/>
    </row>
    <row r="595" spans="1:14" x14ac:dyDescent="0.25">
      <c r="A595" s="54">
        <v>45244</v>
      </c>
      <c r="B595" s="24">
        <f t="shared" si="36"/>
        <v>11</v>
      </c>
      <c r="C595" s="24">
        <f t="shared" si="37"/>
        <v>2023</v>
      </c>
      <c r="D595" s="104" t="s">
        <v>109</v>
      </c>
      <c r="E595" s="104" t="s">
        <v>343</v>
      </c>
      <c r="F595" s="104" t="s">
        <v>354</v>
      </c>
      <c r="K595" s="61">
        <v>2000</v>
      </c>
      <c r="L595" s="49">
        <f t="shared" si="38"/>
        <v>28000.000000000015</v>
      </c>
      <c r="M595" s="50">
        <f t="shared" si="39"/>
        <v>0</v>
      </c>
      <c r="N595" s="143"/>
    </row>
    <row r="596" spans="1:14" x14ac:dyDescent="0.25">
      <c r="A596" s="54">
        <v>45244</v>
      </c>
      <c r="B596" s="24">
        <f t="shared" si="36"/>
        <v>11</v>
      </c>
      <c r="C596" s="24">
        <f t="shared" si="37"/>
        <v>2023</v>
      </c>
      <c r="D596" s="104" t="s">
        <v>384</v>
      </c>
      <c r="E596" s="104" t="s">
        <v>343</v>
      </c>
      <c r="J596" s="61">
        <v>159300</v>
      </c>
      <c r="L596" s="49">
        <f t="shared" si="38"/>
        <v>187300</v>
      </c>
      <c r="M596" s="50">
        <f t="shared" si="39"/>
        <v>0</v>
      </c>
      <c r="N596" s="143"/>
    </row>
    <row r="597" spans="1:14" x14ac:dyDescent="0.25">
      <c r="A597" s="54">
        <v>45244</v>
      </c>
      <c r="B597" s="24">
        <f t="shared" si="36"/>
        <v>11</v>
      </c>
      <c r="C597" s="24">
        <f t="shared" si="37"/>
        <v>2023</v>
      </c>
      <c r="D597" s="104" t="s">
        <v>124</v>
      </c>
      <c r="E597" s="104" t="s">
        <v>343</v>
      </c>
      <c r="F597" s="104" t="s">
        <v>100</v>
      </c>
      <c r="K597" s="61">
        <v>159300</v>
      </c>
      <c r="L597" s="49">
        <f t="shared" si="38"/>
        <v>28000</v>
      </c>
      <c r="M597" s="50">
        <f t="shared" si="39"/>
        <v>0</v>
      </c>
      <c r="N597" s="143"/>
    </row>
    <row r="598" spans="1:14" x14ac:dyDescent="0.25">
      <c r="A598" s="54">
        <v>45244</v>
      </c>
      <c r="B598" s="24">
        <f t="shared" si="36"/>
        <v>11</v>
      </c>
      <c r="C598" s="24">
        <f t="shared" si="37"/>
        <v>2023</v>
      </c>
      <c r="D598" s="104" t="s">
        <v>109</v>
      </c>
      <c r="E598" s="104" t="s">
        <v>343</v>
      </c>
      <c r="F598" s="104" t="s">
        <v>309</v>
      </c>
      <c r="K598" s="61">
        <v>14600</v>
      </c>
      <c r="L598" s="49">
        <f t="shared" si="38"/>
        <v>13400</v>
      </c>
      <c r="M598" s="50">
        <f t="shared" si="39"/>
        <v>0</v>
      </c>
      <c r="N598" s="143"/>
    </row>
    <row r="599" spans="1:14" x14ac:dyDescent="0.25">
      <c r="A599" s="54">
        <v>45244</v>
      </c>
      <c r="B599" s="24">
        <f t="shared" si="36"/>
        <v>11</v>
      </c>
      <c r="C599" s="24">
        <f t="shared" si="37"/>
        <v>2023</v>
      </c>
      <c r="D599" s="104" t="s">
        <v>89</v>
      </c>
      <c r="E599" s="104" t="s">
        <v>343</v>
      </c>
      <c r="F599" s="104" t="s">
        <v>427</v>
      </c>
      <c r="J599" s="61">
        <v>30000</v>
      </c>
      <c r="L599" s="49">
        <f t="shared" si="38"/>
        <v>43400</v>
      </c>
      <c r="M599" s="50">
        <f t="shared" si="39"/>
        <v>0</v>
      </c>
      <c r="N599" s="143"/>
    </row>
    <row r="600" spans="1:14" x14ac:dyDescent="0.25">
      <c r="A600" s="80">
        <v>45244</v>
      </c>
      <c r="B600" s="24">
        <f t="shared" si="36"/>
        <v>11</v>
      </c>
      <c r="C600" s="24">
        <f t="shared" si="37"/>
        <v>2023</v>
      </c>
      <c r="D600" s="107" t="s">
        <v>122</v>
      </c>
      <c r="E600" s="107" t="s">
        <v>343</v>
      </c>
      <c r="F600" s="107"/>
      <c r="G600" s="107"/>
      <c r="H600" s="81"/>
      <c r="I600" s="81"/>
      <c r="J600" s="52"/>
      <c r="K600" s="52">
        <v>13400</v>
      </c>
      <c r="L600" s="49">
        <f t="shared" si="38"/>
        <v>30000</v>
      </c>
      <c r="M600" s="50">
        <f t="shared" si="39"/>
        <v>0</v>
      </c>
      <c r="N600" s="143"/>
    </row>
    <row r="601" spans="1:14" x14ac:dyDescent="0.25">
      <c r="A601" s="54">
        <v>45246</v>
      </c>
      <c r="B601" s="24">
        <f t="shared" si="36"/>
        <v>11</v>
      </c>
      <c r="C601" s="24">
        <f t="shared" si="37"/>
        <v>2023</v>
      </c>
      <c r="D601" s="104" t="s">
        <v>109</v>
      </c>
      <c r="E601" s="104" t="s">
        <v>343</v>
      </c>
      <c r="F601" s="104" t="s">
        <v>189</v>
      </c>
      <c r="K601" s="61">
        <v>1800</v>
      </c>
      <c r="L601" s="49">
        <f t="shared" si="38"/>
        <v>28200</v>
      </c>
      <c r="M601" s="50">
        <f t="shared" si="39"/>
        <v>0</v>
      </c>
      <c r="N601" s="143"/>
    </row>
    <row r="602" spans="1:14" x14ac:dyDescent="0.25">
      <c r="A602" s="54">
        <v>45246</v>
      </c>
      <c r="B602" s="24">
        <f t="shared" si="36"/>
        <v>11</v>
      </c>
      <c r="C602" s="24">
        <f t="shared" si="37"/>
        <v>2023</v>
      </c>
      <c r="D602" s="104" t="s">
        <v>135</v>
      </c>
      <c r="E602" s="104" t="s">
        <v>343</v>
      </c>
      <c r="F602" s="104" t="s">
        <v>458</v>
      </c>
      <c r="K602" s="61">
        <v>2000</v>
      </c>
      <c r="L602" s="49">
        <f t="shared" si="38"/>
        <v>26200</v>
      </c>
      <c r="M602" s="50">
        <f t="shared" si="39"/>
        <v>0</v>
      </c>
      <c r="N602" s="143"/>
    </row>
    <row r="603" spans="1:14" x14ac:dyDescent="0.25">
      <c r="A603" s="54">
        <v>45246</v>
      </c>
      <c r="B603" s="24">
        <f t="shared" si="36"/>
        <v>11</v>
      </c>
      <c r="C603" s="24">
        <f t="shared" si="37"/>
        <v>2023</v>
      </c>
      <c r="D603" s="104" t="s">
        <v>384</v>
      </c>
      <c r="E603" s="104" t="s">
        <v>343</v>
      </c>
      <c r="J603" s="61">
        <v>20000</v>
      </c>
      <c r="L603" s="49">
        <f t="shared" si="38"/>
        <v>46200</v>
      </c>
      <c r="M603" s="50">
        <f t="shared" si="39"/>
        <v>0</v>
      </c>
      <c r="N603" s="143"/>
    </row>
    <row r="604" spans="1:14" x14ac:dyDescent="0.25">
      <c r="A604" s="54">
        <v>45246</v>
      </c>
      <c r="B604" s="24">
        <f t="shared" si="36"/>
        <v>11</v>
      </c>
      <c r="C604" s="24">
        <f t="shared" si="37"/>
        <v>2023</v>
      </c>
      <c r="D604" s="104" t="s">
        <v>503</v>
      </c>
      <c r="F604" s="104" t="s">
        <v>520</v>
      </c>
      <c r="K604" s="61">
        <v>20000</v>
      </c>
      <c r="L604" s="49">
        <f t="shared" si="38"/>
        <v>26200</v>
      </c>
      <c r="M604" s="50">
        <f t="shared" si="39"/>
        <v>0</v>
      </c>
      <c r="N604" s="143"/>
    </row>
    <row r="605" spans="1:14" x14ac:dyDescent="0.25">
      <c r="A605" s="54">
        <v>45246</v>
      </c>
      <c r="B605" s="24">
        <f t="shared" si="36"/>
        <v>11</v>
      </c>
      <c r="C605" s="24">
        <f t="shared" si="37"/>
        <v>2023</v>
      </c>
      <c r="D605" s="104" t="s">
        <v>147</v>
      </c>
      <c r="E605" s="104" t="s">
        <v>343</v>
      </c>
      <c r="F605" s="104" t="s">
        <v>204</v>
      </c>
      <c r="K605" s="61">
        <v>4000</v>
      </c>
      <c r="L605" s="49">
        <f t="shared" si="38"/>
        <v>22200</v>
      </c>
      <c r="M605" s="50">
        <f t="shared" si="39"/>
        <v>0</v>
      </c>
      <c r="N605" s="143"/>
    </row>
    <row r="606" spans="1:14" x14ac:dyDescent="0.25">
      <c r="A606" s="54">
        <v>45246</v>
      </c>
      <c r="B606" s="24">
        <f t="shared" si="36"/>
        <v>11</v>
      </c>
      <c r="C606" s="24">
        <f t="shared" si="37"/>
        <v>2023</v>
      </c>
      <c r="D606" s="104" t="s">
        <v>92</v>
      </c>
      <c r="E606" s="104" t="s">
        <v>92</v>
      </c>
      <c r="F606" s="104" t="s">
        <v>521</v>
      </c>
      <c r="K606" s="61">
        <v>7000</v>
      </c>
      <c r="L606" s="49">
        <f t="shared" si="38"/>
        <v>15200</v>
      </c>
      <c r="M606" s="50">
        <f t="shared" si="39"/>
        <v>0</v>
      </c>
      <c r="N606" s="143"/>
    </row>
    <row r="607" spans="1:14" x14ac:dyDescent="0.25">
      <c r="A607" s="82">
        <v>45246</v>
      </c>
      <c r="B607" s="24">
        <f t="shared" si="36"/>
        <v>11</v>
      </c>
      <c r="C607" s="24">
        <f t="shared" si="37"/>
        <v>2023</v>
      </c>
      <c r="D607" s="110" t="s">
        <v>384</v>
      </c>
      <c r="E607" s="110" t="s">
        <v>343</v>
      </c>
      <c r="F607" s="110"/>
      <c r="G607" s="110"/>
      <c r="H607" s="83"/>
      <c r="I607" s="83"/>
      <c r="J607" s="119">
        <v>14800</v>
      </c>
      <c r="L607" s="49">
        <f t="shared" si="38"/>
        <v>30000</v>
      </c>
      <c r="M607" s="50">
        <f t="shared" si="39"/>
        <v>0</v>
      </c>
      <c r="N607" s="143"/>
    </row>
    <row r="608" spans="1:14" x14ac:dyDescent="0.25">
      <c r="A608" s="54">
        <v>45247</v>
      </c>
      <c r="B608" s="24">
        <f t="shared" si="36"/>
        <v>11</v>
      </c>
      <c r="C608" s="24">
        <f t="shared" si="37"/>
        <v>2023</v>
      </c>
      <c r="D608" s="104" t="s">
        <v>384</v>
      </c>
      <c r="E608" s="104" t="s">
        <v>343</v>
      </c>
      <c r="J608" s="61">
        <v>97500</v>
      </c>
      <c r="L608" s="49">
        <f t="shared" si="38"/>
        <v>127500</v>
      </c>
      <c r="M608" s="50">
        <f t="shared" si="39"/>
        <v>0</v>
      </c>
      <c r="N608" s="143"/>
    </row>
    <row r="609" spans="1:14" x14ac:dyDescent="0.25">
      <c r="A609" s="54">
        <v>45247</v>
      </c>
      <c r="B609" s="24">
        <f t="shared" si="36"/>
        <v>11</v>
      </c>
      <c r="C609" s="24">
        <f t="shared" si="37"/>
        <v>2023</v>
      </c>
      <c r="D609" s="104" t="s">
        <v>124</v>
      </c>
      <c r="F609" s="104" t="s">
        <v>385</v>
      </c>
      <c r="K609" s="61">
        <v>97500</v>
      </c>
      <c r="L609" s="49">
        <f t="shared" si="38"/>
        <v>30000</v>
      </c>
      <c r="M609" s="50">
        <f t="shared" si="39"/>
        <v>0</v>
      </c>
      <c r="N609" s="143"/>
    </row>
    <row r="610" spans="1:14" x14ac:dyDescent="0.25">
      <c r="A610" s="54">
        <v>45247</v>
      </c>
      <c r="B610" s="24">
        <f t="shared" si="36"/>
        <v>11</v>
      </c>
      <c r="C610" s="24">
        <f t="shared" si="37"/>
        <v>2023</v>
      </c>
      <c r="D610" s="104" t="s">
        <v>384</v>
      </c>
      <c r="E610" s="104" t="s">
        <v>343</v>
      </c>
      <c r="J610" s="61">
        <v>250000</v>
      </c>
      <c r="L610" s="49">
        <f t="shared" si="38"/>
        <v>280000</v>
      </c>
      <c r="M610" s="50">
        <f t="shared" si="39"/>
        <v>0</v>
      </c>
      <c r="N610" s="143"/>
    </row>
    <row r="611" spans="1:14" x14ac:dyDescent="0.25">
      <c r="A611" s="54">
        <v>45247</v>
      </c>
      <c r="B611" s="24">
        <f t="shared" si="36"/>
        <v>11</v>
      </c>
      <c r="C611" s="24">
        <f t="shared" si="37"/>
        <v>2023</v>
      </c>
      <c r="D611" s="104" t="s">
        <v>501</v>
      </c>
      <c r="E611" s="104" t="s">
        <v>343</v>
      </c>
      <c r="K611" s="61">
        <v>200000</v>
      </c>
      <c r="L611" s="49">
        <f t="shared" si="38"/>
        <v>80000</v>
      </c>
      <c r="M611" s="50">
        <f t="shared" si="39"/>
        <v>0</v>
      </c>
      <c r="N611" s="143"/>
    </row>
    <row r="612" spans="1:14" x14ac:dyDescent="0.25">
      <c r="A612" s="54">
        <v>45247</v>
      </c>
      <c r="B612" s="24">
        <f t="shared" si="36"/>
        <v>11</v>
      </c>
      <c r="C612" s="24">
        <f t="shared" si="37"/>
        <v>2023</v>
      </c>
      <c r="D612" s="104" t="s">
        <v>500</v>
      </c>
      <c r="E612" s="104" t="s">
        <v>343</v>
      </c>
      <c r="K612" s="61">
        <v>50000</v>
      </c>
      <c r="L612" s="49">
        <f t="shared" si="38"/>
        <v>30000</v>
      </c>
      <c r="M612" s="50">
        <f t="shared" si="39"/>
        <v>0</v>
      </c>
      <c r="N612" s="143"/>
    </row>
    <row r="613" spans="1:14" x14ac:dyDescent="0.25">
      <c r="A613" s="54">
        <v>45248</v>
      </c>
      <c r="B613" s="24">
        <f t="shared" si="36"/>
        <v>11</v>
      </c>
      <c r="C613" s="24">
        <f t="shared" si="37"/>
        <v>2023</v>
      </c>
      <c r="D613" s="104" t="s">
        <v>352</v>
      </c>
      <c r="E613" s="104" t="s">
        <v>343</v>
      </c>
      <c r="F613" s="104" t="s">
        <v>522</v>
      </c>
      <c r="J613" s="61">
        <v>5950</v>
      </c>
      <c r="L613" s="49">
        <f t="shared" si="38"/>
        <v>35950</v>
      </c>
      <c r="M613" s="50">
        <f t="shared" si="39"/>
        <v>0</v>
      </c>
      <c r="N613" s="143"/>
    </row>
    <row r="614" spans="1:14" x14ac:dyDescent="0.25">
      <c r="A614" s="54">
        <v>45248</v>
      </c>
      <c r="B614" s="24">
        <f t="shared" si="36"/>
        <v>11</v>
      </c>
      <c r="C614" s="24">
        <f t="shared" si="37"/>
        <v>2023</v>
      </c>
      <c r="D614" s="104" t="s">
        <v>352</v>
      </c>
      <c r="E614" s="104" t="s">
        <v>343</v>
      </c>
      <c r="F614" s="104" t="s">
        <v>525</v>
      </c>
      <c r="J614" s="61">
        <v>198000</v>
      </c>
      <c r="L614" s="49">
        <f t="shared" si="38"/>
        <v>233950</v>
      </c>
      <c r="M614" s="50">
        <f t="shared" si="39"/>
        <v>0</v>
      </c>
      <c r="N614" s="143"/>
    </row>
    <row r="615" spans="1:14" x14ac:dyDescent="0.25">
      <c r="A615" s="80">
        <v>45248</v>
      </c>
      <c r="B615" s="24">
        <f t="shared" si="36"/>
        <v>11</v>
      </c>
      <c r="C615" s="24">
        <f t="shared" si="37"/>
        <v>2023</v>
      </c>
      <c r="D615" s="107" t="s">
        <v>361</v>
      </c>
      <c r="E615" s="107" t="s">
        <v>343</v>
      </c>
      <c r="F615" s="107"/>
      <c r="G615" s="107"/>
      <c r="H615" s="81"/>
      <c r="I615" s="81"/>
      <c r="J615" s="52"/>
      <c r="K615" s="52">
        <v>203950</v>
      </c>
      <c r="L615" s="49">
        <f t="shared" si="38"/>
        <v>30000</v>
      </c>
      <c r="M615" s="50">
        <f t="shared" si="39"/>
        <v>0</v>
      </c>
      <c r="N615" s="143"/>
    </row>
    <row r="616" spans="1:14" x14ac:dyDescent="0.25">
      <c r="A616" s="54">
        <v>45251</v>
      </c>
      <c r="B616" s="24">
        <f t="shared" si="36"/>
        <v>11</v>
      </c>
      <c r="C616" s="24">
        <f t="shared" si="37"/>
        <v>2023</v>
      </c>
      <c r="D616" s="104" t="s">
        <v>352</v>
      </c>
      <c r="E616" s="104" t="s">
        <v>343</v>
      </c>
      <c r="F616" s="104" t="s">
        <v>527</v>
      </c>
      <c r="J616" s="61">
        <v>500</v>
      </c>
      <c r="L616" s="49">
        <f t="shared" si="38"/>
        <v>30500</v>
      </c>
      <c r="M616" s="50">
        <f t="shared" si="39"/>
        <v>0</v>
      </c>
      <c r="N616" s="143"/>
    </row>
    <row r="617" spans="1:14" x14ac:dyDescent="0.25">
      <c r="A617" s="54">
        <v>45251</v>
      </c>
      <c r="B617" s="24">
        <f t="shared" si="36"/>
        <v>11</v>
      </c>
      <c r="C617" s="24">
        <f t="shared" si="37"/>
        <v>2023</v>
      </c>
      <c r="D617" s="104" t="s">
        <v>352</v>
      </c>
      <c r="E617" s="104" t="s">
        <v>343</v>
      </c>
      <c r="F617" s="104" t="s">
        <v>353</v>
      </c>
      <c r="J617" s="61">
        <v>20000</v>
      </c>
      <c r="L617" s="49">
        <f t="shared" si="38"/>
        <v>50500</v>
      </c>
      <c r="M617" s="50">
        <f t="shared" si="39"/>
        <v>0</v>
      </c>
      <c r="N617" s="143"/>
    </row>
    <row r="618" spans="1:14" x14ac:dyDescent="0.25">
      <c r="A618" s="54">
        <v>45251</v>
      </c>
      <c r="B618" s="24">
        <f t="shared" si="36"/>
        <v>11</v>
      </c>
      <c r="C618" s="24">
        <f t="shared" si="37"/>
        <v>2023</v>
      </c>
      <c r="D618" s="104" t="s">
        <v>352</v>
      </c>
      <c r="E618" s="104" t="s">
        <v>343</v>
      </c>
      <c r="F618" s="104" t="s">
        <v>528</v>
      </c>
      <c r="J618" s="61">
        <v>40000</v>
      </c>
      <c r="L618" s="49">
        <f t="shared" si="38"/>
        <v>90500</v>
      </c>
      <c r="M618" s="50">
        <f t="shared" si="39"/>
        <v>0</v>
      </c>
      <c r="N618" s="143"/>
    </row>
    <row r="619" spans="1:14" x14ac:dyDescent="0.25">
      <c r="A619" s="54">
        <v>45251</v>
      </c>
      <c r="B619" s="24">
        <f t="shared" si="36"/>
        <v>11</v>
      </c>
      <c r="C619" s="24">
        <f t="shared" si="37"/>
        <v>2023</v>
      </c>
      <c r="D619" s="104" t="s">
        <v>352</v>
      </c>
      <c r="E619" s="104" t="s">
        <v>343</v>
      </c>
      <c r="F619" s="104" t="s">
        <v>430</v>
      </c>
      <c r="J619" s="61">
        <v>113400</v>
      </c>
      <c r="L619" s="49">
        <f t="shared" si="38"/>
        <v>203900</v>
      </c>
      <c r="M619" s="50">
        <f t="shared" si="39"/>
        <v>0</v>
      </c>
      <c r="N619" s="143"/>
    </row>
    <row r="620" spans="1:14" x14ac:dyDescent="0.25">
      <c r="A620" s="80">
        <v>45251</v>
      </c>
      <c r="B620" s="24">
        <f t="shared" si="36"/>
        <v>11</v>
      </c>
      <c r="C620" s="24">
        <f t="shared" si="37"/>
        <v>2023</v>
      </c>
      <c r="D620" s="107" t="s">
        <v>122</v>
      </c>
      <c r="E620" s="107" t="s">
        <v>343</v>
      </c>
      <c r="F620" s="107"/>
      <c r="G620" s="107"/>
      <c r="H620" s="81"/>
      <c r="I620" s="81"/>
      <c r="J620" s="52"/>
      <c r="K620" s="52">
        <v>173900</v>
      </c>
      <c r="L620" s="49">
        <f t="shared" si="38"/>
        <v>30000</v>
      </c>
      <c r="M620" s="50">
        <f t="shared" si="39"/>
        <v>0</v>
      </c>
      <c r="N620" s="143"/>
    </row>
    <row r="621" spans="1:14" x14ac:dyDescent="0.25">
      <c r="A621" s="54">
        <v>45252</v>
      </c>
      <c r="B621" s="24">
        <f t="shared" si="36"/>
        <v>11</v>
      </c>
      <c r="C621" s="24">
        <f t="shared" si="37"/>
        <v>2023</v>
      </c>
      <c r="D621" s="104" t="s">
        <v>352</v>
      </c>
      <c r="E621" s="104" t="s">
        <v>343</v>
      </c>
      <c r="F621" s="104" t="s">
        <v>530</v>
      </c>
      <c r="J621" s="61">
        <v>15000</v>
      </c>
      <c r="L621" s="49">
        <f t="shared" si="38"/>
        <v>45000</v>
      </c>
      <c r="M621" s="50">
        <f t="shared" si="39"/>
        <v>0</v>
      </c>
      <c r="N621" s="143"/>
    </row>
    <row r="622" spans="1:14" x14ac:dyDescent="0.25">
      <c r="A622" s="54">
        <v>45252</v>
      </c>
      <c r="B622" s="24">
        <f t="shared" si="36"/>
        <v>11</v>
      </c>
      <c r="C622" s="24">
        <f t="shared" si="37"/>
        <v>2023</v>
      </c>
      <c r="D622" s="104" t="s">
        <v>352</v>
      </c>
      <c r="E622" s="104" t="s">
        <v>343</v>
      </c>
      <c r="F622" s="104" t="s">
        <v>531</v>
      </c>
      <c r="J622" s="61">
        <v>5100</v>
      </c>
      <c r="L622" s="49">
        <f t="shared" si="38"/>
        <v>50100</v>
      </c>
      <c r="M622" s="50">
        <f t="shared" si="39"/>
        <v>0</v>
      </c>
      <c r="N622" s="143"/>
    </row>
    <row r="623" spans="1:14" x14ac:dyDescent="0.25">
      <c r="A623" s="66">
        <v>45252</v>
      </c>
      <c r="B623" s="24">
        <f t="shared" si="36"/>
        <v>11</v>
      </c>
      <c r="C623" s="24">
        <f t="shared" si="37"/>
        <v>2023</v>
      </c>
      <c r="D623" s="109" t="s">
        <v>352</v>
      </c>
      <c r="E623" s="109" t="s">
        <v>343</v>
      </c>
      <c r="F623" s="109" t="s">
        <v>532</v>
      </c>
      <c r="G623" s="109"/>
      <c r="H623" s="14"/>
      <c r="I623" s="14"/>
      <c r="J623" s="118">
        <v>20700</v>
      </c>
      <c r="K623" s="52"/>
      <c r="L623" s="49">
        <f t="shared" si="38"/>
        <v>70800</v>
      </c>
      <c r="M623" s="50">
        <f t="shared" si="39"/>
        <v>0</v>
      </c>
      <c r="N623" s="143"/>
    </row>
    <row r="624" spans="1:14" x14ac:dyDescent="0.25">
      <c r="A624" s="80">
        <v>45252</v>
      </c>
      <c r="B624" s="24">
        <f t="shared" si="36"/>
        <v>11</v>
      </c>
      <c r="C624" s="24">
        <f t="shared" si="37"/>
        <v>2023</v>
      </c>
      <c r="D624" s="107" t="s">
        <v>122</v>
      </c>
      <c r="E624" s="107" t="s">
        <v>343</v>
      </c>
      <c r="F624" s="107"/>
      <c r="G624" s="107"/>
      <c r="H624" s="81"/>
      <c r="I624" s="81"/>
      <c r="J624" s="52"/>
      <c r="K624" s="52">
        <v>40800</v>
      </c>
      <c r="L624" s="49">
        <f t="shared" si="38"/>
        <v>30000</v>
      </c>
      <c r="M624" s="50">
        <f t="shared" si="39"/>
        <v>0</v>
      </c>
      <c r="N624" s="143"/>
    </row>
    <row r="625" spans="1:14" x14ac:dyDescent="0.25">
      <c r="A625" s="54">
        <v>45253</v>
      </c>
      <c r="B625" s="24">
        <f t="shared" si="36"/>
        <v>11</v>
      </c>
      <c r="C625" s="24">
        <f t="shared" si="37"/>
        <v>2023</v>
      </c>
      <c r="D625" s="104" t="s">
        <v>352</v>
      </c>
      <c r="E625" s="104" t="s">
        <v>343</v>
      </c>
      <c r="F625" s="104" t="s">
        <v>535</v>
      </c>
      <c r="J625" s="61">
        <v>80000</v>
      </c>
      <c r="L625" s="49">
        <f t="shared" si="38"/>
        <v>110000</v>
      </c>
      <c r="M625" s="50">
        <f t="shared" si="39"/>
        <v>0</v>
      </c>
      <c r="N625" s="143"/>
    </row>
    <row r="626" spans="1:14" x14ac:dyDescent="0.25">
      <c r="A626" s="54">
        <v>45253</v>
      </c>
      <c r="B626" s="24">
        <f t="shared" si="36"/>
        <v>11</v>
      </c>
      <c r="C626" s="24">
        <f t="shared" si="37"/>
        <v>2023</v>
      </c>
      <c r="D626" s="104" t="s">
        <v>352</v>
      </c>
      <c r="E626" s="104" t="s">
        <v>343</v>
      </c>
      <c r="F626" s="104" t="s">
        <v>374</v>
      </c>
      <c r="J626" s="61">
        <v>10800</v>
      </c>
      <c r="L626" s="49">
        <f t="shared" si="38"/>
        <v>120800</v>
      </c>
      <c r="M626" s="50">
        <f t="shared" si="39"/>
        <v>0</v>
      </c>
      <c r="N626" s="143"/>
    </row>
    <row r="627" spans="1:14" x14ac:dyDescent="0.25">
      <c r="A627" s="54">
        <v>45253</v>
      </c>
      <c r="B627" s="24">
        <f t="shared" si="36"/>
        <v>11</v>
      </c>
      <c r="C627" s="24">
        <f t="shared" si="37"/>
        <v>2023</v>
      </c>
      <c r="D627" s="104" t="s">
        <v>51</v>
      </c>
      <c r="E627" s="104" t="s">
        <v>92</v>
      </c>
      <c r="F627" s="104" t="s">
        <v>537</v>
      </c>
      <c r="K627" s="61">
        <v>25000</v>
      </c>
      <c r="L627" s="49">
        <f t="shared" si="38"/>
        <v>95800</v>
      </c>
      <c r="M627" s="50">
        <f t="shared" si="39"/>
        <v>0</v>
      </c>
      <c r="N627" s="143"/>
    </row>
    <row r="628" spans="1:14" x14ac:dyDescent="0.25">
      <c r="A628" s="54">
        <v>45253</v>
      </c>
      <c r="B628" s="24">
        <f t="shared" si="36"/>
        <v>11</v>
      </c>
      <c r="C628" s="24">
        <f t="shared" si="37"/>
        <v>2023</v>
      </c>
      <c r="D628" s="104" t="s">
        <v>352</v>
      </c>
      <c r="E628" s="104" t="s">
        <v>343</v>
      </c>
      <c r="F628" s="104" t="s">
        <v>447</v>
      </c>
      <c r="J628" s="61">
        <v>110000</v>
      </c>
      <c r="L628" s="49">
        <f t="shared" si="38"/>
        <v>205800</v>
      </c>
      <c r="M628" s="50">
        <f t="shared" si="39"/>
        <v>0</v>
      </c>
      <c r="N628" s="143"/>
    </row>
    <row r="629" spans="1:14" x14ac:dyDescent="0.25">
      <c r="A629" s="54">
        <v>45253</v>
      </c>
      <c r="B629" s="24">
        <f t="shared" si="36"/>
        <v>11</v>
      </c>
      <c r="C629" s="24">
        <f t="shared" si="37"/>
        <v>2023</v>
      </c>
      <c r="D629" s="104" t="s">
        <v>352</v>
      </c>
      <c r="E629" s="104" t="s">
        <v>343</v>
      </c>
      <c r="F629" s="104" t="s">
        <v>538</v>
      </c>
      <c r="J629" s="61">
        <v>4400</v>
      </c>
      <c r="L629" s="49">
        <f t="shared" si="38"/>
        <v>210200</v>
      </c>
      <c r="M629" s="50">
        <f t="shared" si="39"/>
        <v>0</v>
      </c>
      <c r="N629" s="143"/>
    </row>
    <row r="630" spans="1:14" x14ac:dyDescent="0.25">
      <c r="A630" s="54">
        <v>45253</v>
      </c>
      <c r="B630" s="24">
        <f t="shared" si="36"/>
        <v>11</v>
      </c>
      <c r="C630" s="24">
        <f t="shared" si="37"/>
        <v>2023</v>
      </c>
      <c r="D630" s="104" t="s">
        <v>352</v>
      </c>
      <c r="E630" s="104" t="s">
        <v>343</v>
      </c>
      <c r="F630" s="104" t="s">
        <v>549</v>
      </c>
      <c r="J630" s="61">
        <v>15000</v>
      </c>
      <c r="L630" s="49">
        <f t="shared" si="38"/>
        <v>225200</v>
      </c>
      <c r="M630" s="50">
        <f t="shared" si="39"/>
        <v>0</v>
      </c>
      <c r="N630" s="143"/>
    </row>
    <row r="631" spans="1:14" x14ac:dyDescent="0.25">
      <c r="A631" s="80">
        <v>45253</v>
      </c>
      <c r="B631" s="24">
        <f t="shared" si="36"/>
        <v>11</v>
      </c>
      <c r="C631" s="24">
        <f t="shared" si="37"/>
        <v>2023</v>
      </c>
      <c r="D631" s="107" t="s">
        <v>361</v>
      </c>
      <c r="E631" s="107" t="s">
        <v>343</v>
      </c>
      <c r="F631" s="107"/>
      <c r="G631" s="107"/>
      <c r="H631" s="81"/>
      <c r="I631" s="81"/>
      <c r="J631" s="52"/>
      <c r="K631" s="52">
        <v>195200</v>
      </c>
      <c r="L631" s="49">
        <f t="shared" si="38"/>
        <v>30000</v>
      </c>
      <c r="M631" s="50">
        <f t="shared" si="39"/>
        <v>0</v>
      </c>
      <c r="N631" s="143"/>
    </row>
    <row r="632" spans="1:14" x14ac:dyDescent="0.25">
      <c r="A632" s="54">
        <v>45254</v>
      </c>
      <c r="B632" s="24">
        <f t="shared" si="36"/>
        <v>11</v>
      </c>
      <c r="C632" s="24">
        <f t="shared" si="37"/>
        <v>2023</v>
      </c>
      <c r="D632" s="104" t="s">
        <v>384</v>
      </c>
      <c r="E632" s="104" t="s">
        <v>343</v>
      </c>
      <c r="J632" s="61">
        <v>2000</v>
      </c>
      <c r="L632" s="49">
        <f t="shared" si="38"/>
        <v>32000</v>
      </c>
      <c r="M632" s="50">
        <f t="shared" si="39"/>
        <v>0</v>
      </c>
      <c r="N632" s="143"/>
    </row>
    <row r="633" spans="1:14" x14ac:dyDescent="0.25">
      <c r="A633" s="54">
        <v>45254</v>
      </c>
      <c r="B633" s="24">
        <f t="shared" si="36"/>
        <v>11</v>
      </c>
      <c r="C633" s="24">
        <f t="shared" si="37"/>
        <v>2023</v>
      </c>
      <c r="D633" s="104" t="s">
        <v>503</v>
      </c>
      <c r="E633" s="104" t="s">
        <v>343</v>
      </c>
      <c r="F633" s="104" t="s">
        <v>520</v>
      </c>
      <c r="K633" s="61">
        <v>2000</v>
      </c>
      <c r="L633" s="49">
        <f t="shared" si="38"/>
        <v>30000</v>
      </c>
      <c r="M633" s="50">
        <f t="shared" si="39"/>
        <v>0</v>
      </c>
      <c r="N633" s="143"/>
    </row>
    <row r="634" spans="1:14" x14ac:dyDescent="0.25">
      <c r="A634" s="54">
        <v>45254</v>
      </c>
      <c r="B634" s="24">
        <f t="shared" si="36"/>
        <v>11</v>
      </c>
      <c r="C634" s="24">
        <f t="shared" si="37"/>
        <v>2023</v>
      </c>
      <c r="D634" s="104" t="s">
        <v>483</v>
      </c>
      <c r="E634" s="104" t="s">
        <v>343</v>
      </c>
      <c r="J634" s="61">
        <v>4000</v>
      </c>
      <c r="L634" s="49">
        <f t="shared" si="38"/>
        <v>34000</v>
      </c>
      <c r="M634" s="50">
        <f t="shared" si="39"/>
        <v>0</v>
      </c>
      <c r="N634" s="143"/>
    </row>
    <row r="635" spans="1:14" x14ac:dyDescent="0.25">
      <c r="A635" s="54">
        <v>45254</v>
      </c>
      <c r="B635" s="24">
        <f t="shared" si="36"/>
        <v>11</v>
      </c>
      <c r="C635" s="24">
        <f t="shared" si="37"/>
        <v>2023</v>
      </c>
      <c r="D635" s="104" t="s">
        <v>109</v>
      </c>
      <c r="E635" s="104" t="s">
        <v>92</v>
      </c>
      <c r="F635" s="104" t="s">
        <v>539</v>
      </c>
      <c r="K635" s="61">
        <v>4000</v>
      </c>
      <c r="L635" s="49">
        <f t="shared" si="38"/>
        <v>30000</v>
      </c>
      <c r="M635" s="50">
        <f t="shared" si="39"/>
        <v>0</v>
      </c>
      <c r="N635" s="143"/>
    </row>
    <row r="636" spans="1:14" x14ac:dyDescent="0.25">
      <c r="A636" s="54">
        <v>45254</v>
      </c>
      <c r="B636" s="24">
        <f t="shared" si="36"/>
        <v>11</v>
      </c>
      <c r="C636" s="24">
        <f t="shared" si="37"/>
        <v>2023</v>
      </c>
      <c r="D636" s="104" t="s">
        <v>352</v>
      </c>
      <c r="E636" s="104" t="s">
        <v>343</v>
      </c>
      <c r="F636" s="104" t="s">
        <v>540</v>
      </c>
      <c r="J636" s="61">
        <v>4000</v>
      </c>
      <c r="L636" s="49">
        <f t="shared" si="38"/>
        <v>34000</v>
      </c>
      <c r="M636" s="50">
        <f t="shared" si="39"/>
        <v>0</v>
      </c>
      <c r="N636" s="143"/>
    </row>
    <row r="637" spans="1:14" x14ac:dyDescent="0.25">
      <c r="A637" s="54">
        <v>45254</v>
      </c>
      <c r="B637" s="24">
        <f t="shared" si="36"/>
        <v>11</v>
      </c>
      <c r="C637" s="24">
        <f t="shared" si="37"/>
        <v>2023</v>
      </c>
      <c r="D637" s="104" t="s">
        <v>109</v>
      </c>
      <c r="E637" s="104" t="s">
        <v>343</v>
      </c>
      <c r="F637" s="104" t="s">
        <v>219</v>
      </c>
      <c r="K637" s="61">
        <v>1500</v>
      </c>
      <c r="L637" s="49">
        <f t="shared" si="38"/>
        <v>32500</v>
      </c>
      <c r="M637" s="50">
        <f t="shared" si="39"/>
        <v>0</v>
      </c>
      <c r="N637" s="143"/>
    </row>
    <row r="638" spans="1:14" x14ac:dyDescent="0.25">
      <c r="A638" s="80">
        <v>45254</v>
      </c>
      <c r="B638" s="24">
        <f t="shared" si="36"/>
        <v>11</v>
      </c>
      <c r="C638" s="24">
        <f t="shared" si="37"/>
        <v>2023</v>
      </c>
      <c r="D638" s="107" t="s">
        <v>122</v>
      </c>
      <c r="E638" s="107" t="s">
        <v>343</v>
      </c>
      <c r="F638" s="107"/>
      <c r="G638" s="107"/>
      <c r="H638" s="81"/>
      <c r="I638" s="81"/>
      <c r="J638" s="52"/>
      <c r="K638" s="52">
        <v>2500</v>
      </c>
      <c r="L638" s="49">
        <f t="shared" si="38"/>
        <v>30000</v>
      </c>
      <c r="M638" s="50">
        <f t="shared" si="39"/>
        <v>0</v>
      </c>
      <c r="N638" s="143"/>
    </row>
    <row r="639" spans="1:14" x14ac:dyDescent="0.25">
      <c r="A639" s="54">
        <v>45254</v>
      </c>
      <c r="B639" s="24">
        <f t="shared" si="36"/>
        <v>11</v>
      </c>
      <c r="C639" s="24">
        <f t="shared" si="37"/>
        <v>2023</v>
      </c>
      <c r="D639" s="104" t="s">
        <v>384</v>
      </c>
      <c r="E639" s="104" t="s">
        <v>343</v>
      </c>
      <c r="J639" s="61">
        <v>250000</v>
      </c>
      <c r="L639" s="49">
        <f t="shared" si="38"/>
        <v>280000</v>
      </c>
      <c r="M639" s="50">
        <f t="shared" si="39"/>
        <v>0</v>
      </c>
      <c r="N639" s="143"/>
    </row>
    <row r="640" spans="1:14" x14ac:dyDescent="0.25">
      <c r="A640" s="54">
        <v>45254</v>
      </c>
      <c r="B640" s="24">
        <f t="shared" si="36"/>
        <v>11</v>
      </c>
      <c r="C640" s="24">
        <f t="shared" si="37"/>
        <v>2023</v>
      </c>
      <c r="D640" s="104" t="s">
        <v>500</v>
      </c>
      <c r="E640" s="104" t="s">
        <v>343</v>
      </c>
      <c r="K640" s="61">
        <v>50000</v>
      </c>
      <c r="L640" s="49">
        <f t="shared" si="38"/>
        <v>230000</v>
      </c>
      <c r="M640" s="50">
        <f t="shared" si="39"/>
        <v>0</v>
      </c>
      <c r="N640" s="143"/>
    </row>
    <row r="641" spans="1:14" x14ac:dyDescent="0.25">
      <c r="A641" s="54">
        <v>45254</v>
      </c>
      <c r="B641" s="24">
        <f t="shared" si="36"/>
        <v>11</v>
      </c>
      <c r="C641" s="24">
        <f t="shared" si="37"/>
        <v>2023</v>
      </c>
      <c r="D641" s="104" t="s">
        <v>501</v>
      </c>
      <c r="E641" s="104" t="s">
        <v>343</v>
      </c>
      <c r="K641" s="61">
        <v>200000</v>
      </c>
      <c r="L641" s="49">
        <f t="shared" si="38"/>
        <v>30000</v>
      </c>
      <c r="M641" s="50">
        <f t="shared" si="39"/>
        <v>0</v>
      </c>
      <c r="N641" s="143"/>
    </row>
    <row r="642" spans="1:14" x14ac:dyDescent="0.25">
      <c r="A642" s="54">
        <v>45255</v>
      </c>
      <c r="B642" s="24">
        <f t="shared" si="36"/>
        <v>11</v>
      </c>
      <c r="C642" s="24">
        <f t="shared" si="37"/>
        <v>2023</v>
      </c>
      <c r="D642" s="104" t="s">
        <v>352</v>
      </c>
      <c r="E642" s="104" t="s">
        <v>343</v>
      </c>
      <c r="F642" s="104" t="s">
        <v>542</v>
      </c>
      <c r="J642" s="61">
        <v>60000</v>
      </c>
      <c r="L642" s="49">
        <f t="shared" si="38"/>
        <v>90000</v>
      </c>
      <c r="M642" s="50">
        <f t="shared" si="39"/>
        <v>0</v>
      </c>
    </row>
    <row r="643" spans="1:14" x14ac:dyDescent="0.25">
      <c r="A643" s="80">
        <v>45255</v>
      </c>
      <c r="B643" s="24">
        <f t="shared" ref="B643:B706" si="40">MONTH(A643)</f>
        <v>11</v>
      </c>
      <c r="C643" s="24">
        <f t="shared" ref="C643:C706" si="41">YEAR(A643)</f>
        <v>2023</v>
      </c>
      <c r="D643" s="107" t="s">
        <v>122</v>
      </c>
      <c r="E643" s="107" t="s">
        <v>343</v>
      </c>
      <c r="F643" s="107"/>
      <c r="G643" s="107"/>
      <c r="H643" s="81"/>
      <c r="I643" s="81"/>
      <c r="J643" s="52"/>
      <c r="K643" s="52">
        <v>60000</v>
      </c>
      <c r="L643" s="49">
        <f t="shared" si="38"/>
        <v>30000</v>
      </c>
      <c r="M643" s="50">
        <f t="shared" si="39"/>
        <v>0</v>
      </c>
    </row>
    <row r="644" spans="1:14" x14ac:dyDescent="0.25">
      <c r="A644" s="54">
        <v>45257</v>
      </c>
      <c r="B644" s="24">
        <f t="shared" si="40"/>
        <v>11</v>
      </c>
      <c r="C644" s="24">
        <f t="shared" si="41"/>
        <v>2023</v>
      </c>
      <c r="D644" s="104" t="s">
        <v>352</v>
      </c>
      <c r="E644" s="104" t="s">
        <v>343</v>
      </c>
      <c r="F644" s="104" t="s">
        <v>546</v>
      </c>
      <c r="J644" s="61">
        <v>100000</v>
      </c>
      <c r="L644" s="49">
        <f t="shared" ref="L644:L707" si="42">IF((L643+M643+J644-K644)&gt;0,(L643+M643+J644-K644),0)</f>
        <v>130000</v>
      </c>
      <c r="M644" s="50">
        <f t="shared" ref="M644:M707" si="43">IF((L643+M643+J644-K644)&lt;0,(L643+M643+J644-K644),0)</f>
        <v>0</v>
      </c>
    </row>
    <row r="645" spans="1:14" x14ac:dyDescent="0.25">
      <c r="A645" s="54">
        <v>45257</v>
      </c>
      <c r="B645" s="24">
        <f t="shared" si="40"/>
        <v>11</v>
      </c>
      <c r="C645" s="24">
        <f t="shared" si="41"/>
        <v>2023</v>
      </c>
      <c r="D645" s="104" t="s">
        <v>352</v>
      </c>
      <c r="E645" s="104" t="s">
        <v>343</v>
      </c>
      <c r="F645" s="104" t="s">
        <v>547</v>
      </c>
      <c r="J645" s="61">
        <v>86000</v>
      </c>
      <c r="L645" s="49">
        <f t="shared" si="42"/>
        <v>216000</v>
      </c>
      <c r="M645" s="50">
        <f t="shared" si="43"/>
        <v>0</v>
      </c>
    </row>
    <row r="646" spans="1:14" x14ac:dyDescent="0.25">
      <c r="A646" s="54">
        <v>45257</v>
      </c>
      <c r="B646" s="24">
        <f t="shared" si="40"/>
        <v>11</v>
      </c>
      <c r="C646" s="24">
        <f t="shared" si="41"/>
        <v>2023</v>
      </c>
      <c r="D646" s="104" t="s">
        <v>109</v>
      </c>
      <c r="E646" s="104" t="s">
        <v>343</v>
      </c>
      <c r="F646" s="104" t="s">
        <v>354</v>
      </c>
      <c r="K646" s="61">
        <v>1100</v>
      </c>
      <c r="L646" s="49">
        <f t="shared" si="42"/>
        <v>214900</v>
      </c>
      <c r="M646" s="50">
        <f t="shared" si="43"/>
        <v>0</v>
      </c>
    </row>
    <row r="647" spans="1:14" x14ac:dyDescent="0.25">
      <c r="A647" s="54">
        <v>45257</v>
      </c>
      <c r="B647" s="24">
        <f t="shared" si="40"/>
        <v>11</v>
      </c>
      <c r="C647" s="24">
        <f t="shared" si="41"/>
        <v>2023</v>
      </c>
      <c r="D647" s="104" t="s">
        <v>352</v>
      </c>
      <c r="E647" s="104" t="s">
        <v>343</v>
      </c>
      <c r="F647" s="104" t="s">
        <v>548</v>
      </c>
      <c r="J647" s="61">
        <v>2850</v>
      </c>
      <c r="L647" s="49">
        <f t="shared" si="42"/>
        <v>217750</v>
      </c>
      <c r="M647" s="50">
        <f t="shared" si="43"/>
        <v>0</v>
      </c>
    </row>
    <row r="648" spans="1:14" x14ac:dyDescent="0.25">
      <c r="A648" s="54">
        <v>45257</v>
      </c>
      <c r="B648" s="24">
        <f t="shared" si="40"/>
        <v>11</v>
      </c>
      <c r="C648" s="24">
        <f t="shared" si="41"/>
        <v>2023</v>
      </c>
      <c r="D648" s="104" t="s">
        <v>352</v>
      </c>
      <c r="E648" s="104" t="s">
        <v>343</v>
      </c>
      <c r="F648" s="104" t="s">
        <v>550</v>
      </c>
      <c r="J648" s="61">
        <v>5000</v>
      </c>
      <c r="L648" s="49">
        <f t="shared" si="42"/>
        <v>222750</v>
      </c>
      <c r="M648" s="50">
        <f t="shared" si="43"/>
        <v>0</v>
      </c>
    </row>
    <row r="649" spans="1:14" x14ac:dyDescent="0.25">
      <c r="A649" s="80">
        <v>45257</v>
      </c>
      <c r="B649" s="24">
        <f t="shared" si="40"/>
        <v>11</v>
      </c>
      <c r="C649" s="24">
        <f t="shared" si="41"/>
        <v>2023</v>
      </c>
      <c r="D649" s="107" t="s">
        <v>384</v>
      </c>
      <c r="E649" s="107" t="s">
        <v>343</v>
      </c>
      <c r="F649" s="107"/>
      <c r="G649" s="107"/>
      <c r="H649" s="81"/>
      <c r="I649" s="81"/>
      <c r="J649" s="52"/>
      <c r="K649" s="52">
        <v>192750</v>
      </c>
      <c r="L649" s="49">
        <f t="shared" si="42"/>
        <v>30000</v>
      </c>
      <c r="M649" s="50">
        <f t="shared" si="43"/>
        <v>0</v>
      </c>
    </row>
    <row r="650" spans="1:14" x14ac:dyDescent="0.25">
      <c r="A650" s="54">
        <v>45258</v>
      </c>
      <c r="B650" s="24">
        <f t="shared" si="40"/>
        <v>11</v>
      </c>
      <c r="C650" s="24">
        <f t="shared" si="41"/>
        <v>2023</v>
      </c>
      <c r="D650" s="104" t="s">
        <v>352</v>
      </c>
      <c r="E650" s="104" t="s">
        <v>343</v>
      </c>
      <c r="F650" s="104" t="s">
        <v>552</v>
      </c>
      <c r="J650" s="61">
        <v>18000</v>
      </c>
      <c r="L650" s="49">
        <f t="shared" si="42"/>
        <v>48000</v>
      </c>
      <c r="M650" s="50">
        <f t="shared" si="43"/>
        <v>0</v>
      </c>
    </row>
    <row r="651" spans="1:14" x14ac:dyDescent="0.25">
      <c r="A651" s="54">
        <v>45258</v>
      </c>
      <c r="B651" s="24">
        <f t="shared" si="40"/>
        <v>11</v>
      </c>
      <c r="C651" s="24">
        <f t="shared" si="41"/>
        <v>2023</v>
      </c>
      <c r="D651" s="104" t="s">
        <v>112</v>
      </c>
      <c r="E651" s="104" t="s">
        <v>343</v>
      </c>
      <c r="K651" s="61">
        <v>5000</v>
      </c>
      <c r="L651" s="49">
        <f t="shared" si="42"/>
        <v>43000</v>
      </c>
      <c r="M651" s="50">
        <f t="shared" si="43"/>
        <v>0</v>
      </c>
    </row>
    <row r="652" spans="1:14" x14ac:dyDescent="0.25">
      <c r="A652" s="54">
        <v>45258</v>
      </c>
      <c r="B652" s="24">
        <f t="shared" si="40"/>
        <v>11</v>
      </c>
      <c r="C652" s="24">
        <f t="shared" si="41"/>
        <v>2023</v>
      </c>
      <c r="D652" s="104" t="s">
        <v>352</v>
      </c>
      <c r="E652" s="104" t="s">
        <v>343</v>
      </c>
      <c r="F652" s="104" t="s">
        <v>377</v>
      </c>
      <c r="J652" s="61">
        <v>63500</v>
      </c>
      <c r="L652" s="49">
        <f t="shared" si="42"/>
        <v>106500</v>
      </c>
      <c r="M652" s="50">
        <f t="shared" si="43"/>
        <v>0</v>
      </c>
    </row>
    <row r="653" spans="1:14" x14ac:dyDescent="0.25">
      <c r="A653" s="80">
        <v>45258</v>
      </c>
      <c r="B653" s="24">
        <f t="shared" si="40"/>
        <v>11</v>
      </c>
      <c r="C653" s="24">
        <f t="shared" si="41"/>
        <v>2023</v>
      </c>
      <c r="D653" s="107" t="s">
        <v>122</v>
      </c>
      <c r="E653" s="107" t="s">
        <v>343</v>
      </c>
      <c r="F653" s="107"/>
      <c r="G653" s="107"/>
      <c r="H653" s="81"/>
      <c r="I653" s="81"/>
      <c r="J653" s="52"/>
      <c r="K653" s="52">
        <v>76500</v>
      </c>
      <c r="L653" s="49">
        <f t="shared" si="42"/>
        <v>30000</v>
      </c>
      <c r="M653" s="50">
        <f t="shared" si="43"/>
        <v>0</v>
      </c>
    </row>
    <row r="654" spans="1:14" x14ac:dyDescent="0.25">
      <c r="A654" s="54">
        <v>45259</v>
      </c>
      <c r="B654" s="24">
        <f t="shared" si="40"/>
        <v>11</v>
      </c>
      <c r="C654" s="24">
        <f t="shared" si="41"/>
        <v>2023</v>
      </c>
      <c r="D654" s="104" t="s">
        <v>89</v>
      </c>
      <c r="E654" s="104" t="s">
        <v>343</v>
      </c>
      <c r="F654" s="104" t="s">
        <v>473</v>
      </c>
      <c r="J654" s="61">
        <v>12000</v>
      </c>
      <c r="L654" s="49">
        <f t="shared" si="42"/>
        <v>42000</v>
      </c>
      <c r="M654" s="50">
        <f t="shared" si="43"/>
        <v>0</v>
      </c>
    </row>
    <row r="655" spans="1:14" x14ac:dyDescent="0.25">
      <c r="A655" s="80">
        <v>45259</v>
      </c>
      <c r="B655" s="24">
        <f t="shared" si="40"/>
        <v>11</v>
      </c>
      <c r="C655" s="24">
        <f t="shared" si="41"/>
        <v>2023</v>
      </c>
      <c r="D655" s="107" t="s">
        <v>122</v>
      </c>
      <c r="E655" s="107" t="s">
        <v>343</v>
      </c>
      <c r="F655" s="107"/>
      <c r="G655" s="107"/>
      <c r="H655" s="81"/>
      <c r="I655" s="81"/>
      <c r="J655" s="52"/>
      <c r="K655" s="52">
        <v>12000</v>
      </c>
      <c r="L655" s="49">
        <f t="shared" si="42"/>
        <v>30000</v>
      </c>
      <c r="M655" s="50">
        <f t="shared" si="43"/>
        <v>0</v>
      </c>
    </row>
    <row r="656" spans="1:14" x14ac:dyDescent="0.25">
      <c r="A656" s="54">
        <v>45260</v>
      </c>
      <c r="B656" s="24">
        <f t="shared" si="40"/>
        <v>11</v>
      </c>
      <c r="C656" s="24">
        <f t="shared" si="41"/>
        <v>2023</v>
      </c>
      <c r="D656" s="104" t="s">
        <v>352</v>
      </c>
      <c r="E656" s="104" t="s">
        <v>343</v>
      </c>
      <c r="F656" s="104" t="s">
        <v>562</v>
      </c>
      <c r="J656" s="61">
        <v>70000</v>
      </c>
      <c r="L656" s="49">
        <f t="shared" si="42"/>
        <v>100000</v>
      </c>
      <c r="M656" s="50">
        <f t="shared" si="43"/>
        <v>0</v>
      </c>
    </row>
    <row r="657" spans="1:13" x14ac:dyDescent="0.25">
      <c r="A657" s="54">
        <v>45260</v>
      </c>
      <c r="B657" s="24">
        <f t="shared" si="40"/>
        <v>11</v>
      </c>
      <c r="C657" s="24">
        <f t="shared" si="41"/>
        <v>2023</v>
      </c>
      <c r="D657" s="104" t="s">
        <v>360</v>
      </c>
      <c r="E657" s="104" t="s">
        <v>343</v>
      </c>
      <c r="K657" s="61">
        <v>3000</v>
      </c>
      <c r="L657" s="49">
        <f t="shared" si="42"/>
        <v>97000</v>
      </c>
      <c r="M657" s="50">
        <f t="shared" si="43"/>
        <v>0</v>
      </c>
    </row>
    <row r="658" spans="1:13" x14ac:dyDescent="0.25">
      <c r="A658" s="80">
        <v>45260</v>
      </c>
      <c r="B658" s="24">
        <f t="shared" si="40"/>
        <v>11</v>
      </c>
      <c r="C658" s="24">
        <f t="shared" si="41"/>
        <v>2023</v>
      </c>
      <c r="D658" s="107" t="s">
        <v>361</v>
      </c>
      <c r="E658" s="107" t="s">
        <v>343</v>
      </c>
      <c r="F658" s="107"/>
      <c r="G658" s="107"/>
      <c r="H658" s="81"/>
      <c r="I658" s="81"/>
      <c r="J658" s="52"/>
      <c r="K658" s="52">
        <v>67000</v>
      </c>
      <c r="L658" s="49">
        <f t="shared" si="42"/>
        <v>30000</v>
      </c>
      <c r="M658" s="50">
        <f t="shared" si="43"/>
        <v>0</v>
      </c>
    </row>
    <row r="659" spans="1:13" x14ac:dyDescent="0.25">
      <c r="A659" s="54">
        <v>45261</v>
      </c>
      <c r="B659" s="24">
        <f t="shared" si="40"/>
        <v>12</v>
      </c>
      <c r="C659" s="24">
        <f t="shared" si="41"/>
        <v>2023</v>
      </c>
      <c r="D659" s="104" t="s">
        <v>384</v>
      </c>
      <c r="E659" s="104" t="s">
        <v>343</v>
      </c>
      <c r="J659" s="61">
        <v>15000</v>
      </c>
      <c r="L659" s="49">
        <f t="shared" si="42"/>
        <v>45000</v>
      </c>
      <c r="M659" s="50">
        <f t="shared" si="43"/>
        <v>0</v>
      </c>
    </row>
    <row r="660" spans="1:13" x14ac:dyDescent="0.25">
      <c r="A660" s="54">
        <v>45261</v>
      </c>
      <c r="B660" s="24">
        <f t="shared" si="40"/>
        <v>12</v>
      </c>
      <c r="C660" s="24">
        <f t="shared" si="41"/>
        <v>2023</v>
      </c>
      <c r="D660" s="104" t="s">
        <v>30</v>
      </c>
      <c r="E660" s="104" t="s">
        <v>343</v>
      </c>
      <c r="K660" s="61">
        <v>15000</v>
      </c>
      <c r="L660" s="49">
        <f t="shared" si="42"/>
        <v>30000</v>
      </c>
      <c r="M660" s="50">
        <f t="shared" si="43"/>
        <v>0</v>
      </c>
    </row>
    <row r="661" spans="1:13" x14ac:dyDescent="0.25">
      <c r="A661" s="54">
        <v>45261</v>
      </c>
      <c r="B661" s="24">
        <f t="shared" si="40"/>
        <v>12</v>
      </c>
      <c r="C661" s="24">
        <f t="shared" si="41"/>
        <v>2023</v>
      </c>
      <c r="D661" s="104" t="s">
        <v>352</v>
      </c>
      <c r="E661" s="104" t="s">
        <v>343</v>
      </c>
      <c r="F661" s="104" t="s">
        <v>563</v>
      </c>
      <c r="J661" s="61">
        <v>20000</v>
      </c>
      <c r="L661" s="49">
        <f t="shared" si="42"/>
        <v>50000</v>
      </c>
      <c r="M661" s="50">
        <f t="shared" si="43"/>
        <v>0</v>
      </c>
    </row>
    <row r="662" spans="1:13" x14ac:dyDescent="0.25">
      <c r="A662" s="54">
        <v>45261</v>
      </c>
      <c r="B662" s="24">
        <f t="shared" si="40"/>
        <v>12</v>
      </c>
      <c r="C662" s="24">
        <f t="shared" si="41"/>
        <v>2023</v>
      </c>
      <c r="D662" s="104" t="s">
        <v>352</v>
      </c>
      <c r="E662" s="104" t="s">
        <v>343</v>
      </c>
      <c r="F662" s="104" t="s">
        <v>469</v>
      </c>
      <c r="J662" s="61">
        <v>49000</v>
      </c>
      <c r="L662" s="49">
        <f t="shared" si="42"/>
        <v>99000</v>
      </c>
      <c r="M662" s="50">
        <f t="shared" si="43"/>
        <v>0</v>
      </c>
    </row>
    <row r="663" spans="1:13" x14ac:dyDescent="0.25">
      <c r="A663" s="54">
        <v>45261</v>
      </c>
      <c r="B663" s="24">
        <f t="shared" si="40"/>
        <v>12</v>
      </c>
      <c r="C663" s="24">
        <f t="shared" si="41"/>
        <v>2023</v>
      </c>
      <c r="D663" s="104" t="s">
        <v>352</v>
      </c>
      <c r="E663" s="104" t="s">
        <v>343</v>
      </c>
      <c r="F663" s="104" t="s">
        <v>565</v>
      </c>
      <c r="J663" s="61">
        <v>101000</v>
      </c>
      <c r="L663" s="49">
        <f t="shared" si="42"/>
        <v>200000</v>
      </c>
      <c r="M663" s="50">
        <f t="shared" si="43"/>
        <v>0</v>
      </c>
    </row>
    <row r="664" spans="1:13" x14ac:dyDescent="0.25">
      <c r="A664" s="54">
        <v>45261</v>
      </c>
      <c r="B664" s="24">
        <f t="shared" si="40"/>
        <v>12</v>
      </c>
      <c r="C664" s="24">
        <f t="shared" si="41"/>
        <v>2023</v>
      </c>
      <c r="D664" s="104" t="s">
        <v>501</v>
      </c>
      <c r="E664" s="104" t="s">
        <v>343</v>
      </c>
      <c r="F664" s="104" t="s">
        <v>567</v>
      </c>
      <c r="K664" s="61">
        <v>100000</v>
      </c>
      <c r="L664" s="49">
        <f t="shared" si="42"/>
        <v>100000</v>
      </c>
      <c r="M664" s="50">
        <f t="shared" si="43"/>
        <v>0</v>
      </c>
    </row>
    <row r="665" spans="1:13" x14ac:dyDescent="0.25">
      <c r="A665" s="54">
        <v>45261</v>
      </c>
      <c r="B665" s="24">
        <f t="shared" si="40"/>
        <v>12</v>
      </c>
      <c r="C665" s="24">
        <f t="shared" si="41"/>
        <v>2023</v>
      </c>
      <c r="D665" s="104" t="s">
        <v>384</v>
      </c>
      <c r="E665" s="104" t="s">
        <v>93</v>
      </c>
      <c r="J665" s="61">
        <v>50000</v>
      </c>
      <c r="L665" s="49">
        <f t="shared" si="42"/>
        <v>150000</v>
      </c>
      <c r="M665" s="50">
        <f t="shared" si="43"/>
        <v>0</v>
      </c>
    </row>
    <row r="666" spans="1:13" x14ac:dyDescent="0.25">
      <c r="A666" s="54">
        <v>45261</v>
      </c>
      <c r="B666" s="24">
        <f t="shared" si="40"/>
        <v>12</v>
      </c>
      <c r="C666" s="24">
        <f t="shared" si="41"/>
        <v>2023</v>
      </c>
      <c r="D666" s="104" t="s">
        <v>501</v>
      </c>
      <c r="E666" s="104" t="s">
        <v>343</v>
      </c>
      <c r="F666" s="104" t="s">
        <v>568</v>
      </c>
      <c r="K666" s="61">
        <v>120000</v>
      </c>
      <c r="L666" s="49">
        <f t="shared" si="42"/>
        <v>30000</v>
      </c>
      <c r="M666" s="50">
        <f t="shared" si="43"/>
        <v>0</v>
      </c>
    </row>
    <row r="667" spans="1:13" x14ac:dyDescent="0.25">
      <c r="A667" s="66">
        <v>45261</v>
      </c>
      <c r="B667" s="24">
        <f t="shared" si="40"/>
        <v>12</v>
      </c>
      <c r="C667" s="24">
        <f t="shared" si="41"/>
        <v>2023</v>
      </c>
      <c r="D667" s="109" t="s">
        <v>384</v>
      </c>
      <c r="E667" s="109" t="s">
        <v>343</v>
      </c>
      <c r="F667" s="109"/>
      <c r="G667" s="109"/>
      <c r="H667" s="14"/>
      <c r="I667" s="14"/>
      <c r="J667" s="118">
        <v>50000</v>
      </c>
      <c r="K667" s="118"/>
      <c r="L667" s="49">
        <f t="shared" si="42"/>
        <v>80000</v>
      </c>
      <c r="M667" s="50">
        <f t="shared" si="43"/>
        <v>0</v>
      </c>
    </row>
    <row r="668" spans="1:13" x14ac:dyDescent="0.25">
      <c r="A668" s="54">
        <v>45261</v>
      </c>
      <c r="B668" s="24">
        <f t="shared" si="40"/>
        <v>12</v>
      </c>
      <c r="C668" s="24">
        <f t="shared" si="41"/>
        <v>2023</v>
      </c>
      <c r="D668" s="104" t="s">
        <v>500</v>
      </c>
      <c r="E668" s="104" t="s">
        <v>343</v>
      </c>
      <c r="K668" s="61">
        <v>50000</v>
      </c>
      <c r="L668" s="49">
        <f t="shared" si="42"/>
        <v>30000</v>
      </c>
      <c r="M668" s="50">
        <f t="shared" si="43"/>
        <v>0</v>
      </c>
    </row>
    <row r="669" spans="1:13" x14ac:dyDescent="0.25">
      <c r="A669" s="54">
        <v>45261</v>
      </c>
      <c r="B669" s="24">
        <f t="shared" si="40"/>
        <v>12</v>
      </c>
      <c r="C669" s="24">
        <f t="shared" si="41"/>
        <v>2023</v>
      </c>
      <c r="D669" s="104" t="s">
        <v>352</v>
      </c>
      <c r="E669" s="104" t="s">
        <v>343</v>
      </c>
      <c r="F669" s="104" t="s">
        <v>566</v>
      </c>
      <c r="J669" s="61">
        <v>116800</v>
      </c>
      <c r="L669" s="49">
        <f t="shared" si="42"/>
        <v>146800</v>
      </c>
      <c r="M669" s="50">
        <f t="shared" si="43"/>
        <v>0</v>
      </c>
    </row>
    <row r="670" spans="1:13" x14ac:dyDescent="0.25">
      <c r="A670" s="80">
        <v>45261</v>
      </c>
      <c r="B670" s="24">
        <f t="shared" si="40"/>
        <v>12</v>
      </c>
      <c r="C670" s="24">
        <f t="shared" si="41"/>
        <v>2023</v>
      </c>
      <c r="D670" s="107" t="s">
        <v>122</v>
      </c>
      <c r="E670" s="107" t="s">
        <v>343</v>
      </c>
      <c r="F670" s="107"/>
      <c r="G670" s="107"/>
      <c r="H670" s="81"/>
      <c r="I670" s="81"/>
      <c r="J670" s="52"/>
      <c r="K670" s="52">
        <v>116800</v>
      </c>
      <c r="L670" s="49">
        <f t="shared" si="42"/>
        <v>30000</v>
      </c>
      <c r="M670" s="50">
        <f t="shared" si="43"/>
        <v>0</v>
      </c>
    </row>
    <row r="671" spans="1:13" x14ac:dyDescent="0.25">
      <c r="A671" s="54">
        <v>45264</v>
      </c>
      <c r="B671" s="24">
        <f t="shared" si="40"/>
        <v>12</v>
      </c>
      <c r="C671" s="24">
        <f t="shared" si="41"/>
        <v>2023</v>
      </c>
      <c r="D671" s="104" t="s">
        <v>352</v>
      </c>
      <c r="E671" s="104" t="s">
        <v>343</v>
      </c>
      <c r="F671" s="104" t="s">
        <v>569</v>
      </c>
      <c r="J671" s="61">
        <v>40000</v>
      </c>
      <c r="L671" s="49">
        <f t="shared" si="42"/>
        <v>70000</v>
      </c>
      <c r="M671" s="50">
        <f t="shared" si="43"/>
        <v>0</v>
      </c>
    </row>
    <row r="672" spans="1:13" x14ac:dyDescent="0.25">
      <c r="A672" s="54">
        <v>45264</v>
      </c>
      <c r="B672" s="24">
        <f t="shared" si="40"/>
        <v>12</v>
      </c>
      <c r="C672" s="24">
        <f t="shared" si="41"/>
        <v>2023</v>
      </c>
      <c r="D672" s="104" t="s">
        <v>109</v>
      </c>
      <c r="E672" s="104" t="s">
        <v>343</v>
      </c>
      <c r="F672" s="104" t="s">
        <v>570</v>
      </c>
      <c r="K672" s="61">
        <v>34900</v>
      </c>
      <c r="L672" s="49">
        <f t="shared" si="42"/>
        <v>35100</v>
      </c>
      <c r="M672" s="50">
        <f t="shared" si="43"/>
        <v>0</v>
      </c>
    </row>
    <row r="673" spans="1:13" x14ac:dyDescent="0.25">
      <c r="A673" s="54">
        <v>45264</v>
      </c>
      <c r="B673" s="24">
        <f t="shared" si="40"/>
        <v>12</v>
      </c>
      <c r="C673" s="24">
        <f t="shared" si="41"/>
        <v>2023</v>
      </c>
      <c r="D673" s="104" t="s">
        <v>384</v>
      </c>
      <c r="E673" s="104" t="s">
        <v>343</v>
      </c>
      <c r="J673" s="61">
        <v>11000</v>
      </c>
      <c r="L673" s="49">
        <f t="shared" si="42"/>
        <v>46100</v>
      </c>
      <c r="M673" s="50">
        <f t="shared" si="43"/>
        <v>0</v>
      </c>
    </row>
    <row r="674" spans="1:13" x14ac:dyDescent="0.25">
      <c r="A674" s="54">
        <v>45264</v>
      </c>
      <c r="B674" s="24">
        <f t="shared" si="40"/>
        <v>12</v>
      </c>
      <c r="C674" s="24">
        <f t="shared" si="41"/>
        <v>2023</v>
      </c>
      <c r="D674" s="104" t="s">
        <v>51</v>
      </c>
      <c r="E674" s="104" t="s">
        <v>343</v>
      </c>
      <c r="G674" s="104" t="s">
        <v>571</v>
      </c>
      <c r="K674" s="61">
        <v>11000</v>
      </c>
      <c r="L674" s="49">
        <f t="shared" si="42"/>
        <v>35100</v>
      </c>
      <c r="M674" s="50">
        <f t="shared" si="43"/>
        <v>0</v>
      </c>
    </row>
    <row r="675" spans="1:13" x14ac:dyDescent="0.25">
      <c r="A675" s="54">
        <v>45264</v>
      </c>
      <c r="B675" s="24">
        <f t="shared" si="40"/>
        <v>12</v>
      </c>
      <c r="C675" s="24">
        <f t="shared" si="41"/>
        <v>2023</v>
      </c>
      <c r="D675" s="104" t="s">
        <v>51</v>
      </c>
      <c r="E675" s="104" t="s">
        <v>92</v>
      </c>
      <c r="F675" s="104" t="s">
        <v>572</v>
      </c>
      <c r="K675" s="61">
        <v>4300</v>
      </c>
      <c r="L675" s="49">
        <f t="shared" si="42"/>
        <v>30800</v>
      </c>
      <c r="M675" s="50">
        <f t="shared" si="43"/>
        <v>0</v>
      </c>
    </row>
    <row r="676" spans="1:13" x14ac:dyDescent="0.25">
      <c r="A676" s="54">
        <v>45264</v>
      </c>
      <c r="B676" s="24">
        <f t="shared" si="40"/>
        <v>12</v>
      </c>
      <c r="C676" s="24">
        <f t="shared" si="41"/>
        <v>2023</v>
      </c>
      <c r="D676" s="104" t="s">
        <v>352</v>
      </c>
      <c r="E676" s="104" t="s">
        <v>343</v>
      </c>
      <c r="F676" s="104" t="s">
        <v>456</v>
      </c>
      <c r="J676" s="61">
        <v>7500</v>
      </c>
      <c r="L676" s="49">
        <f t="shared" si="42"/>
        <v>38300</v>
      </c>
      <c r="M676" s="50">
        <f t="shared" si="43"/>
        <v>0</v>
      </c>
    </row>
    <row r="677" spans="1:13" x14ac:dyDescent="0.25">
      <c r="A677" s="80">
        <v>45264</v>
      </c>
      <c r="B677" s="24">
        <f t="shared" si="40"/>
        <v>12</v>
      </c>
      <c r="C677" s="24">
        <f t="shared" si="41"/>
        <v>2023</v>
      </c>
      <c r="D677" s="107" t="s">
        <v>122</v>
      </c>
      <c r="E677" s="107" t="s">
        <v>343</v>
      </c>
      <c r="F677" s="107"/>
      <c r="G677" s="107"/>
      <c r="H677" s="81"/>
      <c r="I677" s="81"/>
      <c r="J677" s="52"/>
      <c r="K677" s="52">
        <v>8300</v>
      </c>
      <c r="L677" s="49">
        <f t="shared" si="42"/>
        <v>30000</v>
      </c>
      <c r="M677" s="50">
        <f t="shared" si="43"/>
        <v>0</v>
      </c>
    </row>
    <row r="678" spans="1:13" x14ac:dyDescent="0.25">
      <c r="A678" s="54">
        <v>45265</v>
      </c>
      <c r="B678" s="24">
        <f t="shared" si="40"/>
        <v>12</v>
      </c>
      <c r="C678" s="24">
        <f t="shared" si="41"/>
        <v>2023</v>
      </c>
      <c r="D678" s="104" t="s">
        <v>352</v>
      </c>
      <c r="E678" s="104" t="s">
        <v>343</v>
      </c>
      <c r="F678" s="104" t="s">
        <v>509</v>
      </c>
      <c r="J678" s="61">
        <v>66000</v>
      </c>
      <c r="L678" s="49">
        <f t="shared" si="42"/>
        <v>96000</v>
      </c>
      <c r="M678" s="50">
        <f t="shared" si="43"/>
        <v>0</v>
      </c>
    </row>
    <row r="679" spans="1:13" x14ac:dyDescent="0.25">
      <c r="A679" s="54">
        <v>45265</v>
      </c>
      <c r="B679" s="24">
        <f t="shared" si="40"/>
        <v>12</v>
      </c>
      <c r="C679" s="24">
        <f t="shared" si="41"/>
        <v>2023</v>
      </c>
      <c r="D679" s="104" t="s">
        <v>109</v>
      </c>
      <c r="E679" s="104" t="s">
        <v>343</v>
      </c>
      <c r="F679" s="104" t="s">
        <v>354</v>
      </c>
      <c r="K679" s="61">
        <v>1000</v>
      </c>
      <c r="L679" s="49">
        <f t="shared" si="42"/>
        <v>95000</v>
      </c>
      <c r="M679" s="50">
        <f t="shared" si="43"/>
        <v>0</v>
      </c>
    </row>
    <row r="680" spans="1:13" x14ac:dyDescent="0.25">
      <c r="A680" s="54">
        <v>45265</v>
      </c>
      <c r="B680" s="24">
        <f t="shared" si="40"/>
        <v>12</v>
      </c>
      <c r="C680" s="24">
        <f t="shared" si="41"/>
        <v>2023</v>
      </c>
      <c r="D680" s="104" t="s">
        <v>352</v>
      </c>
      <c r="E680" s="104" t="s">
        <v>343</v>
      </c>
      <c r="F680" s="104" t="s">
        <v>573</v>
      </c>
      <c r="J680" s="61">
        <v>93000</v>
      </c>
      <c r="L680" s="49">
        <f t="shared" si="42"/>
        <v>188000</v>
      </c>
      <c r="M680" s="50">
        <f t="shared" si="43"/>
        <v>0</v>
      </c>
    </row>
    <row r="681" spans="1:13" x14ac:dyDescent="0.25">
      <c r="A681" s="80">
        <v>45265</v>
      </c>
      <c r="B681" s="24">
        <f t="shared" si="40"/>
        <v>12</v>
      </c>
      <c r="C681" s="24">
        <f t="shared" si="41"/>
        <v>2023</v>
      </c>
      <c r="D681" s="107" t="s">
        <v>122</v>
      </c>
      <c r="E681" s="107" t="s">
        <v>343</v>
      </c>
      <c r="F681" s="107"/>
      <c r="G681" s="107"/>
      <c r="H681" s="81"/>
      <c r="I681" s="81"/>
      <c r="J681" s="52"/>
      <c r="K681" s="52">
        <v>158000</v>
      </c>
      <c r="L681" s="49">
        <f t="shared" si="42"/>
        <v>30000</v>
      </c>
      <c r="M681" s="50">
        <f t="shared" si="43"/>
        <v>0</v>
      </c>
    </row>
    <row r="682" spans="1:13" x14ac:dyDescent="0.25">
      <c r="A682" s="54">
        <v>45266</v>
      </c>
      <c r="B682" s="24">
        <f t="shared" si="40"/>
        <v>12</v>
      </c>
      <c r="C682" s="24">
        <f t="shared" si="41"/>
        <v>2023</v>
      </c>
      <c r="D682" s="104" t="s">
        <v>352</v>
      </c>
      <c r="E682" s="104" t="s">
        <v>343</v>
      </c>
      <c r="F682" s="104" t="s">
        <v>298</v>
      </c>
      <c r="J682" s="61">
        <v>70000</v>
      </c>
      <c r="L682" s="49">
        <f t="shared" si="42"/>
        <v>100000</v>
      </c>
      <c r="M682" s="50">
        <f t="shared" si="43"/>
        <v>0</v>
      </c>
    </row>
    <row r="683" spans="1:13" x14ac:dyDescent="0.25">
      <c r="A683" s="54">
        <v>45266</v>
      </c>
      <c r="B683" s="24">
        <f t="shared" si="40"/>
        <v>12</v>
      </c>
      <c r="C683" s="24">
        <f t="shared" si="41"/>
        <v>2023</v>
      </c>
      <c r="D683" s="104" t="s">
        <v>384</v>
      </c>
      <c r="E683" s="104" t="s">
        <v>343</v>
      </c>
      <c r="J683" s="61">
        <v>8000</v>
      </c>
      <c r="L683" s="49">
        <f t="shared" si="42"/>
        <v>108000</v>
      </c>
      <c r="M683" s="50">
        <f t="shared" si="43"/>
        <v>0</v>
      </c>
    </row>
    <row r="684" spans="1:13" x14ac:dyDescent="0.25">
      <c r="A684" s="54">
        <v>45266</v>
      </c>
      <c r="B684" s="24">
        <f t="shared" si="40"/>
        <v>12</v>
      </c>
      <c r="C684" s="24">
        <f t="shared" si="41"/>
        <v>2023</v>
      </c>
      <c r="D684" s="104" t="s">
        <v>109</v>
      </c>
      <c r="E684" s="104" t="s">
        <v>343</v>
      </c>
      <c r="F684" s="104" t="s">
        <v>574</v>
      </c>
      <c r="K684" s="61">
        <v>8000</v>
      </c>
      <c r="L684" s="49">
        <f t="shared" si="42"/>
        <v>100000</v>
      </c>
      <c r="M684" s="50">
        <f t="shared" si="43"/>
        <v>0</v>
      </c>
    </row>
    <row r="685" spans="1:13" x14ac:dyDescent="0.25">
      <c r="A685" s="54">
        <v>45266</v>
      </c>
      <c r="B685" s="24">
        <f t="shared" si="40"/>
        <v>12</v>
      </c>
      <c r="C685" s="24">
        <f t="shared" si="41"/>
        <v>2023</v>
      </c>
      <c r="D685" s="104" t="s">
        <v>352</v>
      </c>
      <c r="E685" s="104" t="s">
        <v>343</v>
      </c>
      <c r="F685" s="104" t="s">
        <v>575</v>
      </c>
      <c r="J685" s="61">
        <v>139800</v>
      </c>
      <c r="L685" s="49">
        <f t="shared" si="42"/>
        <v>239800</v>
      </c>
      <c r="M685" s="50">
        <f t="shared" si="43"/>
        <v>0</v>
      </c>
    </row>
    <row r="686" spans="1:13" x14ac:dyDescent="0.25">
      <c r="A686" s="54">
        <v>45266</v>
      </c>
      <c r="B686" s="24">
        <f t="shared" si="40"/>
        <v>12</v>
      </c>
      <c r="C686" s="24">
        <f t="shared" si="41"/>
        <v>2023</v>
      </c>
      <c r="D686" s="104" t="s">
        <v>28</v>
      </c>
      <c r="E686" s="104" t="s">
        <v>343</v>
      </c>
      <c r="K686" s="61">
        <v>18000</v>
      </c>
      <c r="L686" s="49">
        <f t="shared" si="42"/>
        <v>221800</v>
      </c>
      <c r="M686" s="50">
        <f t="shared" si="43"/>
        <v>0</v>
      </c>
    </row>
    <row r="687" spans="1:13" x14ac:dyDescent="0.25">
      <c r="A687" s="80">
        <v>45266</v>
      </c>
      <c r="B687" s="24">
        <f t="shared" si="40"/>
        <v>12</v>
      </c>
      <c r="C687" s="24">
        <f t="shared" si="41"/>
        <v>2023</v>
      </c>
      <c r="D687" s="107" t="s">
        <v>361</v>
      </c>
      <c r="E687" s="107" t="s">
        <v>343</v>
      </c>
      <c r="F687" s="107"/>
      <c r="G687" s="107"/>
      <c r="H687" s="81"/>
      <c r="I687" s="81"/>
      <c r="J687" s="52"/>
      <c r="K687" s="52">
        <v>191800</v>
      </c>
      <c r="L687" s="49">
        <f t="shared" si="42"/>
        <v>30000</v>
      </c>
      <c r="M687" s="50">
        <f t="shared" si="43"/>
        <v>0</v>
      </c>
    </row>
    <row r="688" spans="1:13" x14ac:dyDescent="0.25">
      <c r="A688" s="54">
        <v>45267</v>
      </c>
      <c r="B688" s="24">
        <f t="shared" si="40"/>
        <v>12</v>
      </c>
      <c r="C688" s="24">
        <f t="shared" si="41"/>
        <v>2023</v>
      </c>
      <c r="D688" s="104" t="s">
        <v>352</v>
      </c>
      <c r="E688" s="104" t="s">
        <v>343</v>
      </c>
      <c r="F688" s="104" t="s">
        <v>576</v>
      </c>
      <c r="J688" s="61">
        <v>58200</v>
      </c>
      <c r="L688" s="49">
        <f t="shared" si="42"/>
        <v>88200</v>
      </c>
      <c r="M688" s="50">
        <f t="shared" si="43"/>
        <v>0</v>
      </c>
    </row>
    <row r="689" spans="1:13" x14ac:dyDescent="0.25">
      <c r="A689" s="80">
        <v>45267</v>
      </c>
      <c r="B689" s="24">
        <f t="shared" si="40"/>
        <v>12</v>
      </c>
      <c r="C689" s="24">
        <f t="shared" si="41"/>
        <v>2023</v>
      </c>
      <c r="D689" s="107" t="s">
        <v>384</v>
      </c>
      <c r="E689" s="107" t="s">
        <v>343</v>
      </c>
      <c r="F689" s="107"/>
      <c r="G689" s="107"/>
      <c r="H689" s="81"/>
      <c r="I689" s="81"/>
      <c r="J689" s="52"/>
      <c r="K689" s="52">
        <v>58200</v>
      </c>
      <c r="L689" s="49">
        <f t="shared" si="42"/>
        <v>30000</v>
      </c>
      <c r="M689" s="50">
        <f t="shared" si="43"/>
        <v>0</v>
      </c>
    </row>
    <row r="690" spans="1:13" x14ac:dyDescent="0.25">
      <c r="A690" s="54">
        <v>45269</v>
      </c>
      <c r="B690" s="24">
        <f t="shared" si="40"/>
        <v>12</v>
      </c>
      <c r="C690" s="24">
        <f t="shared" si="41"/>
        <v>2023</v>
      </c>
      <c r="D690" s="104" t="s">
        <v>352</v>
      </c>
      <c r="E690" s="104" t="s">
        <v>343</v>
      </c>
      <c r="F690" s="104" t="s">
        <v>577</v>
      </c>
      <c r="J690" s="61">
        <v>42800</v>
      </c>
      <c r="L690" s="49">
        <f t="shared" si="42"/>
        <v>72800</v>
      </c>
      <c r="M690" s="50">
        <f t="shared" si="43"/>
        <v>0</v>
      </c>
    </row>
    <row r="691" spans="1:13" x14ac:dyDescent="0.25">
      <c r="A691" s="101">
        <v>45269</v>
      </c>
      <c r="B691" s="24">
        <f t="shared" si="40"/>
        <v>12</v>
      </c>
      <c r="C691" s="24">
        <f t="shared" si="41"/>
        <v>2023</v>
      </c>
      <c r="D691" s="112" t="s">
        <v>384</v>
      </c>
      <c r="E691" s="112" t="s">
        <v>343</v>
      </c>
      <c r="F691" s="112"/>
      <c r="G691" s="112"/>
      <c r="H691" s="102"/>
      <c r="I691" s="102"/>
      <c r="J691" s="121"/>
      <c r="K691" s="121">
        <v>42800</v>
      </c>
      <c r="L691" s="49">
        <f t="shared" si="42"/>
        <v>30000</v>
      </c>
      <c r="M691" s="50">
        <f t="shared" si="43"/>
        <v>0</v>
      </c>
    </row>
    <row r="692" spans="1:13" x14ac:dyDescent="0.25">
      <c r="A692" s="54">
        <v>45271</v>
      </c>
      <c r="B692" s="24">
        <f t="shared" si="40"/>
        <v>12</v>
      </c>
      <c r="C692" s="24">
        <f t="shared" si="41"/>
        <v>2023</v>
      </c>
      <c r="D692" s="104" t="s">
        <v>109</v>
      </c>
      <c r="E692" s="104" t="s">
        <v>343</v>
      </c>
      <c r="F692" s="104" t="s">
        <v>354</v>
      </c>
      <c r="K692" s="61">
        <v>2200</v>
      </c>
      <c r="L692" s="49">
        <f t="shared" si="42"/>
        <v>27800</v>
      </c>
      <c r="M692" s="50">
        <f t="shared" si="43"/>
        <v>0</v>
      </c>
    </row>
    <row r="693" spans="1:13" x14ac:dyDescent="0.25">
      <c r="A693" s="54">
        <v>45271</v>
      </c>
      <c r="B693" s="24">
        <f t="shared" si="40"/>
        <v>12</v>
      </c>
      <c r="C693" s="24">
        <f t="shared" si="41"/>
        <v>2023</v>
      </c>
      <c r="D693" s="104" t="s">
        <v>109</v>
      </c>
      <c r="E693" s="104" t="s">
        <v>343</v>
      </c>
      <c r="F693" s="104" t="s">
        <v>219</v>
      </c>
      <c r="K693" s="61">
        <v>1500</v>
      </c>
      <c r="L693" s="49">
        <f t="shared" si="42"/>
        <v>26300</v>
      </c>
      <c r="M693" s="50">
        <f t="shared" si="43"/>
        <v>0</v>
      </c>
    </row>
    <row r="694" spans="1:13" x14ac:dyDescent="0.25">
      <c r="A694" s="54">
        <v>45271</v>
      </c>
      <c r="B694" s="24">
        <f t="shared" si="40"/>
        <v>12</v>
      </c>
      <c r="C694" s="24">
        <f t="shared" si="41"/>
        <v>2023</v>
      </c>
      <c r="D694" s="104" t="s">
        <v>352</v>
      </c>
      <c r="E694" s="104" t="s">
        <v>343</v>
      </c>
      <c r="F694" s="104" t="s">
        <v>578</v>
      </c>
      <c r="J694" s="61">
        <v>30000</v>
      </c>
      <c r="L694" s="49">
        <f t="shared" si="42"/>
        <v>56300</v>
      </c>
      <c r="M694" s="50">
        <f t="shared" si="43"/>
        <v>0</v>
      </c>
    </row>
    <row r="695" spans="1:13" x14ac:dyDescent="0.25">
      <c r="A695" s="98">
        <v>45239</v>
      </c>
      <c r="B695" s="24">
        <f t="shared" si="40"/>
        <v>11</v>
      </c>
      <c r="C695" s="24">
        <f t="shared" si="41"/>
        <v>2023</v>
      </c>
      <c r="D695" s="111" t="s">
        <v>384</v>
      </c>
      <c r="E695" s="111" t="s">
        <v>343</v>
      </c>
      <c r="F695" s="111"/>
      <c r="G695" s="111"/>
      <c r="H695" s="99"/>
      <c r="I695" s="99"/>
      <c r="J695" s="120">
        <v>60334</v>
      </c>
      <c r="K695" s="120"/>
      <c r="L695" s="49">
        <f t="shared" si="42"/>
        <v>116634</v>
      </c>
      <c r="M695" s="50">
        <f t="shared" si="43"/>
        <v>0</v>
      </c>
    </row>
    <row r="696" spans="1:13" x14ac:dyDescent="0.25">
      <c r="A696" s="98">
        <v>45239</v>
      </c>
      <c r="B696" s="24">
        <f t="shared" si="40"/>
        <v>11</v>
      </c>
      <c r="C696" s="24">
        <f t="shared" si="41"/>
        <v>2023</v>
      </c>
      <c r="D696" s="111" t="s">
        <v>148</v>
      </c>
      <c r="E696" s="111" t="s">
        <v>343</v>
      </c>
      <c r="F696" s="111" t="s">
        <v>579</v>
      </c>
      <c r="G696" s="111"/>
      <c r="H696" s="99"/>
      <c r="I696" s="99"/>
      <c r="J696" s="120"/>
      <c r="K696" s="120">
        <v>60334</v>
      </c>
      <c r="L696" s="49">
        <f t="shared" si="42"/>
        <v>56300</v>
      </c>
      <c r="M696" s="50">
        <f t="shared" si="43"/>
        <v>0</v>
      </c>
    </row>
    <row r="697" spans="1:13" x14ac:dyDescent="0.25">
      <c r="A697" s="54">
        <v>45271</v>
      </c>
      <c r="B697" s="24">
        <f t="shared" si="40"/>
        <v>12</v>
      </c>
      <c r="C697" s="24">
        <f t="shared" si="41"/>
        <v>2023</v>
      </c>
      <c r="D697" s="104" t="s">
        <v>89</v>
      </c>
      <c r="E697" s="104" t="s">
        <v>343</v>
      </c>
      <c r="F697" s="104" t="s">
        <v>456</v>
      </c>
      <c r="J697" s="61">
        <v>15000</v>
      </c>
      <c r="L697" s="49">
        <f t="shared" si="42"/>
        <v>71300</v>
      </c>
      <c r="M697" s="50">
        <f t="shared" si="43"/>
        <v>0</v>
      </c>
    </row>
    <row r="698" spans="1:13" x14ac:dyDescent="0.25">
      <c r="A698" s="54">
        <v>45271</v>
      </c>
      <c r="B698" s="24">
        <f t="shared" si="40"/>
        <v>12</v>
      </c>
      <c r="C698" s="24">
        <f t="shared" si="41"/>
        <v>2023</v>
      </c>
      <c r="D698" s="104" t="s">
        <v>352</v>
      </c>
      <c r="E698" s="104" t="s">
        <v>343</v>
      </c>
      <c r="F698" s="104" t="s">
        <v>542</v>
      </c>
      <c r="J698" s="61">
        <v>54200</v>
      </c>
      <c r="L698" s="49">
        <f t="shared" si="42"/>
        <v>125500</v>
      </c>
      <c r="M698" s="50">
        <f t="shared" si="43"/>
        <v>0</v>
      </c>
    </row>
    <row r="699" spans="1:13" x14ac:dyDescent="0.25">
      <c r="A699" s="54">
        <v>45271</v>
      </c>
      <c r="B699" s="24">
        <f t="shared" si="40"/>
        <v>12</v>
      </c>
      <c r="C699" s="24">
        <f t="shared" si="41"/>
        <v>2023</v>
      </c>
      <c r="D699" s="104" t="s">
        <v>352</v>
      </c>
      <c r="E699" s="104" t="s">
        <v>343</v>
      </c>
      <c r="F699" s="104" t="s">
        <v>580</v>
      </c>
      <c r="J699" s="61">
        <v>150000</v>
      </c>
      <c r="L699" s="49">
        <f t="shared" si="42"/>
        <v>275500</v>
      </c>
      <c r="M699" s="50">
        <f t="shared" si="43"/>
        <v>0</v>
      </c>
    </row>
    <row r="700" spans="1:13" x14ac:dyDescent="0.25">
      <c r="A700" s="54">
        <v>45271</v>
      </c>
      <c r="B700" s="24">
        <f t="shared" si="40"/>
        <v>12</v>
      </c>
      <c r="C700" s="24">
        <f t="shared" si="41"/>
        <v>2023</v>
      </c>
      <c r="D700" s="104" t="s">
        <v>135</v>
      </c>
      <c r="E700" s="104" t="s">
        <v>343</v>
      </c>
      <c r="F700" s="104" t="s">
        <v>582</v>
      </c>
      <c r="K700" s="61">
        <v>9030</v>
      </c>
      <c r="L700" s="49">
        <f t="shared" si="42"/>
        <v>266470</v>
      </c>
      <c r="M700" s="50">
        <f t="shared" si="43"/>
        <v>0</v>
      </c>
    </row>
    <row r="701" spans="1:13" x14ac:dyDescent="0.25">
      <c r="A701" s="80">
        <v>45271</v>
      </c>
      <c r="B701" s="24">
        <f t="shared" si="40"/>
        <v>12</v>
      </c>
      <c r="C701" s="24">
        <f t="shared" si="41"/>
        <v>2023</v>
      </c>
      <c r="D701" s="107" t="s">
        <v>122</v>
      </c>
      <c r="E701" s="107" t="s">
        <v>343</v>
      </c>
      <c r="F701" s="107"/>
      <c r="G701" s="107"/>
      <c r="H701" s="81"/>
      <c r="I701" s="81"/>
      <c r="J701" s="52"/>
      <c r="K701" s="52">
        <v>236470</v>
      </c>
      <c r="L701" s="49">
        <f t="shared" si="42"/>
        <v>30000</v>
      </c>
      <c r="M701" s="50">
        <f t="shared" si="43"/>
        <v>0</v>
      </c>
    </row>
    <row r="702" spans="1:13" x14ac:dyDescent="0.25">
      <c r="A702" s="54">
        <v>45272</v>
      </c>
      <c r="B702" s="24">
        <f t="shared" si="40"/>
        <v>12</v>
      </c>
      <c r="C702" s="24">
        <f t="shared" si="41"/>
        <v>2023</v>
      </c>
      <c r="D702" s="104" t="s">
        <v>352</v>
      </c>
      <c r="E702" s="104" t="s">
        <v>343</v>
      </c>
      <c r="F702" s="104" t="s">
        <v>563</v>
      </c>
      <c r="J702" s="61">
        <v>13000</v>
      </c>
      <c r="L702" s="49">
        <f t="shared" si="42"/>
        <v>43000</v>
      </c>
      <c r="M702" s="50">
        <f t="shared" si="43"/>
        <v>0</v>
      </c>
    </row>
    <row r="703" spans="1:13" x14ac:dyDescent="0.25">
      <c r="A703" s="54">
        <v>45272</v>
      </c>
      <c r="B703" s="24">
        <f t="shared" si="40"/>
        <v>12</v>
      </c>
      <c r="C703" s="24">
        <f t="shared" si="41"/>
        <v>2023</v>
      </c>
      <c r="D703" s="104" t="s">
        <v>352</v>
      </c>
      <c r="E703" s="104" t="s">
        <v>343</v>
      </c>
      <c r="F703" s="104" t="s">
        <v>528</v>
      </c>
      <c r="J703" s="61">
        <v>72600</v>
      </c>
      <c r="L703" s="49">
        <f t="shared" si="42"/>
        <v>115600</v>
      </c>
      <c r="M703" s="50">
        <f t="shared" si="43"/>
        <v>0</v>
      </c>
    </row>
    <row r="704" spans="1:13" x14ac:dyDescent="0.25">
      <c r="A704" s="54">
        <v>45272</v>
      </c>
      <c r="B704" s="24">
        <f t="shared" si="40"/>
        <v>12</v>
      </c>
      <c r="C704" s="24">
        <f t="shared" si="41"/>
        <v>2023</v>
      </c>
      <c r="D704" s="104" t="s">
        <v>89</v>
      </c>
      <c r="E704" s="104" t="s">
        <v>343</v>
      </c>
      <c r="F704" s="104" t="s">
        <v>583</v>
      </c>
      <c r="J704" s="61">
        <v>20000</v>
      </c>
      <c r="L704" s="49">
        <f t="shared" si="42"/>
        <v>135600</v>
      </c>
      <c r="M704" s="50">
        <f t="shared" si="43"/>
        <v>0</v>
      </c>
    </row>
    <row r="705" spans="1:13" x14ac:dyDescent="0.25">
      <c r="A705" s="54">
        <v>45272</v>
      </c>
      <c r="B705" s="24">
        <f t="shared" si="40"/>
        <v>12</v>
      </c>
      <c r="C705" s="24">
        <f t="shared" si="41"/>
        <v>2023</v>
      </c>
      <c r="D705" s="104" t="s">
        <v>384</v>
      </c>
      <c r="E705" s="104" t="s">
        <v>343</v>
      </c>
      <c r="J705" s="61">
        <v>52929</v>
      </c>
      <c r="L705" s="49">
        <f t="shared" si="42"/>
        <v>188529</v>
      </c>
      <c r="M705" s="50">
        <f t="shared" si="43"/>
        <v>0</v>
      </c>
    </row>
    <row r="706" spans="1:13" x14ac:dyDescent="0.25">
      <c r="A706" s="54">
        <v>45272</v>
      </c>
      <c r="B706" s="24">
        <f t="shared" si="40"/>
        <v>12</v>
      </c>
      <c r="C706" s="24">
        <f t="shared" si="41"/>
        <v>2023</v>
      </c>
      <c r="D706" s="104" t="s">
        <v>124</v>
      </c>
      <c r="E706" s="104" t="s">
        <v>343</v>
      </c>
      <c r="G706" s="104" t="s">
        <v>584</v>
      </c>
      <c r="K706" s="61">
        <v>52929</v>
      </c>
      <c r="L706" s="49">
        <f t="shared" si="42"/>
        <v>135600</v>
      </c>
      <c r="M706" s="50">
        <f t="shared" si="43"/>
        <v>0</v>
      </c>
    </row>
    <row r="707" spans="1:13" x14ac:dyDescent="0.25">
      <c r="A707" s="80">
        <v>45272</v>
      </c>
      <c r="B707" s="24">
        <f t="shared" ref="B707:B770" si="44">MONTH(A707)</f>
        <v>12</v>
      </c>
      <c r="C707" s="24">
        <f t="shared" ref="C707:C770" si="45">YEAR(A707)</f>
        <v>2023</v>
      </c>
      <c r="D707" s="107" t="s">
        <v>361</v>
      </c>
      <c r="E707" s="107" t="s">
        <v>343</v>
      </c>
      <c r="F707" s="107"/>
      <c r="G707" s="107"/>
      <c r="H707" s="81"/>
      <c r="I707" s="81"/>
      <c r="J707" s="52"/>
      <c r="K707" s="52">
        <v>105600</v>
      </c>
      <c r="L707" s="49">
        <f t="shared" si="42"/>
        <v>30000</v>
      </c>
      <c r="M707" s="50">
        <f t="shared" si="43"/>
        <v>0</v>
      </c>
    </row>
    <row r="708" spans="1:13" x14ac:dyDescent="0.25">
      <c r="A708" s="54">
        <v>45273</v>
      </c>
      <c r="B708" s="24">
        <f t="shared" si="44"/>
        <v>12</v>
      </c>
      <c r="C708" s="24">
        <f t="shared" si="45"/>
        <v>2023</v>
      </c>
      <c r="D708" s="104" t="s">
        <v>352</v>
      </c>
      <c r="E708" s="104" t="s">
        <v>343</v>
      </c>
      <c r="F708" s="104" t="s">
        <v>585</v>
      </c>
      <c r="J708" s="61">
        <v>69800</v>
      </c>
      <c r="L708" s="49">
        <f t="shared" ref="L708:L771" si="46">IF((L707+M707+J708-K708)&gt;0,(L707+M707+J708-K708),0)</f>
        <v>99800</v>
      </c>
      <c r="M708" s="50">
        <f t="shared" ref="M708:M771" si="47">IF((L707+M707+J708-K708)&lt;0,(L707+M707+J708-K708),0)</f>
        <v>0</v>
      </c>
    </row>
    <row r="709" spans="1:13" x14ac:dyDescent="0.25">
      <c r="A709" s="54">
        <v>45273</v>
      </c>
      <c r="B709" s="24">
        <f t="shared" si="44"/>
        <v>12</v>
      </c>
      <c r="C709" s="24">
        <f t="shared" si="45"/>
        <v>2023</v>
      </c>
      <c r="D709" s="104" t="s">
        <v>352</v>
      </c>
      <c r="E709" s="104" t="s">
        <v>343</v>
      </c>
      <c r="F709" s="104" t="s">
        <v>586</v>
      </c>
      <c r="J709" s="61">
        <v>268300</v>
      </c>
      <c r="L709" s="49">
        <f t="shared" si="46"/>
        <v>368100</v>
      </c>
      <c r="M709" s="50">
        <f t="shared" si="47"/>
        <v>0</v>
      </c>
    </row>
    <row r="710" spans="1:13" x14ac:dyDescent="0.25">
      <c r="A710" s="54">
        <v>45273</v>
      </c>
      <c r="B710" s="24">
        <f t="shared" si="44"/>
        <v>12</v>
      </c>
      <c r="C710" s="24">
        <f t="shared" si="45"/>
        <v>2023</v>
      </c>
      <c r="D710" s="104" t="s">
        <v>352</v>
      </c>
      <c r="E710" s="104" t="s">
        <v>343</v>
      </c>
      <c r="F710" s="104" t="s">
        <v>477</v>
      </c>
      <c r="J710" s="61">
        <v>14100</v>
      </c>
      <c r="L710" s="49">
        <f t="shared" si="46"/>
        <v>382200</v>
      </c>
      <c r="M710" s="50">
        <f t="shared" si="47"/>
        <v>0</v>
      </c>
    </row>
    <row r="711" spans="1:13" x14ac:dyDescent="0.25">
      <c r="A711" s="80">
        <v>45273</v>
      </c>
      <c r="B711" s="24">
        <f t="shared" si="44"/>
        <v>12</v>
      </c>
      <c r="C711" s="24">
        <f t="shared" si="45"/>
        <v>2023</v>
      </c>
      <c r="D711" s="107" t="s">
        <v>361</v>
      </c>
      <c r="E711" s="107" t="s">
        <v>343</v>
      </c>
      <c r="F711" s="107"/>
      <c r="G711" s="107"/>
      <c r="H711" s="81"/>
      <c r="I711" s="81"/>
      <c r="J711" s="52"/>
      <c r="K711" s="52">
        <v>352200</v>
      </c>
      <c r="L711" s="49">
        <f t="shared" si="46"/>
        <v>30000</v>
      </c>
      <c r="M711" s="50">
        <f t="shared" si="47"/>
        <v>0</v>
      </c>
    </row>
    <row r="712" spans="1:13" x14ac:dyDescent="0.25">
      <c r="A712" s="54">
        <v>45274</v>
      </c>
      <c r="B712" s="24">
        <f t="shared" si="44"/>
        <v>12</v>
      </c>
      <c r="C712" s="24">
        <f t="shared" si="45"/>
        <v>2023</v>
      </c>
      <c r="D712" s="104" t="s">
        <v>51</v>
      </c>
      <c r="E712" s="104" t="s">
        <v>343</v>
      </c>
      <c r="K712" s="61">
        <v>6000</v>
      </c>
      <c r="L712" s="49">
        <f t="shared" si="46"/>
        <v>24000</v>
      </c>
      <c r="M712" s="50">
        <f t="shared" si="47"/>
        <v>0</v>
      </c>
    </row>
    <row r="713" spans="1:13" x14ac:dyDescent="0.25">
      <c r="A713" s="54">
        <v>45274</v>
      </c>
      <c r="B713" s="24">
        <f t="shared" si="44"/>
        <v>12</v>
      </c>
      <c r="C713" s="24">
        <f t="shared" si="45"/>
        <v>2023</v>
      </c>
      <c r="D713" s="104" t="s">
        <v>89</v>
      </c>
      <c r="E713" s="104" t="s">
        <v>343</v>
      </c>
      <c r="F713" s="104" t="s">
        <v>588</v>
      </c>
      <c r="J713" s="61">
        <v>6000</v>
      </c>
      <c r="L713" s="49">
        <f t="shared" si="46"/>
        <v>30000</v>
      </c>
      <c r="M713" s="50">
        <f t="shared" si="47"/>
        <v>0</v>
      </c>
    </row>
    <row r="714" spans="1:13" x14ac:dyDescent="0.25">
      <c r="A714" s="54">
        <v>45274</v>
      </c>
      <c r="B714" s="24">
        <f t="shared" si="44"/>
        <v>12</v>
      </c>
      <c r="C714" s="24">
        <f t="shared" si="45"/>
        <v>2023</v>
      </c>
      <c r="D714" s="104" t="s">
        <v>135</v>
      </c>
      <c r="E714" s="104" t="s">
        <v>343</v>
      </c>
      <c r="F714" s="104" t="s">
        <v>589</v>
      </c>
      <c r="K714" s="61">
        <v>13600</v>
      </c>
      <c r="L714" s="49">
        <f t="shared" si="46"/>
        <v>16400</v>
      </c>
      <c r="M714" s="50">
        <f t="shared" si="47"/>
        <v>0</v>
      </c>
    </row>
    <row r="715" spans="1:13" x14ac:dyDescent="0.25">
      <c r="A715" s="54">
        <v>45274</v>
      </c>
      <c r="B715" s="24">
        <f t="shared" si="44"/>
        <v>12</v>
      </c>
      <c r="C715" s="24">
        <f t="shared" si="45"/>
        <v>2023</v>
      </c>
      <c r="D715" s="104" t="s">
        <v>352</v>
      </c>
      <c r="E715" s="104" t="s">
        <v>343</v>
      </c>
      <c r="F715" s="104" t="s">
        <v>592</v>
      </c>
      <c r="J715" s="61">
        <v>99000</v>
      </c>
      <c r="L715" s="49">
        <f t="shared" si="46"/>
        <v>115400</v>
      </c>
      <c r="M715" s="50">
        <f t="shared" si="47"/>
        <v>0</v>
      </c>
    </row>
    <row r="716" spans="1:13" x14ac:dyDescent="0.25">
      <c r="A716" s="101">
        <v>45274</v>
      </c>
      <c r="B716" s="24">
        <f t="shared" si="44"/>
        <v>12</v>
      </c>
      <c r="C716" s="24">
        <f t="shared" si="45"/>
        <v>2023</v>
      </c>
      <c r="D716" s="112" t="s">
        <v>361</v>
      </c>
      <c r="E716" s="112" t="s">
        <v>343</v>
      </c>
      <c r="F716" s="112"/>
      <c r="G716" s="112"/>
      <c r="H716" s="102"/>
      <c r="I716" s="102"/>
      <c r="J716" s="121"/>
      <c r="K716" s="121">
        <v>85400</v>
      </c>
      <c r="L716" s="49">
        <f t="shared" si="46"/>
        <v>30000</v>
      </c>
      <c r="M716" s="50">
        <f t="shared" si="47"/>
        <v>0</v>
      </c>
    </row>
    <row r="717" spans="1:13" x14ac:dyDescent="0.25">
      <c r="A717" s="54">
        <v>45275</v>
      </c>
      <c r="B717" s="24">
        <f t="shared" si="44"/>
        <v>12</v>
      </c>
      <c r="C717" s="24">
        <f t="shared" si="45"/>
        <v>2023</v>
      </c>
      <c r="D717" s="104" t="s">
        <v>384</v>
      </c>
      <c r="E717" s="104" t="s">
        <v>343</v>
      </c>
      <c r="J717" s="61">
        <v>20000</v>
      </c>
      <c r="L717" s="49">
        <f t="shared" si="46"/>
        <v>50000</v>
      </c>
      <c r="M717" s="50">
        <f t="shared" si="47"/>
        <v>0</v>
      </c>
    </row>
    <row r="718" spans="1:13" x14ac:dyDescent="0.25">
      <c r="A718" s="54">
        <v>45275</v>
      </c>
      <c r="B718" s="24">
        <f t="shared" si="44"/>
        <v>12</v>
      </c>
      <c r="C718" s="24">
        <f t="shared" si="45"/>
        <v>2023</v>
      </c>
      <c r="D718" s="104" t="s">
        <v>352</v>
      </c>
      <c r="E718" s="104" t="s">
        <v>343</v>
      </c>
      <c r="F718" s="104" t="s">
        <v>595</v>
      </c>
      <c r="K718" s="61">
        <v>20000</v>
      </c>
      <c r="L718" s="49">
        <f t="shared" si="46"/>
        <v>30000</v>
      </c>
      <c r="M718" s="50">
        <f t="shared" si="47"/>
        <v>0</v>
      </c>
    </row>
    <row r="719" spans="1:13" x14ac:dyDescent="0.25">
      <c r="A719" s="54">
        <v>45278</v>
      </c>
      <c r="B719" s="24">
        <f t="shared" si="44"/>
        <v>12</v>
      </c>
      <c r="C719" s="24">
        <f t="shared" si="45"/>
        <v>2023</v>
      </c>
      <c r="D719" s="104" t="s">
        <v>352</v>
      </c>
      <c r="E719" s="104" t="s">
        <v>343</v>
      </c>
      <c r="F719" s="104" t="s">
        <v>596</v>
      </c>
      <c r="J719" s="61">
        <v>216100</v>
      </c>
      <c r="L719" s="49">
        <f t="shared" si="46"/>
        <v>246100</v>
      </c>
      <c r="M719" s="50">
        <f t="shared" si="47"/>
        <v>0</v>
      </c>
    </row>
    <row r="720" spans="1:13" x14ac:dyDescent="0.25">
      <c r="A720" s="54">
        <v>45278</v>
      </c>
      <c r="B720" s="24">
        <f t="shared" si="44"/>
        <v>12</v>
      </c>
      <c r="C720" s="24">
        <f t="shared" si="45"/>
        <v>2023</v>
      </c>
      <c r="D720" s="104" t="s">
        <v>352</v>
      </c>
      <c r="E720" s="104" t="s">
        <v>343</v>
      </c>
      <c r="F720" s="104" t="s">
        <v>597</v>
      </c>
      <c r="J720" s="61">
        <v>7100</v>
      </c>
      <c r="L720" s="49">
        <f t="shared" si="46"/>
        <v>253200</v>
      </c>
      <c r="M720" s="50">
        <f t="shared" si="47"/>
        <v>0</v>
      </c>
    </row>
    <row r="721" spans="1:13" x14ac:dyDescent="0.25">
      <c r="A721" s="54">
        <v>45278</v>
      </c>
      <c r="B721" s="24">
        <f t="shared" si="44"/>
        <v>12</v>
      </c>
      <c r="C721" s="24">
        <f t="shared" si="45"/>
        <v>2023</v>
      </c>
      <c r="D721" s="104" t="s">
        <v>109</v>
      </c>
      <c r="E721" s="104" t="s">
        <v>343</v>
      </c>
      <c r="F721" s="104" t="s">
        <v>354</v>
      </c>
      <c r="K721" s="61">
        <v>1300</v>
      </c>
      <c r="L721" s="49">
        <f t="shared" si="46"/>
        <v>251900</v>
      </c>
      <c r="M721" s="50">
        <f t="shared" si="47"/>
        <v>0</v>
      </c>
    </row>
    <row r="722" spans="1:13" x14ac:dyDescent="0.25">
      <c r="A722" s="54">
        <v>45278</v>
      </c>
      <c r="B722" s="24">
        <f t="shared" si="44"/>
        <v>12</v>
      </c>
      <c r="C722" s="24">
        <f t="shared" si="45"/>
        <v>2023</v>
      </c>
      <c r="D722" s="104" t="s">
        <v>135</v>
      </c>
      <c r="E722" s="104" t="s">
        <v>343</v>
      </c>
      <c r="F722" s="104" t="s">
        <v>598</v>
      </c>
      <c r="K722" s="61">
        <v>62400</v>
      </c>
      <c r="L722" s="49">
        <f t="shared" si="46"/>
        <v>189500</v>
      </c>
      <c r="M722" s="50">
        <f t="shared" si="47"/>
        <v>0</v>
      </c>
    </row>
    <row r="723" spans="1:13" x14ac:dyDescent="0.25">
      <c r="A723" s="54">
        <v>45278</v>
      </c>
      <c r="B723" s="24">
        <f t="shared" si="44"/>
        <v>12</v>
      </c>
      <c r="C723" s="24">
        <f t="shared" si="45"/>
        <v>2023</v>
      </c>
      <c r="D723" s="104" t="s">
        <v>109</v>
      </c>
      <c r="E723" s="104" t="s">
        <v>343</v>
      </c>
      <c r="F723" s="104" t="s">
        <v>298</v>
      </c>
      <c r="K723" s="61">
        <v>4400</v>
      </c>
      <c r="L723" s="49">
        <f t="shared" si="46"/>
        <v>185100</v>
      </c>
      <c r="M723" s="50">
        <f t="shared" si="47"/>
        <v>0</v>
      </c>
    </row>
    <row r="724" spans="1:13" x14ac:dyDescent="0.25">
      <c r="A724" s="80">
        <v>45278</v>
      </c>
      <c r="B724" s="24">
        <f t="shared" si="44"/>
        <v>12</v>
      </c>
      <c r="C724" s="24">
        <f t="shared" si="45"/>
        <v>2023</v>
      </c>
      <c r="D724" s="107" t="s">
        <v>122</v>
      </c>
      <c r="E724" s="107" t="s">
        <v>343</v>
      </c>
      <c r="F724" s="107"/>
      <c r="G724" s="107"/>
      <c r="H724" s="81"/>
      <c r="I724" s="81"/>
      <c r="J724" s="52"/>
      <c r="K724" s="52">
        <v>155100</v>
      </c>
      <c r="L724" s="49">
        <f t="shared" si="46"/>
        <v>30000</v>
      </c>
      <c r="M724" s="50">
        <f t="shared" si="47"/>
        <v>0</v>
      </c>
    </row>
    <row r="725" spans="1:13" x14ac:dyDescent="0.25">
      <c r="A725" s="54">
        <v>45279</v>
      </c>
      <c r="B725" s="24">
        <f t="shared" si="44"/>
        <v>12</v>
      </c>
      <c r="C725" s="24">
        <f t="shared" si="45"/>
        <v>2023</v>
      </c>
      <c r="D725" s="104" t="s">
        <v>352</v>
      </c>
      <c r="E725" s="104" t="s">
        <v>343</v>
      </c>
      <c r="F725" s="104" t="s">
        <v>600</v>
      </c>
      <c r="J725" s="61">
        <v>48000</v>
      </c>
      <c r="L725" s="49">
        <f t="shared" si="46"/>
        <v>78000</v>
      </c>
      <c r="M725" s="50">
        <f t="shared" si="47"/>
        <v>0</v>
      </c>
    </row>
    <row r="726" spans="1:13" x14ac:dyDescent="0.25">
      <c r="A726" s="80">
        <v>45279</v>
      </c>
      <c r="B726" s="24">
        <f t="shared" si="44"/>
        <v>12</v>
      </c>
      <c r="C726" s="24">
        <f t="shared" si="45"/>
        <v>2023</v>
      </c>
      <c r="D726" s="107" t="s">
        <v>384</v>
      </c>
      <c r="E726" s="107" t="s">
        <v>343</v>
      </c>
      <c r="F726" s="107"/>
      <c r="G726" s="107"/>
      <c r="H726" s="81"/>
      <c r="I726" s="81"/>
      <c r="J726" s="52"/>
      <c r="K726" s="52">
        <v>48000</v>
      </c>
      <c r="L726" s="49">
        <f t="shared" si="46"/>
        <v>30000</v>
      </c>
      <c r="M726" s="50">
        <f t="shared" si="47"/>
        <v>0</v>
      </c>
    </row>
    <row r="727" spans="1:13" x14ac:dyDescent="0.25">
      <c r="A727" s="54">
        <v>45280</v>
      </c>
      <c r="B727" s="24">
        <f t="shared" si="44"/>
        <v>12</v>
      </c>
      <c r="C727" s="24">
        <f t="shared" si="45"/>
        <v>2023</v>
      </c>
      <c r="D727" s="104" t="s">
        <v>352</v>
      </c>
      <c r="E727" s="104" t="s">
        <v>343</v>
      </c>
      <c r="F727" s="104" t="s">
        <v>497</v>
      </c>
      <c r="J727" s="61">
        <v>100000</v>
      </c>
      <c r="L727" s="49">
        <f t="shared" si="46"/>
        <v>130000</v>
      </c>
      <c r="M727" s="50">
        <f t="shared" si="47"/>
        <v>0</v>
      </c>
    </row>
    <row r="728" spans="1:13" x14ac:dyDescent="0.25">
      <c r="A728" s="54">
        <v>45280</v>
      </c>
      <c r="B728" s="24">
        <f t="shared" si="44"/>
        <v>12</v>
      </c>
      <c r="C728" s="24">
        <f t="shared" si="45"/>
        <v>2023</v>
      </c>
      <c r="D728" s="104" t="s">
        <v>109</v>
      </c>
      <c r="E728" s="104" t="s">
        <v>343</v>
      </c>
      <c r="K728" s="61">
        <v>3700</v>
      </c>
      <c r="L728" s="49">
        <f t="shared" si="46"/>
        <v>126300</v>
      </c>
      <c r="M728" s="50">
        <f t="shared" si="47"/>
        <v>0</v>
      </c>
    </row>
    <row r="729" spans="1:13" x14ac:dyDescent="0.25">
      <c r="A729" s="54">
        <v>45280</v>
      </c>
      <c r="B729" s="24">
        <f t="shared" si="44"/>
        <v>12</v>
      </c>
      <c r="C729" s="24">
        <f t="shared" si="45"/>
        <v>2023</v>
      </c>
      <c r="D729" s="104" t="s">
        <v>352</v>
      </c>
      <c r="E729" s="104" t="s">
        <v>343</v>
      </c>
      <c r="F729" s="104" t="s">
        <v>575</v>
      </c>
      <c r="J729" s="61">
        <v>57700</v>
      </c>
      <c r="L729" s="49">
        <f t="shared" si="46"/>
        <v>184000</v>
      </c>
      <c r="M729" s="50">
        <f t="shared" si="47"/>
        <v>0</v>
      </c>
    </row>
    <row r="730" spans="1:13" x14ac:dyDescent="0.25">
      <c r="A730" s="54">
        <v>45280</v>
      </c>
      <c r="B730" s="24">
        <f t="shared" si="44"/>
        <v>12</v>
      </c>
      <c r="C730" s="24">
        <f t="shared" si="45"/>
        <v>2023</v>
      </c>
      <c r="D730" s="104" t="s">
        <v>352</v>
      </c>
      <c r="E730" s="104" t="s">
        <v>343</v>
      </c>
      <c r="F730" s="104" t="s">
        <v>603</v>
      </c>
      <c r="J730" s="61">
        <v>19600</v>
      </c>
      <c r="L730" s="49">
        <f t="shared" si="46"/>
        <v>203600</v>
      </c>
      <c r="M730" s="50">
        <f t="shared" si="47"/>
        <v>0</v>
      </c>
    </row>
    <row r="731" spans="1:13" x14ac:dyDescent="0.25">
      <c r="A731" s="54">
        <v>45280</v>
      </c>
      <c r="B731" s="24">
        <f t="shared" si="44"/>
        <v>12</v>
      </c>
      <c r="C731" s="24">
        <f t="shared" si="45"/>
        <v>2023</v>
      </c>
      <c r="D731" s="104" t="s">
        <v>352</v>
      </c>
      <c r="E731" s="104" t="s">
        <v>343</v>
      </c>
      <c r="F731" s="104" t="s">
        <v>400</v>
      </c>
      <c r="J731" s="61">
        <v>20000</v>
      </c>
      <c r="L731" s="49">
        <f t="shared" si="46"/>
        <v>223600</v>
      </c>
      <c r="M731" s="50">
        <f t="shared" si="47"/>
        <v>0</v>
      </c>
    </row>
    <row r="732" spans="1:13" x14ac:dyDescent="0.25">
      <c r="A732" s="80">
        <v>45280</v>
      </c>
      <c r="B732" s="24">
        <f t="shared" si="44"/>
        <v>12</v>
      </c>
      <c r="C732" s="24">
        <f t="shared" si="45"/>
        <v>2023</v>
      </c>
      <c r="D732" s="107" t="s">
        <v>361</v>
      </c>
      <c r="E732" s="107" t="s">
        <v>343</v>
      </c>
      <c r="F732" s="107"/>
      <c r="G732" s="107"/>
      <c r="H732" s="81"/>
      <c r="I732" s="81"/>
      <c r="J732" s="52"/>
      <c r="K732" s="52">
        <v>193600</v>
      </c>
      <c r="L732" s="49">
        <f t="shared" si="46"/>
        <v>30000</v>
      </c>
      <c r="M732" s="50">
        <f t="shared" si="47"/>
        <v>0</v>
      </c>
    </row>
    <row r="733" spans="1:13" x14ac:dyDescent="0.25">
      <c r="A733" s="54">
        <v>45281</v>
      </c>
      <c r="B733" s="24">
        <f t="shared" si="44"/>
        <v>12</v>
      </c>
      <c r="C733" s="24">
        <f t="shared" si="45"/>
        <v>2023</v>
      </c>
      <c r="D733" s="104" t="s">
        <v>352</v>
      </c>
      <c r="E733" s="104" t="s">
        <v>343</v>
      </c>
      <c r="F733" s="104" t="s">
        <v>608</v>
      </c>
      <c r="J733" s="61">
        <v>220000</v>
      </c>
      <c r="L733" s="49">
        <f t="shared" si="46"/>
        <v>250000</v>
      </c>
      <c r="M733" s="50">
        <f t="shared" si="47"/>
        <v>0</v>
      </c>
    </row>
    <row r="734" spans="1:13" x14ac:dyDescent="0.25">
      <c r="A734" s="80">
        <v>45281</v>
      </c>
      <c r="B734" s="24">
        <f t="shared" si="44"/>
        <v>12</v>
      </c>
      <c r="C734" s="24">
        <f t="shared" si="45"/>
        <v>2023</v>
      </c>
      <c r="D734" s="107" t="s">
        <v>122</v>
      </c>
      <c r="E734" s="107" t="s">
        <v>343</v>
      </c>
      <c r="F734" s="107"/>
      <c r="G734" s="107"/>
      <c r="H734" s="81"/>
      <c r="I734" s="81"/>
      <c r="J734" s="52"/>
      <c r="K734" s="52">
        <v>220000</v>
      </c>
      <c r="L734" s="49">
        <f t="shared" si="46"/>
        <v>30000</v>
      </c>
      <c r="M734" s="50">
        <f t="shared" si="47"/>
        <v>0</v>
      </c>
    </row>
    <row r="735" spans="1:13" x14ac:dyDescent="0.25">
      <c r="A735" s="54">
        <v>45282</v>
      </c>
      <c r="B735" s="24">
        <f t="shared" si="44"/>
        <v>12</v>
      </c>
      <c r="C735" s="24">
        <f t="shared" si="45"/>
        <v>2023</v>
      </c>
      <c r="D735" s="104" t="s">
        <v>109</v>
      </c>
      <c r="E735" s="104" t="s">
        <v>343</v>
      </c>
      <c r="F735" s="104" t="s">
        <v>354</v>
      </c>
      <c r="K735" s="61">
        <v>1300</v>
      </c>
      <c r="L735" s="49">
        <f t="shared" si="46"/>
        <v>28700</v>
      </c>
      <c r="M735" s="50">
        <f t="shared" si="47"/>
        <v>0</v>
      </c>
    </row>
    <row r="736" spans="1:13" x14ac:dyDescent="0.25">
      <c r="A736" s="54">
        <v>45282</v>
      </c>
      <c r="B736" s="24">
        <f t="shared" si="44"/>
        <v>12</v>
      </c>
      <c r="C736" s="24">
        <f t="shared" si="45"/>
        <v>2023</v>
      </c>
      <c r="D736" s="104" t="s">
        <v>89</v>
      </c>
      <c r="E736" s="104" t="s">
        <v>343</v>
      </c>
      <c r="F736" s="104" t="s">
        <v>609</v>
      </c>
      <c r="J736" s="61">
        <v>57600</v>
      </c>
      <c r="L736" s="49">
        <f t="shared" si="46"/>
        <v>86300</v>
      </c>
      <c r="M736" s="50">
        <f t="shared" si="47"/>
        <v>0</v>
      </c>
    </row>
    <row r="737" spans="1:13" x14ac:dyDescent="0.25">
      <c r="A737" s="54">
        <v>45282</v>
      </c>
      <c r="B737" s="24">
        <f t="shared" si="44"/>
        <v>12</v>
      </c>
      <c r="C737" s="24">
        <f t="shared" si="45"/>
        <v>2023</v>
      </c>
      <c r="D737" s="104" t="s">
        <v>124</v>
      </c>
      <c r="E737" s="104" t="s">
        <v>343</v>
      </c>
      <c r="F737" s="104" t="s">
        <v>611</v>
      </c>
      <c r="K737" s="61">
        <v>2000</v>
      </c>
      <c r="L737" s="49">
        <f t="shared" si="46"/>
        <v>84300</v>
      </c>
      <c r="M737" s="50">
        <f t="shared" si="47"/>
        <v>0</v>
      </c>
    </row>
    <row r="738" spans="1:13" x14ac:dyDescent="0.25">
      <c r="A738" s="54">
        <v>45282</v>
      </c>
      <c r="B738" s="24">
        <f t="shared" si="44"/>
        <v>12</v>
      </c>
      <c r="C738" s="24">
        <f t="shared" si="45"/>
        <v>2023</v>
      </c>
      <c r="D738" s="104" t="s">
        <v>124</v>
      </c>
      <c r="E738" s="104" t="s">
        <v>343</v>
      </c>
      <c r="F738" s="104" t="s">
        <v>239</v>
      </c>
      <c r="K738" s="61">
        <v>2500</v>
      </c>
      <c r="L738" s="49">
        <f t="shared" si="46"/>
        <v>81800</v>
      </c>
      <c r="M738" s="50">
        <f t="shared" si="47"/>
        <v>0</v>
      </c>
    </row>
    <row r="739" spans="1:13" x14ac:dyDescent="0.25">
      <c r="A739" s="54">
        <v>45282</v>
      </c>
      <c r="B739" s="24">
        <f t="shared" si="44"/>
        <v>12</v>
      </c>
      <c r="C739" s="24">
        <f t="shared" si="45"/>
        <v>2023</v>
      </c>
      <c r="D739" s="104" t="s">
        <v>352</v>
      </c>
      <c r="E739" s="104" t="s">
        <v>343</v>
      </c>
      <c r="J739" s="61">
        <v>2500</v>
      </c>
      <c r="L739" s="49">
        <f t="shared" si="46"/>
        <v>84300</v>
      </c>
      <c r="M739" s="50">
        <f t="shared" si="47"/>
        <v>0</v>
      </c>
    </row>
    <row r="740" spans="1:13" x14ac:dyDescent="0.25">
      <c r="A740" s="80">
        <v>45282</v>
      </c>
      <c r="B740" s="24">
        <f t="shared" si="44"/>
        <v>12</v>
      </c>
      <c r="C740" s="24">
        <f t="shared" si="45"/>
        <v>2023</v>
      </c>
      <c r="D740" s="107" t="s">
        <v>122</v>
      </c>
      <c r="E740" s="107" t="s">
        <v>343</v>
      </c>
      <c r="F740" s="107"/>
      <c r="G740" s="107"/>
      <c r="H740" s="81"/>
      <c r="I740" s="81"/>
      <c r="J740" s="52"/>
      <c r="K740" s="52">
        <v>54300</v>
      </c>
      <c r="L740" s="49">
        <f t="shared" si="46"/>
        <v>30000</v>
      </c>
      <c r="M740" s="50">
        <f t="shared" si="47"/>
        <v>0</v>
      </c>
    </row>
    <row r="741" spans="1:13" x14ac:dyDescent="0.25">
      <c r="A741" s="54">
        <v>45293</v>
      </c>
      <c r="B741" s="24">
        <f t="shared" si="44"/>
        <v>1</v>
      </c>
      <c r="C741" s="24">
        <f t="shared" si="45"/>
        <v>2024</v>
      </c>
      <c r="D741" s="104" t="s">
        <v>352</v>
      </c>
      <c r="E741" s="104" t="s">
        <v>343</v>
      </c>
      <c r="F741" s="104" t="s">
        <v>613</v>
      </c>
      <c r="J741" s="61">
        <v>80200</v>
      </c>
      <c r="L741" s="49">
        <f t="shared" si="46"/>
        <v>110200</v>
      </c>
      <c r="M741" s="50">
        <f t="shared" si="47"/>
        <v>0</v>
      </c>
    </row>
    <row r="742" spans="1:13" x14ac:dyDescent="0.25">
      <c r="A742" s="54">
        <v>45293</v>
      </c>
      <c r="B742" s="24">
        <f t="shared" si="44"/>
        <v>1</v>
      </c>
      <c r="C742" s="24">
        <f t="shared" si="45"/>
        <v>2024</v>
      </c>
      <c r="D742" s="104" t="s">
        <v>360</v>
      </c>
      <c r="E742" s="104" t="s">
        <v>343</v>
      </c>
      <c r="F742" s="104" t="s">
        <v>614</v>
      </c>
      <c r="K742" s="61">
        <v>4000</v>
      </c>
      <c r="L742" s="49">
        <f t="shared" si="46"/>
        <v>106200</v>
      </c>
      <c r="M742" s="50">
        <f t="shared" si="47"/>
        <v>0</v>
      </c>
    </row>
    <row r="743" spans="1:13" x14ac:dyDescent="0.25">
      <c r="A743" s="54">
        <v>45293</v>
      </c>
      <c r="B743" s="24">
        <f t="shared" si="44"/>
        <v>1</v>
      </c>
      <c r="C743" s="24">
        <f t="shared" si="45"/>
        <v>2024</v>
      </c>
      <c r="D743" s="104" t="s">
        <v>109</v>
      </c>
      <c r="E743" s="104" t="s">
        <v>343</v>
      </c>
      <c r="F743" s="104" t="s">
        <v>246</v>
      </c>
      <c r="K743" s="61">
        <v>5000</v>
      </c>
      <c r="L743" s="49">
        <f t="shared" si="46"/>
        <v>101200</v>
      </c>
      <c r="M743" s="50">
        <f t="shared" si="47"/>
        <v>0</v>
      </c>
    </row>
    <row r="744" spans="1:13" x14ac:dyDescent="0.25">
      <c r="A744" s="54">
        <v>45293</v>
      </c>
      <c r="B744" s="24">
        <f t="shared" si="44"/>
        <v>1</v>
      </c>
      <c r="C744" s="24">
        <f t="shared" si="45"/>
        <v>2024</v>
      </c>
      <c r="D744" s="104" t="s">
        <v>110</v>
      </c>
      <c r="E744" s="104" t="s">
        <v>343</v>
      </c>
      <c r="J744" s="61">
        <v>3000</v>
      </c>
      <c r="L744" s="49">
        <f t="shared" si="46"/>
        <v>104200</v>
      </c>
      <c r="M744" s="50">
        <f t="shared" si="47"/>
        <v>0</v>
      </c>
    </row>
    <row r="745" spans="1:13" x14ac:dyDescent="0.25">
      <c r="A745" s="80">
        <v>45293</v>
      </c>
      <c r="B745" s="24">
        <f t="shared" si="44"/>
        <v>1</v>
      </c>
      <c r="C745" s="24">
        <f t="shared" si="45"/>
        <v>2024</v>
      </c>
      <c r="D745" s="107" t="s">
        <v>122</v>
      </c>
      <c r="E745" s="107" t="s">
        <v>343</v>
      </c>
      <c r="F745" s="107"/>
      <c r="G745" s="107"/>
      <c r="H745" s="81"/>
      <c r="I745" s="81"/>
      <c r="J745" s="52"/>
      <c r="K745" s="52">
        <v>74200</v>
      </c>
      <c r="L745" s="49">
        <f t="shared" si="46"/>
        <v>30000</v>
      </c>
      <c r="M745" s="50">
        <f t="shared" si="47"/>
        <v>0</v>
      </c>
    </row>
    <row r="746" spans="1:13" x14ac:dyDescent="0.25">
      <c r="A746" s="54">
        <v>45294</v>
      </c>
      <c r="B746" s="24">
        <f t="shared" si="44"/>
        <v>1</v>
      </c>
      <c r="C746" s="24">
        <f t="shared" si="45"/>
        <v>2024</v>
      </c>
      <c r="D746" s="104" t="s">
        <v>89</v>
      </c>
      <c r="E746" s="104" t="s">
        <v>343</v>
      </c>
      <c r="F746" s="104" t="s">
        <v>456</v>
      </c>
      <c r="J746" s="61">
        <v>40000</v>
      </c>
      <c r="L746" s="49">
        <f t="shared" si="46"/>
        <v>70000</v>
      </c>
      <c r="M746" s="50">
        <f t="shared" si="47"/>
        <v>0</v>
      </c>
    </row>
    <row r="747" spans="1:13" x14ac:dyDescent="0.25">
      <c r="A747" s="80">
        <v>45294</v>
      </c>
      <c r="B747" s="24">
        <f t="shared" si="44"/>
        <v>1</v>
      </c>
      <c r="C747" s="24">
        <f t="shared" si="45"/>
        <v>2024</v>
      </c>
      <c r="D747" s="107" t="s">
        <v>122</v>
      </c>
      <c r="E747" s="107" t="s">
        <v>343</v>
      </c>
      <c r="F747" s="107"/>
      <c r="G747" s="107"/>
      <c r="H747" s="81"/>
      <c r="I747" s="81"/>
      <c r="J747" s="52"/>
      <c r="K747" s="52">
        <v>40000</v>
      </c>
      <c r="L747" s="49">
        <f t="shared" si="46"/>
        <v>30000</v>
      </c>
      <c r="M747" s="50">
        <f t="shared" si="47"/>
        <v>0</v>
      </c>
    </row>
    <row r="748" spans="1:13" x14ac:dyDescent="0.25">
      <c r="A748" s="54">
        <v>45295</v>
      </c>
      <c r="B748" s="24">
        <f t="shared" si="44"/>
        <v>1</v>
      </c>
      <c r="C748" s="24">
        <f t="shared" si="45"/>
        <v>2024</v>
      </c>
      <c r="D748" s="104" t="s">
        <v>109</v>
      </c>
      <c r="E748" s="104" t="s">
        <v>343</v>
      </c>
      <c r="F748" s="104" t="s">
        <v>616</v>
      </c>
      <c r="K748" s="61">
        <v>1300</v>
      </c>
      <c r="L748" s="49">
        <f t="shared" si="46"/>
        <v>28700</v>
      </c>
      <c r="M748" s="50">
        <f t="shared" si="47"/>
        <v>0</v>
      </c>
    </row>
    <row r="749" spans="1:13" x14ac:dyDescent="0.25">
      <c r="A749" s="54">
        <v>45295</v>
      </c>
      <c r="B749" s="24">
        <f t="shared" si="44"/>
        <v>1</v>
      </c>
      <c r="C749" s="24">
        <f t="shared" si="45"/>
        <v>2024</v>
      </c>
      <c r="D749" s="104" t="s">
        <v>112</v>
      </c>
      <c r="E749" s="104" t="s">
        <v>343</v>
      </c>
      <c r="K749" s="61">
        <v>12100</v>
      </c>
      <c r="L749" s="49">
        <f t="shared" si="46"/>
        <v>16600</v>
      </c>
      <c r="M749" s="50">
        <f t="shared" si="47"/>
        <v>0</v>
      </c>
    </row>
    <row r="750" spans="1:13" x14ac:dyDescent="0.25">
      <c r="A750" s="54">
        <v>45295</v>
      </c>
      <c r="B750" s="24">
        <f t="shared" si="44"/>
        <v>1</v>
      </c>
      <c r="C750" s="24">
        <f t="shared" si="45"/>
        <v>2024</v>
      </c>
      <c r="D750" s="104" t="s">
        <v>89</v>
      </c>
      <c r="E750" s="104" t="s">
        <v>343</v>
      </c>
      <c r="F750" s="104" t="s">
        <v>617</v>
      </c>
      <c r="J750" s="61">
        <v>3000</v>
      </c>
      <c r="L750" s="49">
        <f t="shared" si="46"/>
        <v>19600</v>
      </c>
      <c r="M750" s="50">
        <f t="shared" si="47"/>
        <v>0</v>
      </c>
    </row>
    <row r="751" spans="1:13" x14ac:dyDescent="0.25">
      <c r="A751" s="54">
        <v>45295</v>
      </c>
      <c r="B751" s="24">
        <f t="shared" si="44"/>
        <v>1</v>
      </c>
      <c r="C751" s="24">
        <f t="shared" si="45"/>
        <v>2024</v>
      </c>
      <c r="D751" s="104" t="s">
        <v>384</v>
      </c>
      <c r="E751" s="104" t="s">
        <v>343</v>
      </c>
      <c r="J751" s="61">
        <v>14856</v>
      </c>
      <c r="L751" s="49">
        <f t="shared" si="46"/>
        <v>34456</v>
      </c>
      <c r="M751" s="50">
        <f t="shared" si="47"/>
        <v>0</v>
      </c>
    </row>
    <row r="752" spans="1:13" x14ac:dyDescent="0.25">
      <c r="A752" s="54">
        <v>45295</v>
      </c>
      <c r="B752" s="24">
        <f t="shared" si="44"/>
        <v>1</v>
      </c>
      <c r="C752" s="24">
        <f t="shared" si="45"/>
        <v>2024</v>
      </c>
      <c r="D752" s="104" t="s">
        <v>124</v>
      </c>
      <c r="E752" s="104" t="s">
        <v>343</v>
      </c>
      <c r="F752" s="104" t="s">
        <v>618</v>
      </c>
      <c r="K752" s="61">
        <v>14856</v>
      </c>
      <c r="L752" s="49">
        <f t="shared" si="46"/>
        <v>19600</v>
      </c>
      <c r="M752" s="50">
        <f t="shared" si="47"/>
        <v>0</v>
      </c>
    </row>
    <row r="753" spans="1:13" x14ac:dyDescent="0.25">
      <c r="A753" s="54">
        <v>45295</v>
      </c>
      <c r="B753" s="24">
        <f t="shared" si="44"/>
        <v>1</v>
      </c>
      <c r="C753" s="24">
        <f t="shared" si="45"/>
        <v>2024</v>
      </c>
      <c r="D753" s="104" t="s">
        <v>109</v>
      </c>
      <c r="E753" s="104" t="s">
        <v>343</v>
      </c>
      <c r="K753" s="61">
        <v>2000</v>
      </c>
      <c r="L753" s="49">
        <f t="shared" si="46"/>
        <v>17600</v>
      </c>
      <c r="M753" s="50">
        <f t="shared" si="47"/>
        <v>0</v>
      </c>
    </row>
    <row r="754" spans="1:13" x14ac:dyDescent="0.25">
      <c r="A754" s="54">
        <v>45295</v>
      </c>
      <c r="B754" s="24">
        <f t="shared" si="44"/>
        <v>1</v>
      </c>
      <c r="C754" s="24">
        <f t="shared" si="45"/>
        <v>2024</v>
      </c>
      <c r="D754" s="104" t="s">
        <v>352</v>
      </c>
      <c r="E754" s="104" t="s">
        <v>343</v>
      </c>
      <c r="F754" s="104" t="s">
        <v>619</v>
      </c>
      <c r="J754" s="61">
        <v>70000</v>
      </c>
      <c r="L754" s="49">
        <f t="shared" si="46"/>
        <v>87600</v>
      </c>
      <c r="M754" s="50">
        <f t="shared" si="47"/>
        <v>0</v>
      </c>
    </row>
    <row r="755" spans="1:13" x14ac:dyDescent="0.25">
      <c r="A755" s="54">
        <v>45295</v>
      </c>
      <c r="B755" s="24">
        <f t="shared" si="44"/>
        <v>1</v>
      </c>
      <c r="C755" s="24">
        <f t="shared" si="45"/>
        <v>2024</v>
      </c>
      <c r="D755" s="104" t="s">
        <v>124</v>
      </c>
      <c r="E755" s="104" t="s">
        <v>343</v>
      </c>
      <c r="F755" s="104" t="s">
        <v>620</v>
      </c>
      <c r="K755" s="61">
        <v>4000</v>
      </c>
      <c r="L755" s="49">
        <f t="shared" si="46"/>
        <v>83600</v>
      </c>
      <c r="M755" s="50">
        <f t="shared" si="47"/>
        <v>0</v>
      </c>
    </row>
    <row r="756" spans="1:13" x14ac:dyDescent="0.25">
      <c r="A756" s="54">
        <v>45295</v>
      </c>
      <c r="B756" s="24">
        <f t="shared" si="44"/>
        <v>1</v>
      </c>
      <c r="C756" s="24">
        <f t="shared" si="45"/>
        <v>2024</v>
      </c>
      <c r="D756" s="104" t="s">
        <v>352</v>
      </c>
      <c r="E756" s="104" t="s">
        <v>343</v>
      </c>
      <c r="F756" s="104" t="s">
        <v>540</v>
      </c>
      <c r="J756" s="61">
        <v>180000</v>
      </c>
      <c r="L756" s="49">
        <f t="shared" si="46"/>
        <v>263600</v>
      </c>
      <c r="M756" s="50">
        <f t="shared" si="47"/>
        <v>0</v>
      </c>
    </row>
    <row r="757" spans="1:13" x14ac:dyDescent="0.25">
      <c r="A757" s="80">
        <v>45295</v>
      </c>
      <c r="B757" s="24">
        <f t="shared" si="44"/>
        <v>1</v>
      </c>
      <c r="C757" s="24">
        <f t="shared" si="45"/>
        <v>2024</v>
      </c>
      <c r="D757" s="107" t="s">
        <v>361</v>
      </c>
      <c r="E757" s="107" t="s">
        <v>343</v>
      </c>
      <c r="F757" s="107"/>
      <c r="G757" s="107"/>
      <c r="H757" s="81"/>
      <c r="I757" s="81"/>
      <c r="J757" s="52"/>
      <c r="K757" s="52">
        <v>233600</v>
      </c>
      <c r="L757" s="49">
        <f t="shared" si="46"/>
        <v>30000</v>
      </c>
      <c r="M757" s="50">
        <f t="shared" si="47"/>
        <v>0</v>
      </c>
    </row>
    <row r="758" spans="1:13" x14ac:dyDescent="0.25">
      <c r="A758" s="54">
        <v>45296</v>
      </c>
      <c r="B758" s="24">
        <f t="shared" si="44"/>
        <v>1</v>
      </c>
      <c r="C758" s="24">
        <f t="shared" si="45"/>
        <v>2024</v>
      </c>
      <c r="D758" s="104" t="s">
        <v>352</v>
      </c>
      <c r="E758" s="104" t="s">
        <v>343</v>
      </c>
      <c r="F758" s="104" t="s">
        <v>621</v>
      </c>
      <c r="J758" s="61">
        <v>20000</v>
      </c>
      <c r="L758" s="49">
        <f t="shared" si="46"/>
        <v>50000</v>
      </c>
      <c r="M758" s="50">
        <f t="shared" si="47"/>
        <v>0</v>
      </c>
    </row>
    <row r="759" spans="1:13" x14ac:dyDescent="0.25">
      <c r="A759" s="54">
        <v>45296</v>
      </c>
      <c r="B759" s="24">
        <f t="shared" si="44"/>
        <v>1</v>
      </c>
      <c r="C759" s="24">
        <f t="shared" si="45"/>
        <v>2024</v>
      </c>
      <c r="D759" s="104" t="s">
        <v>109</v>
      </c>
      <c r="E759" s="104" t="s">
        <v>343</v>
      </c>
      <c r="F759" s="104" t="s">
        <v>574</v>
      </c>
      <c r="K759" s="61">
        <v>12000</v>
      </c>
      <c r="L759" s="49">
        <f t="shared" si="46"/>
        <v>38000</v>
      </c>
      <c r="M759" s="50">
        <f t="shared" si="47"/>
        <v>0</v>
      </c>
    </row>
    <row r="760" spans="1:13" x14ac:dyDescent="0.25">
      <c r="A760" s="54">
        <v>45296</v>
      </c>
      <c r="B760" s="24">
        <f t="shared" si="44"/>
        <v>1</v>
      </c>
      <c r="C760" s="24">
        <f t="shared" si="45"/>
        <v>2024</v>
      </c>
      <c r="D760" s="104" t="s">
        <v>109</v>
      </c>
      <c r="E760" s="104" t="s">
        <v>343</v>
      </c>
      <c r="F760" s="104" t="s">
        <v>622</v>
      </c>
      <c r="K760" s="61">
        <v>2000</v>
      </c>
      <c r="L760" s="49">
        <f t="shared" si="46"/>
        <v>36000</v>
      </c>
      <c r="M760" s="50">
        <f t="shared" si="47"/>
        <v>0</v>
      </c>
    </row>
    <row r="761" spans="1:13" x14ac:dyDescent="0.25">
      <c r="A761" s="66">
        <v>45296</v>
      </c>
      <c r="B761" s="24">
        <f t="shared" si="44"/>
        <v>1</v>
      </c>
      <c r="C761" s="24">
        <f t="shared" si="45"/>
        <v>2024</v>
      </c>
      <c r="D761" s="109" t="s">
        <v>352</v>
      </c>
      <c r="E761" s="109" t="s">
        <v>343</v>
      </c>
      <c r="F761" s="109"/>
      <c r="G761" s="109"/>
      <c r="H761" s="14"/>
      <c r="I761" s="14"/>
      <c r="J761" s="118">
        <v>137000</v>
      </c>
      <c r="K761" s="52"/>
      <c r="L761" s="49">
        <f t="shared" si="46"/>
        <v>173000</v>
      </c>
      <c r="M761" s="50">
        <f t="shared" si="47"/>
        <v>0</v>
      </c>
    </row>
    <row r="762" spans="1:13" x14ac:dyDescent="0.25">
      <c r="A762" s="80">
        <v>45296</v>
      </c>
      <c r="B762" s="24">
        <f t="shared" si="44"/>
        <v>1</v>
      </c>
      <c r="C762" s="24">
        <f t="shared" si="45"/>
        <v>2024</v>
      </c>
      <c r="D762" s="107" t="s">
        <v>122</v>
      </c>
      <c r="E762" s="107" t="s">
        <v>343</v>
      </c>
      <c r="F762" s="107"/>
      <c r="G762" s="107"/>
      <c r="H762" s="81"/>
      <c r="I762" s="81"/>
      <c r="J762" s="52"/>
      <c r="K762" s="52">
        <v>143000</v>
      </c>
      <c r="L762" s="49">
        <f t="shared" si="46"/>
        <v>30000</v>
      </c>
      <c r="M762" s="50">
        <f t="shared" si="47"/>
        <v>0</v>
      </c>
    </row>
    <row r="763" spans="1:13" x14ac:dyDescent="0.25">
      <c r="A763" s="54">
        <v>45299</v>
      </c>
      <c r="B763" s="24">
        <f t="shared" si="44"/>
        <v>1</v>
      </c>
      <c r="C763" s="24">
        <f t="shared" si="45"/>
        <v>2024</v>
      </c>
      <c r="D763" s="104" t="s">
        <v>352</v>
      </c>
      <c r="E763" s="104" t="s">
        <v>343</v>
      </c>
      <c r="F763" s="104" t="s">
        <v>525</v>
      </c>
      <c r="J763" s="61">
        <v>100000</v>
      </c>
      <c r="L763" s="49">
        <f t="shared" si="46"/>
        <v>130000</v>
      </c>
      <c r="M763" s="50">
        <f t="shared" si="47"/>
        <v>0</v>
      </c>
    </row>
    <row r="764" spans="1:13" x14ac:dyDescent="0.25">
      <c r="A764" s="54">
        <v>45299</v>
      </c>
      <c r="B764" s="24">
        <f t="shared" si="44"/>
        <v>1</v>
      </c>
      <c r="C764" s="24">
        <f t="shared" si="45"/>
        <v>2024</v>
      </c>
      <c r="D764" s="104" t="s">
        <v>109</v>
      </c>
      <c r="E764" s="104" t="s">
        <v>343</v>
      </c>
      <c r="F764" s="104" t="s">
        <v>624</v>
      </c>
      <c r="K764" s="61">
        <v>1000</v>
      </c>
      <c r="L764" s="49">
        <f t="shared" si="46"/>
        <v>129000</v>
      </c>
      <c r="M764" s="50">
        <f t="shared" si="47"/>
        <v>0</v>
      </c>
    </row>
    <row r="765" spans="1:13" x14ac:dyDescent="0.25">
      <c r="A765" s="54">
        <v>45299</v>
      </c>
      <c r="B765" s="24">
        <f t="shared" si="44"/>
        <v>1</v>
      </c>
      <c r="C765" s="24">
        <f t="shared" si="45"/>
        <v>2024</v>
      </c>
      <c r="D765" s="104" t="s">
        <v>92</v>
      </c>
      <c r="E765" s="104" t="s">
        <v>92</v>
      </c>
      <c r="F765" s="104" t="s">
        <v>625</v>
      </c>
      <c r="K765" s="61">
        <v>100000</v>
      </c>
      <c r="L765" s="49">
        <f t="shared" si="46"/>
        <v>29000</v>
      </c>
      <c r="M765" s="50">
        <f t="shared" si="47"/>
        <v>0</v>
      </c>
    </row>
    <row r="766" spans="1:13" x14ac:dyDescent="0.25">
      <c r="A766" s="54">
        <v>45299</v>
      </c>
      <c r="B766" s="24">
        <f t="shared" si="44"/>
        <v>1</v>
      </c>
      <c r="C766" s="24">
        <f t="shared" si="45"/>
        <v>2024</v>
      </c>
      <c r="D766" s="104" t="s">
        <v>352</v>
      </c>
      <c r="E766" s="104" t="s">
        <v>93</v>
      </c>
      <c r="F766" s="104" t="s">
        <v>377</v>
      </c>
      <c r="J766" s="61">
        <v>54500</v>
      </c>
      <c r="L766" s="49">
        <f t="shared" si="46"/>
        <v>83500</v>
      </c>
      <c r="M766" s="50">
        <f t="shared" si="47"/>
        <v>0</v>
      </c>
    </row>
    <row r="767" spans="1:13" x14ac:dyDescent="0.25">
      <c r="A767" s="80">
        <v>45299</v>
      </c>
      <c r="B767" s="24">
        <f t="shared" si="44"/>
        <v>1</v>
      </c>
      <c r="C767" s="24">
        <f t="shared" si="45"/>
        <v>2024</v>
      </c>
      <c r="D767" s="107" t="s">
        <v>122</v>
      </c>
      <c r="E767" s="107" t="s">
        <v>343</v>
      </c>
      <c r="F767" s="107"/>
      <c r="G767" s="107"/>
      <c r="H767" s="81"/>
      <c r="I767" s="81"/>
      <c r="J767" s="52"/>
      <c r="K767" s="52">
        <v>53500</v>
      </c>
      <c r="L767" s="49">
        <f t="shared" si="46"/>
        <v>30000</v>
      </c>
      <c r="M767" s="50">
        <f t="shared" si="47"/>
        <v>0</v>
      </c>
    </row>
    <row r="768" spans="1:13" x14ac:dyDescent="0.25">
      <c r="A768" s="98">
        <v>45291</v>
      </c>
      <c r="B768" s="24">
        <f t="shared" si="44"/>
        <v>12</v>
      </c>
      <c r="C768" s="24">
        <f t="shared" si="45"/>
        <v>2023</v>
      </c>
      <c r="D768" s="111" t="s">
        <v>384</v>
      </c>
      <c r="E768" s="111" t="s">
        <v>343</v>
      </c>
      <c r="F768" s="111"/>
      <c r="G768" s="111"/>
      <c r="H768" s="99"/>
      <c r="I768" s="99"/>
      <c r="J768" s="120">
        <v>69793.45</v>
      </c>
      <c r="K768" s="120"/>
      <c r="L768" s="49">
        <f t="shared" si="46"/>
        <v>99793.45</v>
      </c>
      <c r="M768" s="50">
        <f t="shared" si="47"/>
        <v>0</v>
      </c>
    </row>
    <row r="769" spans="1:13" x14ac:dyDescent="0.25">
      <c r="A769" s="98">
        <v>45291</v>
      </c>
      <c r="B769" s="24">
        <f t="shared" si="44"/>
        <v>12</v>
      </c>
      <c r="C769" s="24">
        <f t="shared" si="45"/>
        <v>2023</v>
      </c>
      <c r="D769" s="111" t="s">
        <v>148</v>
      </c>
      <c r="E769" s="111" t="s">
        <v>343</v>
      </c>
      <c r="F769" s="111" t="s">
        <v>627</v>
      </c>
      <c r="G769" s="111"/>
      <c r="H769" s="99"/>
      <c r="I769" s="99"/>
      <c r="J769" s="120"/>
      <c r="K769" s="120">
        <v>69793.45</v>
      </c>
      <c r="L769" s="49">
        <f t="shared" si="46"/>
        <v>30000</v>
      </c>
      <c r="M769" s="50">
        <f t="shared" si="47"/>
        <v>0</v>
      </c>
    </row>
    <row r="770" spans="1:13" x14ac:dyDescent="0.25">
      <c r="A770" s="54">
        <v>45300</v>
      </c>
      <c r="B770" s="24">
        <f t="shared" si="44"/>
        <v>1</v>
      </c>
      <c r="C770" s="24">
        <f t="shared" si="45"/>
        <v>2024</v>
      </c>
      <c r="D770" s="104" t="s">
        <v>384</v>
      </c>
      <c r="E770" s="104" t="s">
        <v>343</v>
      </c>
      <c r="J770" s="61">
        <v>210590</v>
      </c>
      <c r="L770" s="49">
        <f t="shared" si="46"/>
        <v>240590</v>
      </c>
      <c r="M770" s="50">
        <f t="shared" si="47"/>
        <v>0</v>
      </c>
    </row>
    <row r="771" spans="1:13" x14ac:dyDescent="0.25">
      <c r="A771" s="54">
        <v>45300</v>
      </c>
      <c r="B771" s="24">
        <f t="shared" ref="B771:B834" si="48">MONTH(A771)</f>
        <v>1</v>
      </c>
      <c r="C771" s="24">
        <f t="shared" ref="C771:C834" si="49">YEAR(A771)</f>
        <v>2024</v>
      </c>
      <c r="D771" s="104" t="s">
        <v>124</v>
      </c>
      <c r="E771" s="104" t="s">
        <v>343</v>
      </c>
      <c r="G771" s="104" t="s">
        <v>333</v>
      </c>
      <c r="K771" s="61">
        <v>210590</v>
      </c>
      <c r="L771" s="49">
        <f t="shared" si="46"/>
        <v>30000</v>
      </c>
      <c r="M771" s="50">
        <f t="shared" si="47"/>
        <v>0</v>
      </c>
    </row>
    <row r="772" spans="1:13" x14ac:dyDescent="0.25">
      <c r="A772" s="54">
        <v>45300</v>
      </c>
      <c r="B772" s="24">
        <f t="shared" si="48"/>
        <v>1</v>
      </c>
      <c r="C772" s="24">
        <f t="shared" si="49"/>
        <v>2024</v>
      </c>
      <c r="D772" s="104" t="s">
        <v>352</v>
      </c>
      <c r="E772" s="104" t="s">
        <v>343</v>
      </c>
      <c r="F772" s="104" t="s">
        <v>150</v>
      </c>
      <c r="J772" s="61">
        <v>1000</v>
      </c>
      <c r="L772" s="49">
        <f t="shared" ref="L772:L835" si="50">IF((L771+M771+J772-K772)&gt;0,(L771+M771+J772-K772),0)</f>
        <v>31000</v>
      </c>
      <c r="M772" s="50">
        <f t="shared" ref="M772:M835" si="51">IF((L771+M771+J772-K772)&lt;0,(L771+M771+J772-K772),0)</f>
        <v>0</v>
      </c>
    </row>
    <row r="773" spans="1:13" x14ac:dyDescent="0.25">
      <c r="A773" s="54">
        <v>45300</v>
      </c>
      <c r="B773" s="24">
        <f t="shared" si="48"/>
        <v>1</v>
      </c>
      <c r="C773" s="24">
        <f t="shared" si="49"/>
        <v>2024</v>
      </c>
      <c r="D773" s="104" t="s">
        <v>110</v>
      </c>
      <c r="E773" s="104" t="s">
        <v>343</v>
      </c>
      <c r="F773" s="104" t="s">
        <v>633</v>
      </c>
      <c r="J773" s="61">
        <v>24000</v>
      </c>
      <c r="L773" s="49">
        <f t="shared" si="50"/>
        <v>55000</v>
      </c>
      <c r="M773" s="50">
        <f t="shared" si="51"/>
        <v>0</v>
      </c>
    </row>
    <row r="774" spans="1:13" x14ac:dyDescent="0.25">
      <c r="A774" s="54">
        <v>45300</v>
      </c>
      <c r="B774" s="24">
        <f t="shared" si="48"/>
        <v>1</v>
      </c>
      <c r="C774" s="24">
        <f t="shared" si="49"/>
        <v>2024</v>
      </c>
      <c r="D774" s="104" t="s">
        <v>352</v>
      </c>
      <c r="E774" s="104" t="s">
        <v>343</v>
      </c>
      <c r="F774" s="104" t="s">
        <v>596</v>
      </c>
      <c r="J774" s="61">
        <v>250000</v>
      </c>
      <c r="L774" s="49">
        <f t="shared" si="50"/>
        <v>305000</v>
      </c>
      <c r="M774" s="50">
        <f t="shared" si="51"/>
        <v>0</v>
      </c>
    </row>
    <row r="775" spans="1:13" x14ac:dyDescent="0.25">
      <c r="A775" s="66">
        <v>45300</v>
      </c>
      <c r="B775" s="24">
        <f t="shared" si="48"/>
        <v>1</v>
      </c>
      <c r="C775" s="24">
        <f t="shared" si="49"/>
        <v>2024</v>
      </c>
      <c r="D775" s="109" t="s">
        <v>352</v>
      </c>
      <c r="E775" s="109" t="s">
        <v>343</v>
      </c>
      <c r="F775" s="109" t="s">
        <v>497</v>
      </c>
      <c r="G775" s="109"/>
      <c r="H775" s="14"/>
      <c r="I775" s="14"/>
      <c r="J775" s="118">
        <v>34200</v>
      </c>
      <c r="K775" s="118"/>
      <c r="L775" s="49">
        <f t="shared" si="50"/>
        <v>339200</v>
      </c>
      <c r="M775" s="50">
        <f t="shared" si="51"/>
        <v>0</v>
      </c>
    </row>
    <row r="776" spans="1:13" x14ac:dyDescent="0.25">
      <c r="A776" s="80">
        <v>45300</v>
      </c>
      <c r="B776" s="24">
        <f t="shared" si="48"/>
        <v>1</v>
      </c>
      <c r="C776" s="24">
        <f t="shared" si="49"/>
        <v>2024</v>
      </c>
      <c r="D776" s="107" t="s">
        <v>122</v>
      </c>
      <c r="E776" s="107" t="s">
        <v>343</v>
      </c>
      <c r="F776" s="107"/>
      <c r="G776" s="107"/>
      <c r="H776" s="81"/>
      <c r="I776" s="81"/>
      <c r="J776" s="52"/>
      <c r="K776" s="52">
        <v>309200</v>
      </c>
      <c r="L776" s="49">
        <f t="shared" si="50"/>
        <v>30000</v>
      </c>
      <c r="M776" s="50">
        <f t="shared" si="51"/>
        <v>0</v>
      </c>
    </row>
    <row r="777" spans="1:13" x14ac:dyDescent="0.25">
      <c r="A777" s="54">
        <v>45301</v>
      </c>
      <c r="B777" s="24">
        <f t="shared" si="48"/>
        <v>1</v>
      </c>
      <c r="C777" s="24">
        <f t="shared" si="49"/>
        <v>2024</v>
      </c>
      <c r="D777" s="104" t="s">
        <v>109</v>
      </c>
      <c r="E777" s="104" t="s">
        <v>343</v>
      </c>
      <c r="F777" s="104" t="s">
        <v>424</v>
      </c>
      <c r="K777" s="61">
        <v>3000</v>
      </c>
      <c r="L777" s="49">
        <f t="shared" si="50"/>
        <v>27000</v>
      </c>
      <c r="M777" s="50">
        <f t="shared" si="51"/>
        <v>0</v>
      </c>
    </row>
    <row r="778" spans="1:13" x14ac:dyDescent="0.25">
      <c r="A778" s="54">
        <v>45301</v>
      </c>
      <c r="B778" s="24">
        <f t="shared" si="48"/>
        <v>1</v>
      </c>
      <c r="C778" s="24">
        <f t="shared" si="49"/>
        <v>2024</v>
      </c>
      <c r="D778" s="104" t="s">
        <v>352</v>
      </c>
      <c r="E778" s="104" t="s">
        <v>343</v>
      </c>
      <c r="F778" s="104" t="s">
        <v>456</v>
      </c>
      <c r="J778" s="61">
        <v>8000</v>
      </c>
      <c r="L778" s="49">
        <f t="shared" si="50"/>
        <v>35000</v>
      </c>
      <c r="M778" s="50">
        <f t="shared" si="51"/>
        <v>0</v>
      </c>
    </row>
    <row r="779" spans="1:13" x14ac:dyDescent="0.25">
      <c r="A779" s="66">
        <v>45301</v>
      </c>
      <c r="B779" s="24">
        <f t="shared" si="48"/>
        <v>1</v>
      </c>
      <c r="C779" s="24">
        <f t="shared" si="49"/>
        <v>2024</v>
      </c>
      <c r="D779" s="109" t="s">
        <v>352</v>
      </c>
      <c r="E779" s="109" t="s">
        <v>343</v>
      </c>
      <c r="F779" s="109" t="s">
        <v>642</v>
      </c>
      <c r="G779" s="109"/>
      <c r="H779" s="14"/>
      <c r="I779" s="14"/>
      <c r="J779" s="118">
        <v>264400</v>
      </c>
      <c r="K779" s="118"/>
      <c r="L779" s="49">
        <f t="shared" si="50"/>
        <v>299400</v>
      </c>
      <c r="M779" s="50">
        <f t="shared" si="51"/>
        <v>0</v>
      </c>
    </row>
    <row r="780" spans="1:13" x14ac:dyDescent="0.25">
      <c r="A780" s="80">
        <v>45301</v>
      </c>
      <c r="B780" s="24">
        <f t="shared" si="48"/>
        <v>1</v>
      </c>
      <c r="C780" s="24">
        <f t="shared" si="49"/>
        <v>2024</v>
      </c>
      <c r="D780" s="107" t="s">
        <v>122</v>
      </c>
      <c r="E780" s="107" t="s">
        <v>343</v>
      </c>
      <c r="F780" s="107"/>
      <c r="G780" s="107"/>
      <c r="H780" s="81"/>
      <c r="I780" s="81"/>
      <c r="J780" s="52"/>
      <c r="K780" s="52">
        <v>269400</v>
      </c>
      <c r="L780" s="49">
        <f t="shared" si="50"/>
        <v>30000</v>
      </c>
      <c r="M780" s="50">
        <f t="shared" si="51"/>
        <v>0</v>
      </c>
    </row>
    <row r="781" spans="1:13" x14ac:dyDescent="0.25">
      <c r="A781" s="54">
        <v>45302</v>
      </c>
      <c r="B781" s="24">
        <f t="shared" si="48"/>
        <v>1</v>
      </c>
      <c r="C781" s="24">
        <f t="shared" si="49"/>
        <v>2024</v>
      </c>
      <c r="D781" s="104" t="s">
        <v>109</v>
      </c>
      <c r="E781" s="104" t="s">
        <v>343</v>
      </c>
      <c r="F781" s="104" t="s">
        <v>189</v>
      </c>
      <c r="K781" s="61">
        <v>2400</v>
      </c>
      <c r="L781" s="49">
        <f t="shared" si="50"/>
        <v>27600</v>
      </c>
      <c r="M781" s="50">
        <f t="shared" si="51"/>
        <v>0</v>
      </c>
    </row>
    <row r="782" spans="1:13" x14ac:dyDescent="0.25">
      <c r="A782" s="54">
        <v>45302</v>
      </c>
      <c r="B782" s="24">
        <f t="shared" si="48"/>
        <v>1</v>
      </c>
      <c r="C782" s="24">
        <f t="shared" si="49"/>
        <v>2024</v>
      </c>
      <c r="D782" s="104" t="s">
        <v>384</v>
      </c>
      <c r="E782" s="104" t="s">
        <v>343</v>
      </c>
      <c r="J782" s="61">
        <v>90000</v>
      </c>
      <c r="L782" s="49">
        <f t="shared" si="50"/>
        <v>117600</v>
      </c>
      <c r="M782" s="50">
        <f t="shared" si="51"/>
        <v>0</v>
      </c>
    </row>
    <row r="783" spans="1:13" x14ac:dyDescent="0.25">
      <c r="A783" s="54">
        <v>45302</v>
      </c>
      <c r="B783" s="24">
        <f t="shared" si="48"/>
        <v>1</v>
      </c>
      <c r="C783" s="24">
        <f t="shared" si="49"/>
        <v>2024</v>
      </c>
      <c r="D783" s="104" t="s">
        <v>149</v>
      </c>
      <c r="E783" s="104" t="s">
        <v>93</v>
      </c>
      <c r="F783" s="104" t="s">
        <v>649</v>
      </c>
      <c r="K783" s="61">
        <v>90000</v>
      </c>
      <c r="L783" s="49">
        <f t="shared" si="50"/>
        <v>27600</v>
      </c>
      <c r="M783" s="50">
        <f t="shared" si="51"/>
        <v>0</v>
      </c>
    </row>
    <row r="784" spans="1:13" x14ac:dyDescent="0.25">
      <c r="A784" s="54">
        <v>45302</v>
      </c>
      <c r="B784" s="24">
        <f t="shared" si="48"/>
        <v>1</v>
      </c>
      <c r="C784" s="24">
        <f t="shared" si="49"/>
        <v>2024</v>
      </c>
      <c r="D784" s="104" t="s">
        <v>384</v>
      </c>
      <c r="E784" s="104" t="s">
        <v>343</v>
      </c>
      <c r="J784" s="61">
        <v>34000</v>
      </c>
      <c r="L784" s="49">
        <f t="shared" si="50"/>
        <v>61600</v>
      </c>
      <c r="M784" s="50">
        <f t="shared" si="51"/>
        <v>0</v>
      </c>
    </row>
    <row r="785" spans="1:13" x14ac:dyDescent="0.25">
      <c r="A785" s="54">
        <v>45302</v>
      </c>
      <c r="B785" s="24">
        <f t="shared" si="48"/>
        <v>1</v>
      </c>
      <c r="C785" s="24">
        <f t="shared" si="49"/>
        <v>2024</v>
      </c>
      <c r="D785" s="104" t="s">
        <v>124</v>
      </c>
      <c r="E785" s="104" t="s">
        <v>343</v>
      </c>
      <c r="F785" s="104" t="s">
        <v>487</v>
      </c>
      <c r="K785" s="61">
        <v>34000</v>
      </c>
      <c r="L785" s="49">
        <f t="shared" si="50"/>
        <v>27600</v>
      </c>
      <c r="M785" s="50">
        <f t="shared" si="51"/>
        <v>0</v>
      </c>
    </row>
    <row r="786" spans="1:13" x14ac:dyDescent="0.25">
      <c r="A786" s="54">
        <v>45302</v>
      </c>
      <c r="B786" s="24">
        <f t="shared" si="48"/>
        <v>1</v>
      </c>
      <c r="C786" s="24">
        <f t="shared" si="49"/>
        <v>2024</v>
      </c>
      <c r="D786" s="104" t="s">
        <v>109</v>
      </c>
      <c r="E786" s="104" t="s">
        <v>343</v>
      </c>
      <c r="F786" s="104" t="s">
        <v>354</v>
      </c>
      <c r="K786" s="61">
        <v>2600</v>
      </c>
      <c r="L786" s="49">
        <f t="shared" si="50"/>
        <v>25000</v>
      </c>
      <c r="M786" s="50">
        <f t="shared" si="51"/>
        <v>0</v>
      </c>
    </row>
    <row r="787" spans="1:13" x14ac:dyDescent="0.25">
      <c r="A787" s="54">
        <v>45302</v>
      </c>
      <c r="B787" s="24">
        <f t="shared" si="48"/>
        <v>1</v>
      </c>
      <c r="C787" s="24">
        <f t="shared" si="49"/>
        <v>2024</v>
      </c>
      <c r="D787" s="104" t="s">
        <v>352</v>
      </c>
      <c r="E787" s="104" t="s">
        <v>343</v>
      </c>
      <c r="F787" s="104" t="s">
        <v>449</v>
      </c>
      <c r="J787" s="61">
        <v>188200</v>
      </c>
      <c r="L787" s="49">
        <f t="shared" si="50"/>
        <v>213200</v>
      </c>
      <c r="M787" s="50">
        <f t="shared" si="51"/>
        <v>0</v>
      </c>
    </row>
    <row r="788" spans="1:13" x14ac:dyDescent="0.25">
      <c r="A788" s="80">
        <v>45302</v>
      </c>
      <c r="B788" s="24">
        <f t="shared" si="48"/>
        <v>1</v>
      </c>
      <c r="C788" s="24">
        <f t="shared" si="49"/>
        <v>2024</v>
      </c>
      <c r="D788" s="107" t="s">
        <v>361</v>
      </c>
      <c r="E788" s="107" t="s">
        <v>343</v>
      </c>
      <c r="F788" s="107"/>
      <c r="G788" s="107"/>
      <c r="H788" s="81"/>
      <c r="I788" s="81"/>
      <c r="J788" s="52"/>
      <c r="K788" s="52">
        <v>183200</v>
      </c>
      <c r="L788" s="49">
        <f t="shared" si="50"/>
        <v>30000</v>
      </c>
      <c r="M788" s="50">
        <f t="shared" si="51"/>
        <v>0</v>
      </c>
    </row>
    <row r="789" spans="1:13" x14ac:dyDescent="0.25">
      <c r="A789" s="54">
        <v>45303</v>
      </c>
      <c r="B789" s="24">
        <f t="shared" si="48"/>
        <v>1</v>
      </c>
      <c r="C789" s="24">
        <f t="shared" si="49"/>
        <v>2024</v>
      </c>
      <c r="D789" s="104" t="s">
        <v>109</v>
      </c>
      <c r="E789" s="104" t="s">
        <v>343</v>
      </c>
      <c r="F789" s="104" t="s">
        <v>204</v>
      </c>
      <c r="K789" s="61">
        <v>5500</v>
      </c>
      <c r="L789" s="49">
        <f t="shared" si="50"/>
        <v>24500</v>
      </c>
      <c r="M789" s="50">
        <f t="shared" si="51"/>
        <v>0</v>
      </c>
    </row>
    <row r="790" spans="1:13" x14ac:dyDescent="0.25">
      <c r="A790" s="54">
        <v>45303</v>
      </c>
      <c r="B790" s="24">
        <f t="shared" si="48"/>
        <v>1</v>
      </c>
      <c r="C790" s="24">
        <f t="shared" si="49"/>
        <v>2024</v>
      </c>
      <c r="D790" s="104" t="s">
        <v>384</v>
      </c>
      <c r="E790" s="104" t="s">
        <v>343</v>
      </c>
      <c r="J790" s="61">
        <v>216000</v>
      </c>
      <c r="L790" s="49">
        <f t="shared" si="50"/>
        <v>240500</v>
      </c>
      <c r="M790" s="50">
        <f t="shared" si="51"/>
        <v>0</v>
      </c>
    </row>
    <row r="791" spans="1:13" x14ac:dyDescent="0.25">
      <c r="A791" s="54">
        <v>45303</v>
      </c>
      <c r="B791" s="24">
        <f t="shared" si="48"/>
        <v>1</v>
      </c>
      <c r="C791" s="24">
        <f t="shared" si="49"/>
        <v>2024</v>
      </c>
      <c r="D791" s="104" t="s">
        <v>109</v>
      </c>
      <c r="E791" s="104" t="s">
        <v>92</v>
      </c>
      <c r="F791" s="104" t="s">
        <v>296</v>
      </c>
      <c r="K791" s="61">
        <v>216000</v>
      </c>
      <c r="L791" s="49">
        <f t="shared" si="50"/>
        <v>24500</v>
      </c>
      <c r="M791" s="50">
        <f t="shared" si="51"/>
        <v>0</v>
      </c>
    </row>
    <row r="792" spans="1:13" x14ac:dyDescent="0.25">
      <c r="A792" s="80">
        <v>45303</v>
      </c>
      <c r="B792" s="24">
        <f t="shared" si="48"/>
        <v>1</v>
      </c>
      <c r="C792" s="24">
        <f t="shared" si="49"/>
        <v>2024</v>
      </c>
      <c r="D792" s="107" t="s">
        <v>384</v>
      </c>
      <c r="E792" s="107" t="s">
        <v>343</v>
      </c>
      <c r="F792" s="107"/>
      <c r="G792" s="107"/>
      <c r="H792" s="81"/>
      <c r="I792" s="81"/>
      <c r="J792" s="52">
        <v>5500</v>
      </c>
      <c r="L792" s="49">
        <f t="shared" si="50"/>
        <v>30000</v>
      </c>
      <c r="M792" s="50">
        <f t="shared" si="51"/>
        <v>0</v>
      </c>
    </row>
    <row r="793" spans="1:13" x14ac:dyDescent="0.25">
      <c r="A793" s="54">
        <v>45304</v>
      </c>
      <c r="B793" s="24">
        <f t="shared" si="48"/>
        <v>1</v>
      </c>
      <c r="C793" s="24">
        <f t="shared" si="49"/>
        <v>2024</v>
      </c>
      <c r="D793" s="104" t="s">
        <v>384</v>
      </c>
      <c r="E793" s="104" t="s">
        <v>343</v>
      </c>
      <c r="J793" s="61">
        <v>120000</v>
      </c>
      <c r="L793" s="49">
        <f t="shared" si="50"/>
        <v>150000</v>
      </c>
      <c r="M793" s="50">
        <f t="shared" si="51"/>
        <v>0</v>
      </c>
    </row>
    <row r="794" spans="1:13" x14ac:dyDescent="0.25">
      <c r="A794" s="54">
        <v>45304</v>
      </c>
      <c r="B794" s="24">
        <f t="shared" si="48"/>
        <v>1</v>
      </c>
      <c r="C794" s="24">
        <f t="shared" si="49"/>
        <v>2024</v>
      </c>
      <c r="D794" s="104" t="s">
        <v>501</v>
      </c>
      <c r="E794" s="104" t="s">
        <v>343</v>
      </c>
      <c r="F794" s="104" t="s">
        <v>655</v>
      </c>
      <c r="K794" s="61">
        <v>120000</v>
      </c>
      <c r="L794" s="49">
        <f t="shared" si="50"/>
        <v>30000</v>
      </c>
      <c r="M794" s="50">
        <f t="shared" si="51"/>
        <v>0</v>
      </c>
    </row>
    <row r="795" spans="1:13" x14ac:dyDescent="0.25">
      <c r="A795" s="54">
        <v>45304</v>
      </c>
      <c r="B795" s="24">
        <f t="shared" si="48"/>
        <v>1</v>
      </c>
      <c r="C795" s="24">
        <f t="shared" si="49"/>
        <v>2024</v>
      </c>
      <c r="D795" s="104" t="s">
        <v>352</v>
      </c>
      <c r="E795" s="104" t="s">
        <v>343</v>
      </c>
      <c r="F795" s="104" t="s">
        <v>656</v>
      </c>
      <c r="J795" s="61">
        <v>147000</v>
      </c>
      <c r="L795" s="49">
        <f t="shared" si="50"/>
        <v>177000</v>
      </c>
      <c r="M795" s="50">
        <f t="shared" si="51"/>
        <v>0</v>
      </c>
    </row>
    <row r="796" spans="1:13" x14ac:dyDescent="0.25">
      <c r="A796" s="80">
        <v>45304</v>
      </c>
      <c r="B796" s="24">
        <f t="shared" si="48"/>
        <v>1</v>
      </c>
      <c r="C796" s="24">
        <f t="shared" si="49"/>
        <v>2024</v>
      </c>
      <c r="D796" s="107" t="s">
        <v>122</v>
      </c>
      <c r="E796" s="107" t="s">
        <v>343</v>
      </c>
      <c r="F796" s="107"/>
      <c r="G796" s="107"/>
      <c r="H796" s="81"/>
      <c r="I796" s="81"/>
      <c r="J796" s="52"/>
      <c r="K796" s="52">
        <v>147000</v>
      </c>
      <c r="L796" s="49">
        <f t="shared" si="50"/>
        <v>30000</v>
      </c>
      <c r="M796" s="50">
        <f t="shared" si="51"/>
        <v>0</v>
      </c>
    </row>
    <row r="797" spans="1:13" x14ac:dyDescent="0.25">
      <c r="A797" s="54">
        <v>45306</v>
      </c>
      <c r="B797" s="24">
        <f t="shared" si="48"/>
        <v>1</v>
      </c>
      <c r="C797" s="24">
        <f t="shared" si="49"/>
        <v>2024</v>
      </c>
      <c r="D797" s="104" t="s">
        <v>352</v>
      </c>
      <c r="E797" s="104" t="s">
        <v>343</v>
      </c>
      <c r="F797" s="104" t="s">
        <v>659</v>
      </c>
      <c r="J797" s="61">
        <v>600000</v>
      </c>
      <c r="L797" s="49">
        <f t="shared" si="50"/>
        <v>630000</v>
      </c>
      <c r="M797" s="50">
        <f t="shared" si="51"/>
        <v>0</v>
      </c>
    </row>
    <row r="798" spans="1:13" x14ac:dyDescent="0.25">
      <c r="A798" s="54">
        <v>45306</v>
      </c>
      <c r="B798" s="24">
        <f t="shared" si="48"/>
        <v>1</v>
      </c>
      <c r="C798" s="24">
        <f t="shared" si="49"/>
        <v>2024</v>
      </c>
      <c r="D798" s="104" t="s">
        <v>124</v>
      </c>
      <c r="E798" s="104" t="s">
        <v>343</v>
      </c>
      <c r="G798" s="104" t="s">
        <v>105</v>
      </c>
      <c r="K798" s="61">
        <v>6500</v>
      </c>
      <c r="L798" s="49">
        <f t="shared" si="50"/>
        <v>623500</v>
      </c>
      <c r="M798" s="50">
        <f t="shared" si="51"/>
        <v>0</v>
      </c>
    </row>
    <row r="799" spans="1:13" x14ac:dyDescent="0.25">
      <c r="A799" s="54">
        <v>45306</v>
      </c>
      <c r="B799" s="24">
        <f t="shared" si="48"/>
        <v>1</v>
      </c>
      <c r="C799" s="24">
        <f t="shared" si="49"/>
        <v>2024</v>
      </c>
      <c r="D799" s="104" t="s">
        <v>109</v>
      </c>
      <c r="E799" s="104" t="s">
        <v>343</v>
      </c>
      <c r="F799" s="104" t="s">
        <v>660</v>
      </c>
      <c r="K799" s="61">
        <v>500</v>
      </c>
      <c r="L799" s="49">
        <f t="shared" si="50"/>
        <v>623000</v>
      </c>
      <c r="M799" s="50">
        <f t="shared" si="51"/>
        <v>0</v>
      </c>
    </row>
    <row r="800" spans="1:13" x14ac:dyDescent="0.25">
      <c r="A800" s="80">
        <v>45306</v>
      </c>
      <c r="B800" s="24">
        <f t="shared" si="48"/>
        <v>1</v>
      </c>
      <c r="C800" s="24">
        <f t="shared" si="49"/>
        <v>2024</v>
      </c>
      <c r="D800" s="107" t="s">
        <v>122</v>
      </c>
      <c r="E800" s="107" t="s">
        <v>343</v>
      </c>
      <c r="F800" s="107"/>
      <c r="G800" s="107"/>
      <c r="H800" s="81"/>
      <c r="I800" s="81"/>
      <c r="J800" s="52"/>
      <c r="K800" s="52">
        <v>593000</v>
      </c>
      <c r="L800" s="49">
        <f t="shared" si="50"/>
        <v>30000</v>
      </c>
      <c r="M800" s="50">
        <f t="shared" si="51"/>
        <v>0</v>
      </c>
    </row>
    <row r="801" spans="1:13" x14ac:dyDescent="0.25">
      <c r="A801" s="54">
        <v>45307</v>
      </c>
      <c r="B801" s="24">
        <f t="shared" si="48"/>
        <v>1</v>
      </c>
      <c r="C801" s="24">
        <f t="shared" si="49"/>
        <v>2024</v>
      </c>
      <c r="D801" s="104" t="s">
        <v>124</v>
      </c>
      <c r="E801" s="104" t="s">
        <v>343</v>
      </c>
      <c r="F801" s="104" t="s">
        <v>663</v>
      </c>
      <c r="K801" s="61">
        <v>2000</v>
      </c>
      <c r="L801" s="49">
        <f t="shared" si="50"/>
        <v>28000</v>
      </c>
      <c r="M801" s="50">
        <f t="shared" si="51"/>
        <v>0</v>
      </c>
    </row>
    <row r="802" spans="1:13" x14ac:dyDescent="0.25">
      <c r="A802" s="54">
        <v>45307</v>
      </c>
      <c r="B802" s="24">
        <f t="shared" si="48"/>
        <v>1</v>
      </c>
      <c r="C802" s="24">
        <f t="shared" si="49"/>
        <v>2024</v>
      </c>
      <c r="D802" s="104" t="s">
        <v>352</v>
      </c>
      <c r="E802" s="104" t="s">
        <v>343</v>
      </c>
      <c r="F802" s="104" t="s">
        <v>664</v>
      </c>
      <c r="J802" s="61">
        <v>59800</v>
      </c>
      <c r="L802" s="49">
        <f t="shared" si="50"/>
        <v>87800</v>
      </c>
      <c r="M802" s="50">
        <f t="shared" si="51"/>
        <v>0</v>
      </c>
    </row>
    <row r="803" spans="1:13" x14ac:dyDescent="0.25">
      <c r="A803" s="80">
        <v>45307</v>
      </c>
      <c r="B803" s="24">
        <f t="shared" si="48"/>
        <v>1</v>
      </c>
      <c r="C803" s="24">
        <f t="shared" si="49"/>
        <v>2024</v>
      </c>
      <c r="D803" s="107" t="s">
        <v>361</v>
      </c>
      <c r="E803" s="107" t="s">
        <v>343</v>
      </c>
      <c r="F803" s="107"/>
      <c r="G803" s="107"/>
      <c r="H803" s="81"/>
      <c r="I803" s="81"/>
      <c r="J803" s="52"/>
      <c r="K803" s="52">
        <v>57800</v>
      </c>
      <c r="L803" s="49">
        <f t="shared" si="50"/>
        <v>30000</v>
      </c>
      <c r="M803" s="50">
        <f t="shared" si="51"/>
        <v>0</v>
      </c>
    </row>
    <row r="804" spans="1:13" x14ac:dyDescent="0.25">
      <c r="A804" s="54">
        <v>45308</v>
      </c>
      <c r="B804" s="24">
        <f t="shared" si="48"/>
        <v>1</v>
      </c>
      <c r="C804" s="24">
        <f t="shared" si="49"/>
        <v>2024</v>
      </c>
      <c r="D804" s="104" t="s">
        <v>28</v>
      </c>
      <c r="E804" s="104" t="s">
        <v>343</v>
      </c>
      <c r="K804" s="61">
        <v>3000</v>
      </c>
      <c r="L804" s="49">
        <f t="shared" si="50"/>
        <v>27000</v>
      </c>
      <c r="M804" s="50">
        <f t="shared" si="51"/>
        <v>0</v>
      </c>
    </row>
    <row r="805" spans="1:13" x14ac:dyDescent="0.25">
      <c r="A805" s="54">
        <v>45308</v>
      </c>
      <c r="B805" s="24">
        <f t="shared" si="48"/>
        <v>1</v>
      </c>
      <c r="C805" s="24">
        <f t="shared" si="49"/>
        <v>2024</v>
      </c>
      <c r="D805" s="104" t="s">
        <v>109</v>
      </c>
      <c r="E805" s="104" t="s">
        <v>343</v>
      </c>
      <c r="F805" s="104" t="s">
        <v>624</v>
      </c>
      <c r="K805" s="61">
        <v>2000</v>
      </c>
      <c r="L805" s="49">
        <f t="shared" si="50"/>
        <v>25000</v>
      </c>
      <c r="M805" s="50">
        <f t="shared" si="51"/>
        <v>0</v>
      </c>
    </row>
    <row r="806" spans="1:13" x14ac:dyDescent="0.25">
      <c r="A806" s="54">
        <v>45308</v>
      </c>
      <c r="B806" s="24">
        <f t="shared" si="48"/>
        <v>1</v>
      </c>
      <c r="C806" s="24">
        <f t="shared" si="49"/>
        <v>2024</v>
      </c>
      <c r="D806" s="104" t="s">
        <v>109</v>
      </c>
      <c r="E806" s="104" t="s">
        <v>343</v>
      </c>
      <c r="F806" s="104" t="s">
        <v>624</v>
      </c>
      <c r="K806" s="61">
        <v>5000</v>
      </c>
      <c r="L806" s="49">
        <f t="shared" si="50"/>
        <v>20000</v>
      </c>
      <c r="M806" s="50">
        <f t="shared" si="51"/>
        <v>0</v>
      </c>
    </row>
    <row r="807" spans="1:13" x14ac:dyDescent="0.25">
      <c r="A807" s="54">
        <v>45308</v>
      </c>
      <c r="B807" s="24">
        <f t="shared" si="48"/>
        <v>1</v>
      </c>
      <c r="C807" s="24">
        <f t="shared" si="49"/>
        <v>2024</v>
      </c>
      <c r="D807" s="104" t="s">
        <v>352</v>
      </c>
      <c r="E807" s="104" t="s">
        <v>343</v>
      </c>
      <c r="F807" s="104" t="s">
        <v>456</v>
      </c>
      <c r="J807" s="61">
        <v>8000</v>
      </c>
      <c r="L807" s="49">
        <f t="shared" si="50"/>
        <v>28000</v>
      </c>
      <c r="M807" s="50">
        <f t="shared" si="51"/>
        <v>0</v>
      </c>
    </row>
    <row r="808" spans="1:13" x14ac:dyDescent="0.25">
      <c r="A808" s="54">
        <v>45308</v>
      </c>
      <c r="B808" s="24">
        <f t="shared" si="48"/>
        <v>1</v>
      </c>
      <c r="C808" s="24">
        <f t="shared" si="49"/>
        <v>2024</v>
      </c>
      <c r="D808" s="104" t="s">
        <v>352</v>
      </c>
      <c r="F808" s="104" t="s">
        <v>653</v>
      </c>
      <c r="J808" s="61">
        <v>9100</v>
      </c>
      <c r="L808" s="49">
        <f t="shared" si="50"/>
        <v>37100</v>
      </c>
      <c r="M808" s="50">
        <f t="shared" si="51"/>
        <v>0</v>
      </c>
    </row>
    <row r="809" spans="1:13" x14ac:dyDescent="0.25">
      <c r="A809" s="80">
        <v>45308</v>
      </c>
      <c r="B809" s="24">
        <f t="shared" si="48"/>
        <v>1</v>
      </c>
      <c r="C809" s="24">
        <f t="shared" si="49"/>
        <v>2024</v>
      </c>
      <c r="D809" s="107" t="s">
        <v>361</v>
      </c>
      <c r="E809" s="107" t="s">
        <v>343</v>
      </c>
      <c r="F809" s="107"/>
      <c r="G809" s="107"/>
      <c r="H809" s="81"/>
      <c r="I809" s="81"/>
      <c r="J809" s="52"/>
      <c r="K809" s="52">
        <v>7100</v>
      </c>
      <c r="L809" s="49">
        <f t="shared" si="50"/>
        <v>30000</v>
      </c>
      <c r="M809" s="50">
        <f t="shared" si="51"/>
        <v>0</v>
      </c>
    </row>
    <row r="810" spans="1:13" x14ac:dyDescent="0.25">
      <c r="A810" s="54">
        <v>45309</v>
      </c>
      <c r="B810" s="24">
        <f t="shared" si="48"/>
        <v>1</v>
      </c>
      <c r="C810" s="24">
        <f t="shared" si="49"/>
        <v>2024</v>
      </c>
      <c r="D810" s="104" t="s">
        <v>352</v>
      </c>
      <c r="E810" s="104" t="s">
        <v>343</v>
      </c>
      <c r="F810" s="104" t="s">
        <v>654</v>
      </c>
      <c r="J810" s="61">
        <v>28200</v>
      </c>
      <c r="L810" s="49">
        <f t="shared" si="50"/>
        <v>58200</v>
      </c>
      <c r="M810" s="50">
        <f t="shared" si="51"/>
        <v>0</v>
      </c>
    </row>
    <row r="811" spans="1:13" x14ac:dyDescent="0.25">
      <c r="A811" s="54">
        <v>45309</v>
      </c>
      <c r="B811" s="24">
        <f t="shared" si="48"/>
        <v>1</v>
      </c>
      <c r="C811" s="24">
        <f t="shared" si="49"/>
        <v>2024</v>
      </c>
      <c r="D811" s="104" t="s">
        <v>384</v>
      </c>
      <c r="E811" s="104" t="s">
        <v>343</v>
      </c>
      <c r="J811" s="61">
        <v>300000</v>
      </c>
      <c r="L811" s="49">
        <f t="shared" si="50"/>
        <v>358200</v>
      </c>
      <c r="M811" s="50">
        <f t="shared" si="51"/>
        <v>0</v>
      </c>
    </row>
    <row r="812" spans="1:13" x14ac:dyDescent="0.25">
      <c r="A812" s="54">
        <v>45309</v>
      </c>
      <c r="B812" s="24">
        <f t="shared" si="48"/>
        <v>1</v>
      </c>
      <c r="C812" s="24">
        <f t="shared" si="49"/>
        <v>2024</v>
      </c>
      <c r="D812" s="104" t="s">
        <v>124</v>
      </c>
      <c r="E812" s="104" t="s">
        <v>343</v>
      </c>
      <c r="G812" s="104" t="s">
        <v>665</v>
      </c>
      <c r="K812" s="61">
        <v>300000</v>
      </c>
      <c r="L812" s="49">
        <f t="shared" si="50"/>
        <v>58200</v>
      </c>
      <c r="M812" s="50">
        <f t="shared" si="51"/>
        <v>0</v>
      </c>
    </row>
    <row r="813" spans="1:13" x14ac:dyDescent="0.25">
      <c r="A813" s="54">
        <v>45309</v>
      </c>
      <c r="B813" s="24">
        <f t="shared" si="48"/>
        <v>1</v>
      </c>
      <c r="C813" s="24">
        <f t="shared" si="49"/>
        <v>2024</v>
      </c>
      <c r="D813" s="104" t="s">
        <v>109</v>
      </c>
      <c r="E813" s="104" t="s">
        <v>343</v>
      </c>
      <c r="F813" s="104" t="s">
        <v>354</v>
      </c>
      <c r="K813" s="61">
        <v>1200</v>
      </c>
      <c r="L813" s="49">
        <f t="shared" si="50"/>
        <v>57000</v>
      </c>
      <c r="M813" s="50">
        <f t="shared" si="51"/>
        <v>0</v>
      </c>
    </row>
    <row r="814" spans="1:13" x14ac:dyDescent="0.25">
      <c r="A814" s="54">
        <v>45309</v>
      </c>
      <c r="B814" s="24">
        <f t="shared" si="48"/>
        <v>1</v>
      </c>
      <c r="C814" s="24">
        <f t="shared" si="49"/>
        <v>2024</v>
      </c>
      <c r="D814" s="104" t="s">
        <v>112</v>
      </c>
      <c r="E814" s="104" t="s">
        <v>343</v>
      </c>
      <c r="K814" s="61">
        <v>6000</v>
      </c>
      <c r="L814" s="49">
        <f t="shared" si="50"/>
        <v>51000</v>
      </c>
      <c r="M814" s="50">
        <f t="shared" si="51"/>
        <v>0</v>
      </c>
    </row>
    <row r="815" spans="1:13" x14ac:dyDescent="0.25">
      <c r="A815" s="80">
        <v>45309</v>
      </c>
      <c r="B815" s="24">
        <f t="shared" si="48"/>
        <v>1</v>
      </c>
      <c r="C815" s="24">
        <f t="shared" si="49"/>
        <v>2024</v>
      </c>
      <c r="D815" s="107" t="s">
        <v>361</v>
      </c>
      <c r="E815" s="107" t="s">
        <v>343</v>
      </c>
      <c r="F815" s="107"/>
      <c r="G815" s="107"/>
      <c r="H815" s="81"/>
      <c r="I815" s="81"/>
      <c r="J815" s="52"/>
      <c r="K815" s="52">
        <v>21000</v>
      </c>
      <c r="L815" s="49">
        <f t="shared" si="50"/>
        <v>30000</v>
      </c>
      <c r="M815" s="50">
        <f t="shared" si="51"/>
        <v>0</v>
      </c>
    </row>
    <row r="816" spans="1:13" x14ac:dyDescent="0.25">
      <c r="A816" s="54">
        <v>45310</v>
      </c>
      <c r="B816" s="24">
        <f t="shared" si="48"/>
        <v>1</v>
      </c>
      <c r="C816" s="24">
        <f t="shared" si="49"/>
        <v>2024</v>
      </c>
      <c r="D816" s="104" t="s">
        <v>352</v>
      </c>
      <c r="E816" s="104" t="s">
        <v>343</v>
      </c>
      <c r="F816" s="104" t="s">
        <v>525</v>
      </c>
      <c r="J816" s="61">
        <v>198000</v>
      </c>
      <c r="L816" s="49">
        <f t="shared" si="50"/>
        <v>228000</v>
      </c>
      <c r="M816" s="50">
        <f t="shared" si="51"/>
        <v>0</v>
      </c>
    </row>
    <row r="817" spans="1:13" x14ac:dyDescent="0.25">
      <c r="A817" s="54">
        <v>45310</v>
      </c>
      <c r="B817" s="24">
        <f t="shared" si="48"/>
        <v>1</v>
      </c>
      <c r="C817" s="24">
        <f t="shared" si="49"/>
        <v>2024</v>
      </c>
      <c r="D817" s="104" t="s">
        <v>352</v>
      </c>
      <c r="E817" s="104" t="s">
        <v>343</v>
      </c>
      <c r="F817" s="104" t="s">
        <v>671</v>
      </c>
      <c r="J817" s="61">
        <v>132000</v>
      </c>
      <c r="L817" s="49">
        <f t="shared" si="50"/>
        <v>360000</v>
      </c>
      <c r="M817" s="50">
        <f t="shared" si="51"/>
        <v>0</v>
      </c>
    </row>
    <row r="818" spans="1:13" x14ac:dyDescent="0.25">
      <c r="A818" s="54">
        <v>45310</v>
      </c>
      <c r="B818" s="24">
        <f t="shared" si="48"/>
        <v>1</v>
      </c>
      <c r="C818" s="24">
        <f t="shared" si="49"/>
        <v>2024</v>
      </c>
      <c r="D818" s="104" t="s">
        <v>109</v>
      </c>
      <c r="E818" s="104" t="s">
        <v>343</v>
      </c>
      <c r="F818" s="104" t="s">
        <v>246</v>
      </c>
      <c r="K818" s="61">
        <v>5000</v>
      </c>
      <c r="L818" s="49">
        <f t="shared" si="50"/>
        <v>355000</v>
      </c>
      <c r="M818" s="50">
        <f t="shared" si="51"/>
        <v>0</v>
      </c>
    </row>
    <row r="819" spans="1:13" x14ac:dyDescent="0.25">
      <c r="A819" s="80">
        <v>45310</v>
      </c>
      <c r="B819" s="24">
        <f t="shared" si="48"/>
        <v>1</v>
      </c>
      <c r="C819" s="24">
        <f t="shared" si="49"/>
        <v>2024</v>
      </c>
      <c r="D819" s="107" t="s">
        <v>122</v>
      </c>
      <c r="E819" s="107" t="s">
        <v>343</v>
      </c>
      <c r="F819" s="107"/>
      <c r="G819" s="107"/>
      <c r="H819" s="81"/>
      <c r="I819" s="81"/>
      <c r="J819" s="52"/>
      <c r="K819" s="52">
        <v>325000</v>
      </c>
      <c r="L819" s="49">
        <f t="shared" si="50"/>
        <v>30000</v>
      </c>
      <c r="M819" s="50">
        <f t="shared" si="51"/>
        <v>0</v>
      </c>
    </row>
    <row r="820" spans="1:13" x14ac:dyDescent="0.25">
      <c r="A820" s="54">
        <v>45311</v>
      </c>
      <c r="B820" s="24">
        <f t="shared" si="48"/>
        <v>1</v>
      </c>
      <c r="C820" s="24">
        <f t="shared" si="49"/>
        <v>2024</v>
      </c>
      <c r="D820" s="104" t="s">
        <v>352</v>
      </c>
      <c r="E820" s="104" t="s">
        <v>343</v>
      </c>
      <c r="F820" s="54" t="s">
        <v>672</v>
      </c>
      <c r="J820" s="61">
        <v>210000</v>
      </c>
      <c r="L820" s="49">
        <f t="shared" si="50"/>
        <v>240000</v>
      </c>
      <c r="M820" s="50">
        <f t="shared" si="51"/>
        <v>0</v>
      </c>
    </row>
    <row r="821" spans="1:13" x14ac:dyDescent="0.25">
      <c r="A821" s="54">
        <v>45311</v>
      </c>
      <c r="B821" s="24">
        <f t="shared" si="48"/>
        <v>1</v>
      </c>
      <c r="C821" s="24">
        <f t="shared" si="49"/>
        <v>2024</v>
      </c>
      <c r="D821" s="104" t="s">
        <v>501</v>
      </c>
      <c r="E821" s="104" t="s">
        <v>343</v>
      </c>
      <c r="F821" s="104" t="s">
        <v>568</v>
      </c>
      <c r="K821" s="61">
        <v>120000</v>
      </c>
      <c r="L821" s="49">
        <f t="shared" si="50"/>
        <v>120000</v>
      </c>
      <c r="M821" s="50">
        <f t="shared" si="51"/>
        <v>0</v>
      </c>
    </row>
    <row r="822" spans="1:13" x14ac:dyDescent="0.25">
      <c r="A822" s="80">
        <v>45311</v>
      </c>
      <c r="B822" s="24">
        <f t="shared" si="48"/>
        <v>1</v>
      </c>
      <c r="C822" s="24">
        <f t="shared" si="49"/>
        <v>2024</v>
      </c>
      <c r="D822" s="107" t="s">
        <v>122</v>
      </c>
      <c r="E822" s="107" t="s">
        <v>343</v>
      </c>
      <c r="F822" s="107"/>
      <c r="G822" s="107"/>
      <c r="H822" s="81"/>
      <c r="I822" s="81"/>
      <c r="J822" s="52"/>
      <c r="K822" s="52">
        <v>90000</v>
      </c>
      <c r="L822" s="49">
        <f t="shared" si="50"/>
        <v>30000</v>
      </c>
      <c r="M822" s="50">
        <f t="shared" si="51"/>
        <v>0</v>
      </c>
    </row>
    <row r="823" spans="1:13" x14ac:dyDescent="0.25">
      <c r="A823" s="54">
        <v>45313</v>
      </c>
      <c r="B823" s="24">
        <f t="shared" si="48"/>
        <v>1</v>
      </c>
      <c r="C823" s="24">
        <f t="shared" si="49"/>
        <v>2024</v>
      </c>
      <c r="D823" s="104" t="s">
        <v>352</v>
      </c>
      <c r="E823" s="104" t="s">
        <v>343</v>
      </c>
      <c r="F823" s="104" t="s">
        <v>427</v>
      </c>
      <c r="J823" s="61">
        <v>30000</v>
      </c>
      <c r="L823" s="49">
        <f t="shared" si="50"/>
        <v>60000</v>
      </c>
      <c r="M823" s="50">
        <f t="shared" si="51"/>
        <v>0</v>
      </c>
    </row>
    <row r="824" spans="1:13" x14ac:dyDescent="0.25">
      <c r="A824" s="54">
        <v>45313</v>
      </c>
      <c r="B824" s="24">
        <f t="shared" si="48"/>
        <v>1</v>
      </c>
      <c r="C824" s="24">
        <f t="shared" si="49"/>
        <v>2024</v>
      </c>
      <c r="D824" s="104" t="s">
        <v>352</v>
      </c>
      <c r="E824" s="104" t="s">
        <v>343</v>
      </c>
      <c r="F824" s="104" t="s">
        <v>676</v>
      </c>
      <c r="J824" s="61">
        <v>128900</v>
      </c>
      <c r="L824" s="49">
        <f t="shared" si="50"/>
        <v>188900</v>
      </c>
      <c r="M824" s="50">
        <f t="shared" si="51"/>
        <v>0</v>
      </c>
    </row>
    <row r="825" spans="1:13" x14ac:dyDescent="0.25">
      <c r="A825" s="80">
        <v>45313</v>
      </c>
      <c r="B825" s="24">
        <f t="shared" si="48"/>
        <v>1</v>
      </c>
      <c r="C825" s="24">
        <f t="shared" si="49"/>
        <v>2024</v>
      </c>
      <c r="D825" s="107" t="s">
        <v>361</v>
      </c>
      <c r="E825" s="107" t="s">
        <v>343</v>
      </c>
      <c r="F825" s="107"/>
      <c r="G825" s="107"/>
      <c r="H825" s="81"/>
      <c r="I825" s="81"/>
      <c r="J825" s="52"/>
      <c r="K825" s="52">
        <v>158900</v>
      </c>
      <c r="L825" s="49">
        <f t="shared" si="50"/>
        <v>30000</v>
      </c>
      <c r="M825" s="50">
        <f t="shared" si="51"/>
        <v>0</v>
      </c>
    </row>
    <row r="826" spans="1:13" x14ac:dyDescent="0.25">
      <c r="A826" s="54">
        <v>45315</v>
      </c>
      <c r="B826" s="24">
        <f t="shared" si="48"/>
        <v>1</v>
      </c>
      <c r="C826" s="24">
        <f t="shared" si="49"/>
        <v>2024</v>
      </c>
      <c r="D826" s="104" t="s">
        <v>384</v>
      </c>
      <c r="E826" s="104" t="s">
        <v>343</v>
      </c>
      <c r="J826" s="61">
        <v>152000</v>
      </c>
      <c r="L826" s="49">
        <f t="shared" si="50"/>
        <v>182000</v>
      </c>
      <c r="M826" s="50">
        <f t="shared" si="51"/>
        <v>0</v>
      </c>
    </row>
    <row r="827" spans="1:13" x14ac:dyDescent="0.25">
      <c r="A827" s="54">
        <v>45315</v>
      </c>
      <c r="B827" s="24">
        <f t="shared" si="48"/>
        <v>1</v>
      </c>
      <c r="C827" s="24">
        <f t="shared" si="49"/>
        <v>2024</v>
      </c>
      <c r="D827" s="104" t="s">
        <v>135</v>
      </c>
      <c r="E827" s="104" t="s">
        <v>343</v>
      </c>
      <c r="F827" s="104" t="s">
        <v>679</v>
      </c>
      <c r="K827" s="61">
        <v>152000</v>
      </c>
      <c r="L827" s="49">
        <f t="shared" si="50"/>
        <v>30000</v>
      </c>
      <c r="M827" s="50">
        <f t="shared" si="51"/>
        <v>0</v>
      </c>
    </row>
    <row r="828" spans="1:13" x14ac:dyDescent="0.25">
      <c r="A828" s="98">
        <v>45295</v>
      </c>
      <c r="B828" s="24">
        <f t="shared" si="48"/>
        <v>1</v>
      </c>
      <c r="C828" s="24">
        <f t="shared" si="49"/>
        <v>2024</v>
      </c>
      <c r="D828" s="111" t="s">
        <v>384</v>
      </c>
      <c r="E828" s="111" t="s">
        <v>343</v>
      </c>
      <c r="F828" s="111"/>
      <c r="G828" s="111"/>
      <c r="H828" s="99"/>
      <c r="I828" s="99"/>
      <c r="J828" s="120">
        <v>40214</v>
      </c>
      <c r="K828" s="120"/>
      <c r="L828" s="49">
        <f t="shared" si="50"/>
        <v>70214</v>
      </c>
      <c r="M828" s="50">
        <f t="shared" si="51"/>
        <v>0</v>
      </c>
    </row>
    <row r="829" spans="1:13" x14ac:dyDescent="0.25">
      <c r="A829" s="98">
        <v>45295</v>
      </c>
      <c r="B829" s="24">
        <f t="shared" si="48"/>
        <v>1</v>
      </c>
      <c r="C829" s="24">
        <f t="shared" si="49"/>
        <v>2024</v>
      </c>
      <c r="D829" s="111" t="s">
        <v>148</v>
      </c>
      <c r="E829" s="111" t="s">
        <v>343</v>
      </c>
      <c r="F829" s="111"/>
      <c r="G829" s="111"/>
      <c r="H829" s="99"/>
      <c r="I829" s="99"/>
      <c r="J829" s="120"/>
      <c r="K829" s="120">
        <v>40214</v>
      </c>
      <c r="L829" s="49">
        <f t="shared" si="50"/>
        <v>30000</v>
      </c>
      <c r="M829" s="50">
        <f t="shared" si="51"/>
        <v>0</v>
      </c>
    </row>
    <row r="830" spans="1:13" x14ac:dyDescent="0.25">
      <c r="A830" s="54">
        <v>45315</v>
      </c>
      <c r="B830" s="24">
        <f t="shared" si="48"/>
        <v>1</v>
      </c>
      <c r="C830" s="24">
        <f t="shared" si="49"/>
        <v>2024</v>
      </c>
      <c r="D830" s="104" t="s">
        <v>352</v>
      </c>
      <c r="E830" s="104" t="s">
        <v>343</v>
      </c>
      <c r="F830" s="104" t="s">
        <v>150</v>
      </c>
      <c r="J830" s="61">
        <v>16900</v>
      </c>
      <c r="L830" s="49">
        <f t="shared" si="50"/>
        <v>46900</v>
      </c>
      <c r="M830" s="50">
        <f t="shared" si="51"/>
        <v>0</v>
      </c>
    </row>
    <row r="831" spans="1:13" x14ac:dyDescent="0.25">
      <c r="A831" s="80">
        <v>45315</v>
      </c>
      <c r="B831" s="24">
        <f t="shared" si="48"/>
        <v>1</v>
      </c>
      <c r="C831" s="24">
        <f t="shared" si="49"/>
        <v>2024</v>
      </c>
      <c r="D831" s="107" t="s">
        <v>361</v>
      </c>
      <c r="E831" s="107" t="s">
        <v>343</v>
      </c>
      <c r="F831" s="107"/>
      <c r="G831" s="107"/>
      <c r="H831" s="81"/>
      <c r="I831" s="81"/>
      <c r="J831" s="52"/>
      <c r="K831" s="52">
        <v>16900</v>
      </c>
      <c r="L831" s="49">
        <f t="shared" si="50"/>
        <v>30000</v>
      </c>
      <c r="M831" s="50">
        <f t="shared" si="51"/>
        <v>0</v>
      </c>
    </row>
    <row r="832" spans="1:13" x14ac:dyDescent="0.25">
      <c r="A832" s="54">
        <v>45316</v>
      </c>
      <c r="B832" s="24">
        <f t="shared" si="48"/>
        <v>1</v>
      </c>
      <c r="C832" s="24">
        <f t="shared" si="49"/>
        <v>2024</v>
      </c>
      <c r="D832" s="104" t="s">
        <v>352</v>
      </c>
      <c r="E832" s="104" t="s">
        <v>343</v>
      </c>
      <c r="F832" s="104" t="s">
        <v>456</v>
      </c>
      <c r="J832" s="61">
        <v>9000</v>
      </c>
      <c r="L832" s="49">
        <f t="shared" si="50"/>
        <v>39000</v>
      </c>
      <c r="M832" s="50">
        <f t="shared" si="51"/>
        <v>0</v>
      </c>
    </row>
    <row r="833" spans="1:13" x14ac:dyDescent="0.25">
      <c r="A833" s="54">
        <v>45316</v>
      </c>
      <c r="B833" s="24">
        <f t="shared" si="48"/>
        <v>1</v>
      </c>
      <c r="C833" s="24">
        <f t="shared" si="49"/>
        <v>2024</v>
      </c>
      <c r="D833" s="104" t="s">
        <v>109</v>
      </c>
      <c r="E833" s="104" t="s">
        <v>343</v>
      </c>
      <c r="F833" s="104" t="s">
        <v>354</v>
      </c>
      <c r="K833" s="61">
        <v>3000</v>
      </c>
      <c r="L833" s="49">
        <f t="shared" si="50"/>
        <v>36000</v>
      </c>
      <c r="M833" s="50">
        <f t="shared" si="51"/>
        <v>0</v>
      </c>
    </row>
    <row r="834" spans="1:13" x14ac:dyDescent="0.25">
      <c r="A834" s="54">
        <v>45316</v>
      </c>
      <c r="B834" s="24">
        <f t="shared" si="48"/>
        <v>1</v>
      </c>
      <c r="C834" s="24">
        <f t="shared" si="49"/>
        <v>2024</v>
      </c>
      <c r="D834" s="104" t="s">
        <v>109</v>
      </c>
      <c r="E834" s="104" t="s">
        <v>343</v>
      </c>
      <c r="F834" s="104" t="s">
        <v>683</v>
      </c>
      <c r="K834" s="61">
        <v>4000</v>
      </c>
      <c r="L834" s="49">
        <f t="shared" si="50"/>
        <v>32000</v>
      </c>
      <c r="M834" s="50">
        <f t="shared" si="51"/>
        <v>0</v>
      </c>
    </row>
    <row r="835" spans="1:13" x14ac:dyDescent="0.25">
      <c r="A835" s="54">
        <v>45316</v>
      </c>
      <c r="B835" s="24">
        <f t="shared" ref="B835:B898" si="52">MONTH(A835)</f>
        <v>1</v>
      </c>
      <c r="C835" s="24">
        <f t="shared" ref="C835:C898" si="53">YEAR(A835)</f>
        <v>2024</v>
      </c>
      <c r="D835" s="104" t="s">
        <v>109</v>
      </c>
      <c r="E835" s="104" t="s">
        <v>343</v>
      </c>
      <c r="F835" s="104" t="s">
        <v>189</v>
      </c>
      <c r="K835" s="61">
        <v>9000</v>
      </c>
      <c r="L835" s="49">
        <f t="shared" si="50"/>
        <v>23000</v>
      </c>
      <c r="M835" s="50">
        <f t="shared" si="51"/>
        <v>0</v>
      </c>
    </row>
    <row r="836" spans="1:13" x14ac:dyDescent="0.25">
      <c r="A836" s="54">
        <v>45316</v>
      </c>
      <c r="B836" s="24">
        <f t="shared" si="52"/>
        <v>1</v>
      </c>
      <c r="C836" s="24">
        <f t="shared" si="53"/>
        <v>2024</v>
      </c>
      <c r="D836" s="104" t="s">
        <v>352</v>
      </c>
      <c r="E836" s="104" t="s">
        <v>343</v>
      </c>
      <c r="F836" s="104" t="s">
        <v>684</v>
      </c>
      <c r="J836" s="61">
        <v>22000</v>
      </c>
      <c r="L836" s="49">
        <f t="shared" ref="L836:L899" si="54">IF((L835+M835+J836-K836)&gt;0,(L835+M835+J836-K836),0)</f>
        <v>45000</v>
      </c>
      <c r="M836" s="50">
        <f t="shared" ref="M836:M899" si="55">IF((L835+M835+J836-K836)&lt;0,(L835+M835+J836-K836),0)</f>
        <v>0</v>
      </c>
    </row>
    <row r="837" spans="1:13" x14ac:dyDescent="0.25">
      <c r="A837" s="80">
        <v>45316</v>
      </c>
      <c r="B837" s="24">
        <f t="shared" si="52"/>
        <v>1</v>
      </c>
      <c r="C837" s="24">
        <f t="shared" si="53"/>
        <v>2024</v>
      </c>
      <c r="D837" s="107" t="s">
        <v>122</v>
      </c>
      <c r="E837" s="107" t="s">
        <v>343</v>
      </c>
      <c r="F837" s="107"/>
      <c r="G837" s="107"/>
      <c r="H837" s="81"/>
      <c r="I837" s="81"/>
      <c r="J837" s="52"/>
      <c r="K837" s="52">
        <v>15000</v>
      </c>
      <c r="L837" s="49">
        <f t="shared" si="54"/>
        <v>30000</v>
      </c>
      <c r="M837" s="50">
        <f t="shared" si="55"/>
        <v>0</v>
      </c>
    </row>
    <row r="838" spans="1:13" x14ac:dyDescent="0.25">
      <c r="A838" s="54">
        <v>45317</v>
      </c>
      <c r="B838" s="24">
        <f t="shared" si="52"/>
        <v>1</v>
      </c>
      <c r="C838" s="24">
        <f t="shared" si="53"/>
        <v>2024</v>
      </c>
      <c r="D838" s="104" t="s">
        <v>352</v>
      </c>
      <c r="E838" s="104" t="s">
        <v>343</v>
      </c>
      <c r="F838" s="104" t="s">
        <v>688</v>
      </c>
      <c r="J838" s="61">
        <v>37300</v>
      </c>
      <c r="L838" s="49">
        <f t="shared" si="54"/>
        <v>67300</v>
      </c>
      <c r="M838" s="50">
        <f t="shared" si="55"/>
        <v>0</v>
      </c>
    </row>
    <row r="839" spans="1:13" x14ac:dyDescent="0.25">
      <c r="A839" s="54">
        <v>45317</v>
      </c>
      <c r="B839" s="24">
        <f t="shared" si="52"/>
        <v>1</v>
      </c>
      <c r="C839" s="24">
        <f t="shared" si="53"/>
        <v>2024</v>
      </c>
      <c r="D839" s="104" t="s">
        <v>352</v>
      </c>
      <c r="E839" s="104" t="s">
        <v>343</v>
      </c>
      <c r="F839" s="104" t="s">
        <v>298</v>
      </c>
      <c r="J839" s="61">
        <v>15000</v>
      </c>
      <c r="L839" s="49">
        <f t="shared" si="54"/>
        <v>82300</v>
      </c>
      <c r="M839" s="50">
        <f t="shared" si="55"/>
        <v>0</v>
      </c>
    </row>
    <row r="840" spans="1:13" x14ac:dyDescent="0.25">
      <c r="A840" s="80">
        <v>45317</v>
      </c>
      <c r="B840" s="24">
        <f t="shared" si="52"/>
        <v>1</v>
      </c>
      <c r="C840" s="24">
        <f t="shared" si="53"/>
        <v>2024</v>
      </c>
      <c r="D840" s="107" t="s">
        <v>122</v>
      </c>
      <c r="E840" s="107" t="s">
        <v>343</v>
      </c>
      <c r="F840" s="107"/>
      <c r="G840" s="107"/>
      <c r="H840" s="81"/>
      <c r="I840" s="81"/>
      <c r="J840" s="52"/>
      <c r="K840" s="52">
        <v>52300</v>
      </c>
      <c r="L840" s="49">
        <f t="shared" si="54"/>
        <v>30000</v>
      </c>
      <c r="M840" s="50">
        <f t="shared" si="55"/>
        <v>0</v>
      </c>
    </row>
    <row r="841" spans="1:13" x14ac:dyDescent="0.25">
      <c r="A841" s="54">
        <v>45318</v>
      </c>
      <c r="B841" s="24">
        <f t="shared" si="52"/>
        <v>1</v>
      </c>
      <c r="C841" s="24">
        <f t="shared" si="53"/>
        <v>2024</v>
      </c>
      <c r="D841" s="104" t="s">
        <v>384</v>
      </c>
      <c r="E841" s="104" t="s">
        <v>343</v>
      </c>
      <c r="J841" s="61">
        <v>120000</v>
      </c>
      <c r="L841" s="49">
        <f t="shared" si="54"/>
        <v>150000</v>
      </c>
      <c r="M841" s="50">
        <f t="shared" si="55"/>
        <v>0</v>
      </c>
    </row>
    <row r="842" spans="1:13" x14ac:dyDescent="0.25">
      <c r="A842" s="54">
        <v>45318</v>
      </c>
      <c r="B842" s="24">
        <f t="shared" si="52"/>
        <v>1</v>
      </c>
      <c r="C842" s="24">
        <f t="shared" si="53"/>
        <v>2024</v>
      </c>
      <c r="D842" s="104" t="s">
        <v>501</v>
      </c>
      <c r="E842" s="104" t="s">
        <v>93</v>
      </c>
      <c r="F842" s="104" t="s">
        <v>655</v>
      </c>
      <c r="K842" s="61">
        <v>120000</v>
      </c>
      <c r="L842" s="49">
        <f t="shared" si="54"/>
        <v>30000</v>
      </c>
      <c r="M842" s="50">
        <f t="shared" si="55"/>
        <v>0</v>
      </c>
    </row>
    <row r="843" spans="1:13" x14ac:dyDescent="0.25">
      <c r="A843" s="54">
        <v>45320</v>
      </c>
      <c r="B843" s="24">
        <f t="shared" si="52"/>
        <v>1</v>
      </c>
      <c r="C843" s="24">
        <f t="shared" si="53"/>
        <v>2024</v>
      </c>
      <c r="D843" s="104" t="s">
        <v>352</v>
      </c>
      <c r="E843" s="104" t="s">
        <v>343</v>
      </c>
      <c r="F843" s="104" t="s">
        <v>697</v>
      </c>
      <c r="J843" s="61">
        <v>160000</v>
      </c>
      <c r="L843" s="49">
        <f t="shared" si="54"/>
        <v>190000</v>
      </c>
      <c r="M843" s="50">
        <f t="shared" si="55"/>
        <v>0</v>
      </c>
    </row>
    <row r="844" spans="1:13" x14ac:dyDescent="0.25">
      <c r="A844" s="80">
        <v>45320</v>
      </c>
      <c r="B844" s="24">
        <f t="shared" si="52"/>
        <v>1</v>
      </c>
      <c r="C844" s="24">
        <f t="shared" si="53"/>
        <v>2024</v>
      </c>
      <c r="D844" s="107" t="s">
        <v>122</v>
      </c>
      <c r="E844" s="107" t="s">
        <v>343</v>
      </c>
      <c r="F844" s="107"/>
      <c r="G844" s="107"/>
      <c r="H844" s="81"/>
      <c r="I844" s="81"/>
      <c r="J844" s="52"/>
      <c r="K844" s="52">
        <v>160000</v>
      </c>
      <c r="L844" s="49">
        <f t="shared" si="54"/>
        <v>30000</v>
      </c>
      <c r="M844" s="50">
        <f t="shared" si="55"/>
        <v>0</v>
      </c>
    </row>
    <row r="845" spans="1:13" x14ac:dyDescent="0.25">
      <c r="A845" s="54">
        <v>45321</v>
      </c>
      <c r="B845" s="24">
        <f t="shared" si="52"/>
        <v>1</v>
      </c>
      <c r="C845" s="24">
        <f t="shared" si="53"/>
        <v>2024</v>
      </c>
      <c r="D845" s="104" t="s">
        <v>124</v>
      </c>
      <c r="E845" s="104" t="s">
        <v>343</v>
      </c>
      <c r="F845" s="104" t="s">
        <v>239</v>
      </c>
      <c r="K845" s="61">
        <v>12000</v>
      </c>
      <c r="L845" s="49">
        <f t="shared" si="54"/>
        <v>18000</v>
      </c>
      <c r="M845" s="50">
        <f t="shared" si="55"/>
        <v>0</v>
      </c>
    </row>
    <row r="846" spans="1:13" x14ac:dyDescent="0.25">
      <c r="A846" s="54">
        <v>45321</v>
      </c>
      <c r="B846" s="24">
        <f t="shared" si="52"/>
        <v>1</v>
      </c>
      <c r="C846" s="24">
        <f t="shared" si="53"/>
        <v>2024</v>
      </c>
      <c r="D846" s="104" t="s">
        <v>109</v>
      </c>
      <c r="E846" s="104" t="s">
        <v>343</v>
      </c>
      <c r="F846" s="104" t="s">
        <v>624</v>
      </c>
      <c r="K846" s="61">
        <v>4800</v>
      </c>
      <c r="L846" s="49">
        <f t="shared" si="54"/>
        <v>13200</v>
      </c>
      <c r="M846" s="50">
        <f t="shared" si="55"/>
        <v>0</v>
      </c>
    </row>
    <row r="847" spans="1:13" x14ac:dyDescent="0.25">
      <c r="A847" s="54">
        <v>45321</v>
      </c>
      <c r="B847" s="24">
        <f t="shared" si="52"/>
        <v>1</v>
      </c>
      <c r="C847" s="24">
        <f t="shared" si="53"/>
        <v>2024</v>
      </c>
      <c r="D847" s="104" t="s">
        <v>384</v>
      </c>
      <c r="E847" s="104" t="s">
        <v>343</v>
      </c>
      <c r="J847" s="61">
        <v>8500</v>
      </c>
      <c r="L847" s="49">
        <f t="shared" si="54"/>
        <v>21700</v>
      </c>
      <c r="M847" s="50">
        <f t="shared" si="55"/>
        <v>0</v>
      </c>
    </row>
    <row r="848" spans="1:13" x14ac:dyDescent="0.25">
      <c r="A848" s="54">
        <v>45321</v>
      </c>
      <c r="B848" s="24">
        <f t="shared" si="52"/>
        <v>1</v>
      </c>
      <c r="C848" s="24">
        <f t="shared" si="53"/>
        <v>2024</v>
      </c>
      <c r="D848" s="104" t="s">
        <v>109</v>
      </c>
      <c r="E848" s="104" t="s">
        <v>92</v>
      </c>
      <c r="F848" s="104" t="s">
        <v>246</v>
      </c>
      <c r="K848" s="61">
        <v>8500</v>
      </c>
      <c r="L848" s="49">
        <f t="shared" si="54"/>
        <v>13200</v>
      </c>
      <c r="M848" s="50">
        <f t="shared" si="55"/>
        <v>0</v>
      </c>
    </row>
    <row r="849" spans="1:15" x14ac:dyDescent="0.25">
      <c r="A849" s="134">
        <v>45321</v>
      </c>
      <c r="B849" s="24">
        <f t="shared" si="52"/>
        <v>1</v>
      </c>
      <c r="C849" s="24">
        <f t="shared" si="53"/>
        <v>2024</v>
      </c>
      <c r="D849" s="135" t="s">
        <v>384</v>
      </c>
      <c r="E849" s="135" t="s">
        <v>343</v>
      </c>
      <c r="F849" s="135"/>
      <c r="G849" s="135"/>
      <c r="H849" s="136"/>
      <c r="I849" s="136"/>
      <c r="J849" s="137">
        <v>16800</v>
      </c>
      <c r="L849" s="49">
        <f t="shared" si="54"/>
        <v>30000</v>
      </c>
      <c r="M849" s="50">
        <f t="shared" si="55"/>
        <v>0</v>
      </c>
    </row>
    <row r="850" spans="1:15" x14ac:dyDescent="0.25">
      <c r="A850" s="54">
        <v>45322</v>
      </c>
      <c r="B850" s="24">
        <f t="shared" si="52"/>
        <v>1</v>
      </c>
      <c r="C850" s="24">
        <f t="shared" si="53"/>
        <v>2024</v>
      </c>
      <c r="D850" s="104" t="s">
        <v>384</v>
      </c>
      <c r="E850" s="104" t="s">
        <v>343</v>
      </c>
      <c r="J850" s="61">
        <v>42900</v>
      </c>
      <c r="L850" s="49">
        <f t="shared" si="54"/>
        <v>72900</v>
      </c>
      <c r="M850" s="50">
        <f t="shared" si="55"/>
        <v>0</v>
      </c>
    </row>
    <row r="851" spans="1:15" x14ac:dyDescent="0.25">
      <c r="A851" s="54">
        <v>45322</v>
      </c>
      <c r="B851" s="24">
        <f t="shared" si="52"/>
        <v>1</v>
      </c>
      <c r="C851" s="24">
        <f t="shared" si="53"/>
        <v>2024</v>
      </c>
      <c r="D851" s="104" t="s">
        <v>124</v>
      </c>
      <c r="E851" s="104" t="s">
        <v>343</v>
      </c>
      <c r="G851" s="104" t="s">
        <v>98</v>
      </c>
      <c r="K851" s="61">
        <v>42900</v>
      </c>
      <c r="L851" s="49">
        <f t="shared" si="54"/>
        <v>30000</v>
      </c>
      <c r="M851" s="50">
        <f t="shared" si="55"/>
        <v>0</v>
      </c>
    </row>
    <row r="852" spans="1:15" x14ac:dyDescent="0.25">
      <c r="A852" s="54">
        <v>45322</v>
      </c>
      <c r="B852" s="24">
        <f t="shared" si="52"/>
        <v>1</v>
      </c>
      <c r="C852" s="24">
        <f t="shared" si="53"/>
        <v>2024</v>
      </c>
      <c r="D852" s="104" t="s">
        <v>352</v>
      </c>
      <c r="E852" s="104" t="s">
        <v>343</v>
      </c>
      <c r="F852" s="104" t="s">
        <v>473</v>
      </c>
      <c r="J852" s="61">
        <v>20500</v>
      </c>
      <c r="L852" s="49">
        <f t="shared" si="54"/>
        <v>50500</v>
      </c>
      <c r="M852" s="50">
        <f t="shared" si="55"/>
        <v>0</v>
      </c>
    </row>
    <row r="853" spans="1:15" s="16" customFormat="1" x14ac:dyDescent="0.25">
      <c r="A853" s="66">
        <v>45322</v>
      </c>
      <c r="B853" s="24">
        <f t="shared" si="52"/>
        <v>1</v>
      </c>
      <c r="C853" s="24">
        <f t="shared" si="53"/>
        <v>2024</v>
      </c>
      <c r="D853" s="109" t="s">
        <v>352</v>
      </c>
      <c r="E853" s="109" t="s">
        <v>343</v>
      </c>
      <c r="F853" s="109"/>
      <c r="G853" s="109"/>
      <c r="H853" s="14"/>
      <c r="I853" s="14"/>
      <c r="J853" s="118">
        <v>32500</v>
      </c>
      <c r="K853" s="118"/>
      <c r="L853" s="49">
        <f t="shared" si="54"/>
        <v>83000</v>
      </c>
      <c r="M853" s="50">
        <f t="shared" si="55"/>
        <v>0</v>
      </c>
      <c r="N853" s="138"/>
      <c r="O853" s="138"/>
    </row>
    <row r="854" spans="1:15" x14ac:dyDescent="0.25">
      <c r="A854" s="80">
        <v>45322</v>
      </c>
      <c r="B854" s="24">
        <f t="shared" si="52"/>
        <v>1</v>
      </c>
      <c r="C854" s="24">
        <f t="shared" si="53"/>
        <v>2024</v>
      </c>
      <c r="D854" s="107" t="s">
        <v>361</v>
      </c>
      <c r="E854" s="107" t="s">
        <v>343</v>
      </c>
      <c r="F854" s="107"/>
      <c r="G854" s="107"/>
      <c r="H854" s="81"/>
      <c r="I854" s="81"/>
      <c r="J854" s="52"/>
      <c r="K854" s="52">
        <v>53000</v>
      </c>
      <c r="L854" s="49">
        <f t="shared" si="54"/>
        <v>30000</v>
      </c>
      <c r="M854" s="50">
        <f t="shared" si="55"/>
        <v>0</v>
      </c>
    </row>
    <row r="855" spans="1:15" x14ac:dyDescent="0.25">
      <c r="A855" s="54">
        <v>45323</v>
      </c>
      <c r="B855" s="24">
        <f t="shared" si="52"/>
        <v>2</v>
      </c>
      <c r="C855" s="24">
        <f t="shared" si="53"/>
        <v>2024</v>
      </c>
      <c r="D855" s="104" t="s">
        <v>109</v>
      </c>
      <c r="E855" s="104" t="s">
        <v>343</v>
      </c>
      <c r="F855" s="104" t="s">
        <v>616</v>
      </c>
      <c r="K855" s="61">
        <v>3000</v>
      </c>
      <c r="L855" s="49">
        <f t="shared" si="54"/>
        <v>27000</v>
      </c>
      <c r="M855" s="50">
        <f t="shared" si="55"/>
        <v>0</v>
      </c>
    </row>
    <row r="856" spans="1:15" x14ac:dyDescent="0.25">
      <c r="A856" s="54">
        <v>45323</v>
      </c>
      <c r="B856" s="24">
        <f t="shared" si="52"/>
        <v>2</v>
      </c>
      <c r="C856" s="24">
        <f t="shared" si="53"/>
        <v>2024</v>
      </c>
      <c r="D856" s="104" t="s">
        <v>352</v>
      </c>
      <c r="E856" s="104" t="s">
        <v>343</v>
      </c>
      <c r="J856" s="61">
        <v>78000</v>
      </c>
      <c r="L856" s="49">
        <f t="shared" si="54"/>
        <v>105000</v>
      </c>
      <c r="M856" s="50">
        <f t="shared" si="55"/>
        <v>0</v>
      </c>
    </row>
    <row r="857" spans="1:15" x14ac:dyDescent="0.25">
      <c r="A857" s="54">
        <v>45323</v>
      </c>
      <c r="B857" s="24">
        <f t="shared" si="52"/>
        <v>2</v>
      </c>
      <c r="C857" s="24">
        <f t="shared" si="53"/>
        <v>2024</v>
      </c>
      <c r="D857" s="104" t="s">
        <v>109</v>
      </c>
      <c r="E857" s="104" t="s">
        <v>343</v>
      </c>
      <c r="F857" s="104" t="s">
        <v>693</v>
      </c>
      <c r="K857" s="61">
        <v>46500</v>
      </c>
      <c r="L857" s="49">
        <f t="shared" si="54"/>
        <v>58500</v>
      </c>
      <c r="M857" s="50">
        <f t="shared" si="55"/>
        <v>0</v>
      </c>
    </row>
    <row r="858" spans="1:15" x14ac:dyDescent="0.25">
      <c r="A858" s="80">
        <v>45323</v>
      </c>
      <c r="B858" s="24">
        <f t="shared" si="52"/>
        <v>2</v>
      </c>
      <c r="C858" s="24">
        <f t="shared" si="53"/>
        <v>2024</v>
      </c>
      <c r="D858" s="107" t="s">
        <v>361</v>
      </c>
      <c r="E858" s="107" t="s">
        <v>343</v>
      </c>
      <c r="F858" s="107"/>
      <c r="G858" s="107"/>
      <c r="H858" s="81"/>
      <c r="I858" s="81"/>
      <c r="J858" s="52"/>
      <c r="K858" s="52">
        <v>28500</v>
      </c>
      <c r="L858" s="49">
        <f t="shared" si="54"/>
        <v>30000</v>
      </c>
      <c r="M858" s="50">
        <f t="shared" si="55"/>
        <v>0</v>
      </c>
    </row>
    <row r="859" spans="1:15" x14ac:dyDescent="0.25">
      <c r="A859" s="54">
        <v>45324</v>
      </c>
      <c r="B859" s="24">
        <f t="shared" si="52"/>
        <v>2</v>
      </c>
      <c r="C859" s="24">
        <f t="shared" si="53"/>
        <v>2024</v>
      </c>
      <c r="D859" s="104" t="s">
        <v>352</v>
      </c>
      <c r="E859" s="104" t="s">
        <v>343</v>
      </c>
      <c r="F859" s="104" t="s">
        <v>695</v>
      </c>
      <c r="J859" s="61">
        <v>179000</v>
      </c>
      <c r="L859" s="49">
        <f t="shared" si="54"/>
        <v>209000</v>
      </c>
      <c r="M859" s="50">
        <f t="shared" si="55"/>
        <v>0</v>
      </c>
    </row>
    <row r="860" spans="1:15" x14ac:dyDescent="0.25">
      <c r="A860" s="54">
        <v>45324</v>
      </c>
      <c r="B860" s="24">
        <f t="shared" si="52"/>
        <v>2</v>
      </c>
      <c r="C860" s="24">
        <f t="shared" si="53"/>
        <v>2024</v>
      </c>
      <c r="D860" s="104" t="s">
        <v>89</v>
      </c>
      <c r="E860" s="104" t="s">
        <v>343</v>
      </c>
      <c r="F860" s="104" t="s">
        <v>499</v>
      </c>
      <c r="J860" s="61">
        <v>166000</v>
      </c>
      <c r="L860" s="49">
        <f t="shared" si="54"/>
        <v>375000</v>
      </c>
      <c r="M860" s="50">
        <f t="shared" si="55"/>
        <v>0</v>
      </c>
    </row>
    <row r="861" spans="1:15" x14ac:dyDescent="0.25">
      <c r="A861" s="66">
        <v>45324</v>
      </c>
      <c r="B861" s="24">
        <f t="shared" si="52"/>
        <v>2</v>
      </c>
      <c r="C861" s="24">
        <f t="shared" si="53"/>
        <v>2024</v>
      </c>
      <c r="D861" s="109" t="s">
        <v>500</v>
      </c>
      <c r="E861" s="109" t="s">
        <v>343</v>
      </c>
      <c r="F861" s="109"/>
      <c r="G861" s="109"/>
      <c r="H861" s="14"/>
      <c r="I861" s="14"/>
      <c r="J861" s="118"/>
      <c r="K861" s="118">
        <v>78000</v>
      </c>
      <c r="L861" s="49">
        <f t="shared" si="54"/>
        <v>297000</v>
      </c>
      <c r="M861" s="50">
        <f t="shared" si="55"/>
        <v>0</v>
      </c>
    </row>
    <row r="862" spans="1:15" x14ac:dyDescent="0.25">
      <c r="A862" s="54">
        <v>45324</v>
      </c>
      <c r="B862" s="24">
        <f t="shared" si="52"/>
        <v>2</v>
      </c>
      <c r="C862" s="24">
        <f t="shared" si="53"/>
        <v>2024</v>
      </c>
      <c r="D862" s="104" t="s">
        <v>501</v>
      </c>
      <c r="E862" s="104" t="s">
        <v>343</v>
      </c>
      <c r="F862" s="104" t="s">
        <v>567</v>
      </c>
      <c r="K862" s="61">
        <v>110000</v>
      </c>
      <c r="L862" s="49">
        <f t="shared" si="54"/>
        <v>187000</v>
      </c>
      <c r="M862" s="50">
        <f t="shared" si="55"/>
        <v>0</v>
      </c>
    </row>
    <row r="863" spans="1:15" x14ac:dyDescent="0.25">
      <c r="A863" s="80">
        <v>45324</v>
      </c>
      <c r="B863" s="24">
        <f t="shared" si="52"/>
        <v>2</v>
      </c>
      <c r="C863" s="24">
        <f t="shared" si="53"/>
        <v>2024</v>
      </c>
      <c r="D863" s="107" t="s">
        <v>122</v>
      </c>
      <c r="E863" s="107" t="s">
        <v>343</v>
      </c>
      <c r="F863" s="107"/>
      <c r="G863" s="107"/>
      <c r="H863" s="81"/>
      <c r="I863" s="81"/>
      <c r="J863" s="52"/>
      <c r="K863" s="52">
        <v>157000</v>
      </c>
      <c r="L863" s="49">
        <f t="shared" si="54"/>
        <v>30000</v>
      </c>
      <c r="M863" s="50">
        <f t="shared" si="55"/>
        <v>0</v>
      </c>
    </row>
    <row r="864" spans="1:15" x14ac:dyDescent="0.25">
      <c r="A864" s="54">
        <v>45325</v>
      </c>
      <c r="B864" s="24">
        <f t="shared" si="52"/>
        <v>2</v>
      </c>
      <c r="C864" s="24">
        <f t="shared" si="53"/>
        <v>2024</v>
      </c>
      <c r="D864" s="104" t="s">
        <v>384</v>
      </c>
      <c r="E864" s="104" t="s">
        <v>343</v>
      </c>
      <c r="J864" s="61">
        <v>9000</v>
      </c>
      <c r="L864" s="49">
        <f t="shared" si="54"/>
        <v>39000</v>
      </c>
      <c r="M864" s="50">
        <f t="shared" si="55"/>
        <v>0</v>
      </c>
    </row>
    <row r="865" spans="1:13" x14ac:dyDescent="0.25">
      <c r="A865" s="54">
        <v>45325</v>
      </c>
      <c r="B865" s="24">
        <f t="shared" si="52"/>
        <v>2</v>
      </c>
      <c r="C865" s="24">
        <f t="shared" si="53"/>
        <v>2024</v>
      </c>
      <c r="D865" s="104" t="s">
        <v>360</v>
      </c>
      <c r="E865" s="104" t="s">
        <v>343</v>
      </c>
      <c r="F865" s="104" t="s">
        <v>698</v>
      </c>
      <c r="K865" s="61">
        <v>9000</v>
      </c>
      <c r="L865" s="49">
        <f t="shared" si="54"/>
        <v>30000</v>
      </c>
      <c r="M865" s="50">
        <f t="shared" si="55"/>
        <v>0</v>
      </c>
    </row>
    <row r="866" spans="1:13" x14ac:dyDescent="0.25">
      <c r="A866" s="54">
        <v>45325</v>
      </c>
      <c r="B866" s="24">
        <f t="shared" si="52"/>
        <v>2</v>
      </c>
      <c r="C866" s="24">
        <f t="shared" si="53"/>
        <v>2024</v>
      </c>
      <c r="D866" s="104" t="s">
        <v>384</v>
      </c>
      <c r="E866" s="104" t="s">
        <v>93</v>
      </c>
      <c r="J866" s="61">
        <v>150000</v>
      </c>
      <c r="L866" s="49">
        <f t="shared" si="54"/>
        <v>180000</v>
      </c>
      <c r="M866" s="50">
        <f t="shared" si="55"/>
        <v>0</v>
      </c>
    </row>
    <row r="867" spans="1:13" x14ac:dyDescent="0.25">
      <c r="A867" s="54">
        <v>45325</v>
      </c>
      <c r="B867" s="24">
        <f t="shared" si="52"/>
        <v>2</v>
      </c>
      <c r="C867" s="24">
        <f t="shared" si="53"/>
        <v>2024</v>
      </c>
      <c r="D867" s="104" t="s">
        <v>501</v>
      </c>
      <c r="E867" s="104" t="s">
        <v>93</v>
      </c>
      <c r="F867" s="104" t="s">
        <v>655</v>
      </c>
      <c r="K867" s="61">
        <v>150000</v>
      </c>
      <c r="L867" s="49">
        <f t="shared" si="54"/>
        <v>30000</v>
      </c>
      <c r="M867" s="50">
        <f t="shared" si="55"/>
        <v>0</v>
      </c>
    </row>
    <row r="868" spans="1:13" x14ac:dyDescent="0.25">
      <c r="A868" s="54">
        <v>45327</v>
      </c>
      <c r="B868" s="24">
        <f t="shared" si="52"/>
        <v>2</v>
      </c>
      <c r="C868" s="24">
        <f t="shared" si="53"/>
        <v>2024</v>
      </c>
      <c r="D868" s="104" t="s">
        <v>352</v>
      </c>
      <c r="E868" s="104" t="s">
        <v>343</v>
      </c>
      <c r="F868" s="104" t="s">
        <v>400</v>
      </c>
      <c r="J868" s="61">
        <v>103500</v>
      </c>
      <c r="L868" s="49">
        <f t="shared" si="54"/>
        <v>133500</v>
      </c>
      <c r="M868" s="50">
        <f t="shared" si="55"/>
        <v>0</v>
      </c>
    </row>
    <row r="869" spans="1:13" x14ac:dyDescent="0.25">
      <c r="A869" s="54">
        <v>45327</v>
      </c>
      <c r="B869" s="24">
        <f t="shared" si="52"/>
        <v>2</v>
      </c>
      <c r="C869" s="24">
        <f t="shared" si="53"/>
        <v>2024</v>
      </c>
      <c r="D869" s="104" t="s">
        <v>352</v>
      </c>
      <c r="E869" s="104" t="s">
        <v>343</v>
      </c>
      <c r="F869" s="104" t="s">
        <v>699</v>
      </c>
      <c r="J869" s="61">
        <v>27000</v>
      </c>
      <c r="L869" s="49">
        <f t="shared" si="54"/>
        <v>160500</v>
      </c>
      <c r="M869" s="50">
        <f t="shared" si="55"/>
        <v>0</v>
      </c>
    </row>
    <row r="870" spans="1:13" x14ac:dyDescent="0.25">
      <c r="A870" s="54">
        <v>45327</v>
      </c>
      <c r="B870" s="24">
        <f t="shared" si="52"/>
        <v>2</v>
      </c>
      <c r="C870" s="24">
        <f t="shared" si="53"/>
        <v>2024</v>
      </c>
      <c r="D870" s="104" t="s">
        <v>124</v>
      </c>
      <c r="E870" s="104" t="s">
        <v>343</v>
      </c>
      <c r="F870" s="104" t="s">
        <v>239</v>
      </c>
      <c r="K870" s="61">
        <v>6000</v>
      </c>
      <c r="L870" s="49">
        <f t="shared" si="54"/>
        <v>154500</v>
      </c>
      <c r="M870" s="50">
        <f t="shared" si="55"/>
        <v>0</v>
      </c>
    </row>
    <row r="871" spans="1:13" x14ac:dyDescent="0.25">
      <c r="A871" s="54">
        <v>45327</v>
      </c>
      <c r="B871" s="24">
        <f t="shared" si="52"/>
        <v>2</v>
      </c>
      <c r="C871" s="24">
        <f t="shared" si="53"/>
        <v>2024</v>
      </c>
      <c r="D871" s="104" t="s">
        <v>109</v>
      </c>
      <c r="E871" s="104" t="s">
        <v>343</v>
      </c>
      <c r="K871" s="61">
        <v>4000</v>
      </c>
      <c r="L871" s="49">
        <f t="shared" si="54"/>
        <v>150500</v>
      </c>
      <c r="M871" s="50">
        <f t="shared" si="55"/>
        <v>0</v>
      </c>
    </row>
    <row r="872" spans="1:13" x14ac:dyDescent="0.25">
      <c r="A872" s="80">
        <v>45327</v>
      </c>
      <c r="B872" s="24">
        <f t="shared" si="52"/>
        <v>2</v>
      </c>
      <c r="C872" s="24">
        <f t="shared" si="53"/>
        <v>2024</v>
      </c>
      <c r="D872" s="107" t="s">
        <v>122</v>
      </c>
      <c r="E872" s="107" t="s">
        <v>343</v>
      </c>
      <c r="F872" s="107"/>
      <c r="G872" s="107"/>
      <c r="H872" s="81"/>
      <c r="I872" s="81"/>
      <c r="J872" s="52"/>
      <c r="K872" s="52">
        <v>120500</v>
      </c>
      <c r="L872" s="49">
        <f t="shared" si="54"/>
        <v>30000</v>
      </c>
      <c r="M872" s="50">
        <f t="shared" si="55"/>
        <v>0</v>
      </c>
    </row>
    <row r="873" spans="1:13" x14ac:dyDescent="0.25">
      <c r="A873" s="54">
        <v>45328</v>
      </c>
      <c r="B873" s="24">
        <f t="shared" si="52"/>
        <v>2</v>
      </c>
      <c r="C873" s="24">
        <f t="shared" si="53"/>
        <v>2024</v>
      </c>
      <c r="D873" s="104" t="s">
        <v>352</v>
      </c>
      <c r="E873" s="104" t="s">
        <v>343</v>
      </c>
      <c r="F873" s="104" t="s">
        <v>716</v>
      </c>
      <c r="J873" s="61">
        <v>100000</v>
      </c>
      <c r="L873" s="49">
        <f t="shared" si="54"/>
        <v>130000</v>
      </c>
      <c r="M873" s="50">
        <f t="shared" si="55"/>
        <v>0</v>
      </c>
    </row>
    <row r="874" spans="1:13" x14ac:dyDescent="0.25">
      <c r="A874" s="54">
        <v>45328</v>
      </c>
      <c r="B874" s="24">
        <f t="shared" si="52"/>
        <v>2</v>
      </c>
      <c r="C874" s="24">
        <f t="shared" si="53"/>
        <v>2024</v>
      </c>
      <c r="D874" s="104" t="s">
        <v>124</v>
      </c>
      <c r="E874" s="104" t="s">
        <v>343</v>
      </c>
      <c r="F874" s="104" t="s">
        <v>717</v>
      </c>
      <c r="K874" s="61">
        <v>5200</v>
      </c>
      <c r="L874" s="49">
        <f t="shared" si="54"/>
        <v>124800</v>
      </c>
      <c r="M874" s="50">
        <f t="shared" si="55"/>
        <v>0</v>
      </c>
    </row>
    <row r="875" spans="1:13" x14ac:dyDescent="0.25">
      <c r="A875" s="54">
        <v>45328</v>
      </c>
      <c r="B875" s="24">
        <f t="shared" si="52"/>
        <v>2</v>
      </c>
      <c r="C875" s="24">
        <f t="shared" si="53"/>
        <v>2024</v>
      </c>
      <c r="D875" s="104" t="s">
        <v>92</v>
      </c>
      <c r="E875" s="104" t="s">
        <v>92</v>
      </c>
      <c r="K875" s="61">
        <v>4500</v>
      </c>
      <c r="L875" s="49">
        <f t="shared" si="54"/>
        <v>120300</v>
      </c>
      <c r="M875" s="50">
        <f t="shared" si="55"/>
        <v>0</v>
      </c>
    </row>
    <row r="876" spans="1:13" x14ac:dyDescent="0.25">
      <c r="A876" s="54">
        <v>45328</v>
      </c>
      <c r="B876" s="24">
        <f t="shared" si="52"/>
        <v>2</v>
      </c>
      <c r="C876" s="24">
        <f t="shared" si="53"/>
        <v>2024</v>
      </c>
      <c r="D876" s="104" t="s">
        <v>352</v>
      </c>
      <c r="E876" s="104" t="s">
        <v>343</v>
      </c>
      <c r="F876" s="104" t="s">
        <v>718</v>
      </c>
      <c r="J876" s="61">
        <v>99600</v>
      </c>
      <c r="L876" s="49">
        <f t="shared" si="54"/>
        <v>219900</v>
      </c>
      <c r="M876" s="50">
        <f t="shared" si="55"/>
        <v>0</v>
      </c>
    </row>
    <row r="877" spans="1:13" x14ac:dyDescent="0.25">
      <c r="A877" s="54">
        <v>45328</v>
      </c>
      <c r="B877" s="24">
        <f t="shared" si="52"/>
        <v>2</v>
      </c>
      <c r="C877" s="24">
        <f t="shared" si="53"/>
        <v>2024</v>
      </c>
      <c r="D877" s="104" t="s">
        <v>352</v>
      </c>
      <c r="E877" s="104" t="s">
        <v>343</v>
      </c>
      <c r="F877" s="104" t="s">
        <v>719</v>
      </c>
      <c r="J877" s="61">
        <v>67100</v>
      </c>
      <c r="L877" s="49">
        <f t="shared" si="54"/>
        <v>287000</v>
      </c>
      <c r="M877" s="50">
        <f t="shared" si="55"/>
        <v>0</v>
      </c>
    </row>
    <row r="878" spans="1:13" x14ac:dyDescent="0.25">
      <c r="A878" s="54">
        <v>45328</v>
      </c>
      <c r="B878" s="24">
        <f t="shared" si="52"/>
        <v>2</v>
      </c>
      <c r="C878" s="24">
        <f t="shared" si="53"/>
        <v>2024</v>
      </c>
      <c r="D878" s="104" t="s">
        <v>112</v>
      </c>
      <c r="E878" s="104" t="s">
        <v>343</v>
      </c>
      <c r="K878" s="61">
        <v>20000</v>
      </c>
      <c r="L878" s="49">
        <f t="shared" si="54"/>
        <v>267000</v>
      </c>
      <c r="M878" s="50">
        <f t="shared" si="55"/>
        <v>0</v>
      </c>
    </row>
    <row r="879" spans="1:13" x14ac:dyDescent="0.25">
      <c r="A879" s="54">
        <v>45328</v>
      </c>
      <c r="B879" s="24">
        <f t="shared" si="52"/>
        <v>2</v>
      </c>
      <c r="C879" s="24">
        <f t="shared" si="53"/>
        <v>2024</v>
      </c>
      <c r="D879" s="104" t="s">
        <v>109</v>
      </c>
      <c r="E879" s="104" t="s">
        <v>343</v>
      </c>
      <c r="F879" s="104" t="s">
        <v>354</v>
      </c>
      <c r="K879" s="61">
        <v>1500</v>
      </c>
      <c r="L879" s="49">
        <f t="shared" si="54"/>
        <v>265500</v>
      </c>
      <c r="M879" s="50">
        <f t="shared" si="55"/>
        <v>0</v>
      </c>
    </row>
    <row r="880" spans="1:13" x14ac:dyDescent="0.25">
      <c r="A880" s="80">
        <v>45328</v>
      </c>
      <c r="B880" s="24">
        <f t="shared" si="52"/>
        <v>2</v>
      </c>
      <c r="C880" s="24">
        <f t="shared" si="53"/>
        <v>2024</v>
      </c>
      <c r="D880" s="107" t="s">
        <v>122</v>
      </c>
      <c r="E880" s="107" t="s">
        <v>343</v>
      </c>
      <c r="F880" s="107"/>
      <c r="G880" s="107"/>
      <c r="H880" s="81"/>
      <c r="I880" s="81"/>
      <c r="J880" s="52"/>
      <c r="K880" s="52">
        <v>235500</v>
      </c>
      <c r="L880" s="49">
        <f t="shared" si="54"/>
        <v>30000</v>
      </c>
      <c r="M880" s="50">
        <f t="shared" si="55"/>
        <v>0</v>
      </c>
    </row>
    <row r="881" spans="1:13" x14ac:dyDescent="0.25">
      <c r="A881" s="54">
        <v>45329</v>
      </c>
      <c r="B881" s="24">
        <f t="shared" si="52"/>
        <v>2</v>
      </c>
      <c r="C881" s="24">
        <f t="shared" si="53"/>
        <v>2024</v>
      </c>
      <c r="D881" s="104" t="s">
        <v>352</v>
      </c>
      <c r="E881" s="104" t="s">
        <v>343</v>
      </c>
      <c r="F881" s="104" t="s">
        <v>442</v>
      </c>
      <c r="J881" s="61">
        <v>262000</v>
      </c>
      <c r="L881" s="49">
        <f t="shared" si="54"/>
        <v>292000</v>
      </c>
      <c r="M881" s="50">
        <f t="shared" si="55"/>
        <v>0</v>
      </c>
    </row>
    <row r="882" spans="1:13" x14ac:dyDescent="0.25">
      <c r="A882" s="54">
        <v>45329</v>
      </c>
      <c r="B882" s="24">
        <f t="shared" si="52"/>
        <v>2</v>
      </c>
      <c r="C882" s="24">
        <f t="shared" si="53"/>
        <v>2024</v>
      </c>
      <c r="D882" s="104" t="s">
        <v>109</v>
      </c>
      <c r="E882" s="104" t="s">
        <v>343</v>
      </c>
      <c r="F882" s="104" t="s">
        <v>720</v>
      </c>
      <c r="K882" s="61">
        <v>48300</v>
      </c>
      <c r="L882" s="49">
        <f t="shared" si="54"/>
        <v>243700</v>
      </c>
      <c r="M882" s="50">
        <f t="shared" si="55"/>
        <v>0</v>
      </c>
    </row>
    <row r="883" spans="1:13" x14ac:dyDescent="0.25">
      <c r="A883" s="54">
        <v>45329</v>
      </c>
      <c r="B883" s="24">
        <f t="shared" si="52"/>
        <v>2</v>
      </c>
      <c r="C883" s="24">
        <f t="shared" si="53"/>
        <v>2024</v>
      </c>
      <c r="D883" s="104" t="s">
        <v>109</v>
      </c>
      <c r="E883" s="104" t="s">
        <v>343</v>
      </c>
      <c r="F883" s="104" t="s">
        <v>574</v>
      </c>
      <c r="K883" s="61">
        <v>12000</v>
      </c>
      <c r="L883" s="49">
        <f t="shared" si="54"/>
        <v>231700</v>
      </c>
      <c r="M883" s="50">
        <f t="shared" si="55"/>
        <v>0</v>
      </c>
    </row>
    <row r="884" spans="1:13" x14ac:dyDescent="0.25">
      <c r="A884" s="54">
        <v>45329</v>
      </c>
      <c r="B884" s="24">
        <f t="shared" si="52"/>
        <v>2</v>
      </c>
      <c r="C884" s="24">
        <f t="shared" si="53"/>
        <v>2024</v>
      </c>
      <c r="D884" s="104" t="s">
        <v>352</v>
      </c>
      <c r="E884" s="104" t="s">
        <v>93</v>
      </c>
      <c r="F884" s="104" t="s">
        <v>723</v>
      </c>
      <c r="J884" s="61">
        <v>96700</v>
      </c>
      <c r="L884" s="49">
        <f t="shared" si="54"/>
        <v>328400</v>
      </c>
      <c r="M884" s="50">
        <f t="shared" si="55"/>
        <v>0</v>
      </c>
    </row>
    <row r="885" spans="1:13" x14ac:dyDescent="0.25">
      <c r="A885" s="54">
        <v>45329</v>
      </c>
      <c r="B885" s="24">
        <f t="shared" si="52"/>
        <v>2</v>
      </c>
      <c r="C885" s="24">
        <f t="shared" si="53"/>
        <v>2024</v>
      </c>
      <c r="D885" s="104" t="s">
        <v>149</v>
      </c>
      <c r="E885" s="104" t="s">
        <v>343</v>
      </c>
      <c r="F885" s="104" t="s">
        <v>649</v>
      </c>
      <c r="K885" s="61">
        <v>90000</v>
      </c>
      <c r="L885" s="49">
        <f t="shared" si="54"/>
        <v>238400</v>
      </c>
      <c r="M885" s="50">
        <f t="shared" si="55"/>
        <v>0</v>
      </c>
    </row>
    <row r="886" spans="1:13" x14ac:dyDescent="0.25">
      <c r="A886" s="80">
        <v>45329</v>
      </c>
      <c r="B886" s="24">
        <f t="shared" si="52"/>
        <v>2</v>
      </c>
      <c r="C886" s="24">
        <f t="shared" si="53"/>
        <v>2024</v>
      </c>
      <c r="D886" s="107" t="s">
        <v>361</v>
      </c>
      <c r="E886" s="107" t="s">
        <v>343</v>
      </c>
      <c r="F886" s="107"/>
      <c r="G886" s="107"/>
      <c r="H886" s="81"/>
      <c r="I886" s="81"/>
      <c r="J886" s="52"/>
      <c r="K886" s="52">
        <v>208400</v>
      </c>
      <c r="L886" s="49">
        <f t="shared" si="54"/>
        <v>30000</v>
      </c>
      <c r="M886" s="50">
        <f t="shared" si="55"/>
        <v>0</v>
      </c>
    </row>
    <row r="887" spans="1:13" x14ac:dyDescent="0.25">
      <c r="A887" s="54">
        <v>45330</v>
      </c>
      <c r="B887" s="24">
        <f t="shared" si="52"/>
        <v>2</v>
      </c>
      <c r="C887" s="24">
        <f t="shared" si="53"/>
        <v>2024</v>
      </c>
      <c r="D887" s="104" t="s">
        <v>352</v>
      </c>
      <c r="E887" s="104" t="s">
        <v>343</v>
      </c>
      <c r="F887" s="104" t="s">
        <v>724</v>
      </c>
      <c r="J887" s="61">
        <v>249100</v>
      </c>
      <c r="L887" s="49">
        <f t="shared" si="54"/>
        <v>279100</v>
      </c>
      <c r="M887" s="50">
        <f t="shared" si="55"/>
        <v>0</v>
      </c>
    </row>
    <row r="888" spans="1:13" x14ac:dyDescent="0.25">
      <c r="A888" s="54">
        <v>45330</v>
      </c>
      <c r="B888" s="24">
        <f t="shared" si="52"/>
        <v>2</v>
      </c>
      <c r="C888" s="24">
        <f t="shared" si="53"/>
        <v>2024</v>
      </c>
      <c r="D888" s="104" t="s">
        <v>352</v>
      </c>
      <c r="E888" s="104" t="s">
        <v>343</v>
      </c>
      <c r="F888" s="104" t="s">
        <v>725</v>
      </c>
      <c r="J888" s="61">
        <v>120000</v>
      </c>
      <c r="L888" s="49">
        <f t="shared" si="54"/>
        <v>399100</v>
      </c>
      <c r="M888" s="50">
        <f t="shared" si="55"/>
        <v>0</v>
      </c>
    </row>
    <row r="889" spans="1:13" x14ac:dyDescent="0.25">
      <c r="A889" s="80">
        <v>45330</v>
      </c>
      <c r="B889" s="24">
        <f t="shared" si="52"/>
        <v>2</v>
      </c>
      <c r="C889" s="24">
        <f t="shared" si="53"/>
        <v>2024</v>
      </c>
      <c r="D889" s="107" t="s">
        <v>361</v>
      </c>
      <c r="E889" s="107" t="s">
        <v>343</v>
      </c>
      <c r="F889" s="107"/>
      <c r="G889" s="107"/>
      <c r="H889" s="81"/>
      <c r="I889" s="81"/>
      <c r="J889" s="52"/>
      <c r="K889" s="52">
        <v>369100</v>
      </c>
      <c r="L889" s="49">
        <f t="shared" si="54"/>
        <v>30000</v>
      </c>
      <c r="M889" s="50">
        <f t="shared" si="55"/>
        <v>0</v>
      </c>
    </row>
    <row r="890" spans="1:13" x14ac:dyDescent="0.25">
      <c r="A890" s="54">
        <v>45331</v>
      </c>
      <c r="B890" s="24">
        <f t="shared" si="52"/>
        <v>2</v>
      </c>
      <c r="C890" s="24">
        <f t="shared" si="53"/>
        <v>2024</v>
      </c>
      <c r="D890" s="104" t="s">
        <v>352</v>
      </c>
      <c r="E890" s="104" t="s">
        <v>343</v>
      </c>
      <c r="F890" s="104" t="s">
        <v>727</v>
      </c>
      <c r="J890" s="61">
        <v>11100</v>
      </c>
      <c r="L890" s="49">
        <f t="shared" si="54"/>
        <v>41100</v>
      </c>
      <c r="M890" s="50">
        <f t="shared" si="55"/>
        <v>0</v>
      </c>
    </row>
    <row r="891" spans="1:13" x14ac:dyDescent="0.25">
      <c r="A891" s="54">
        <v>45331</v>
      </c>
      <c r="B891" s="24">
        <f t="shared" si="52"/>
        <v>2</v>
      </c>
      <c r="C891" s="24">
        <f t="shared" si="53"/>
        <v>2024</v>
      </c>
      <c r="D891" s="104" t="s">
        <v>384</v>
      </c>
      <c r="E891" s="104" t="s">
        <v>343</v>
      </c>
      <c r="J891" s="61">
        <v>99102.97</v>
      </c>
      <c r="L891" s="49">
        <f t="shared" si="54"/>
        <v>140202.97</v>
      </c>
      <c r="M891" s="50">
        <f t="shared" si="55"/>
        <v>0</v>
      </c>
    </row>
    <row r="892" spans="1:13" x14ac:dyDescent="0.25">
      <c r="A892" s="54">
        <v>45331</v>
      </c>
      <c r="B892" s="24">
        <f t="shared" si="52"/>
        <v>2</v>
      </c>
      <c r="C892" s="24">
        <f t="shared" si="53"/>
        <v>2024</v>
      </c>
      <c r="D892" s="104" t="s">
        <v>148</v>
      </c>
      <c r="E892" s="104" t="s">
        <v>343</v>
      </c>
      <c r="F892" s="104" t="s">
        <v>728</v>
      </c>
      <c r="K892" s="61">
        <v>99102.97</v>
      </c>
      <c r="L892" s="49">
        <f t="shared" si="54"/>
        <v>41100</v>
      </c>
      <c r="M892" s="50">
        <f t="shared" si="55"/>
        <v>0</v>
      </c>
    </row>
    <row r="893" spans="1:13" x14ac:dyDescent="0.25">
      <c r="A893" s="54">
        <v>45331</v>
      </c>
      <c r="B893" s="24">
        <f t="shared" si="52"/>
        <v>2</v>
      </c>
      <c r="C893" s="24">
        <f t="shared" si="53"/>
        <v>2024</v>
      </c>
      <c r="D893" s="104" t="s">
        <v>352</v>
      </c>
      <c r="E893" s="104" t="s">
        <v>343</v>
      </c>
      <c r="F893" s="104" t="s">
        <v>730</v>
      </c>
      <c r="J893" s="61">
        <v>30000</v>
      </c>
      <c r="L893" s="49">
        <f t="shared" si="54"/>
        <v>71100</v>
      </c>
      <c r="M893" s="50">
        <f t="shared" si="55"/>
        <v>0</v>
      </c>
    </row>
    <row r="894" spans="1:13" x14ac:dyDescent="0.25">
      <c r="A894" s="54">
        <v>45331</v>
      </c>
      <c r="B894" s="24">
        <f t="shared" si="52"/>
        <v>2</v>
      </c>
      <c r="C894" s="24">
        <f t="shared" si="53"/>
        <v>2024</v>
      </c>
      <c r="D894" s="104" t="s">
        <v>444</v>
      </c>
      <c r="E894" s="104" t="s">
        <v>343</v>
      </c>
      <c r="K894" s="61">
        <v>24000</v>
      </c>
      <c r="L894" s="49">
        <f t="shared" si="54"/>
        <v>47100</v>
      </c>
      <c r="M894" s="50">
        <f t="shared" si="55"/>
        <v>0</v>
      </c>
    </row>
    <row r="895" spans="1:13" x14ac:dyDescent="0.25">
      <c r="A895" s="54">
        <v>45331</v>
      </c>
      <c r="B895" s="24">
        <f t="shared" si="52"/>
        <v>2</v>
      </c>
      <c r="C895" s="24">
        <f t="shared" si="53"/>
        <v>2024</v>
      </c>
      <c r="D895" s="104" t="s">
        <v>92</v>
      </c>
      <c r="E895" s="104" t="s">
        <v>92</v>
      </c>
      <c r="K895" s="61">
        <v>6000</v>
      </c>
      <c r="L895" s="49">
        <f t="shared" si="54"/>
        <v>41100</v>
      </c>
      <c r="M895" s="50">
        <f t="shared" si="55"/>
        <v>0</v>
      </c>
    </row>
    <row r="896" spans="1:13" x14ac:dyDescent="0.25">
      <c r="A896" s="80">
        <v>45331</v>
      </c>
      <c r="B896" s="24">
        <f t="shared" si="52"/>
        <v>2</v>
      </c>
      <c r="C896" s="24">
        <f t="shared" si="53"/>
        <v>2024</v>
      </c>
      <c r="D896" s="107" t="s">
        <v>122</v>
      </c>
      <c r="E896" s="107" t="s">
        <v>343</v>
      </c>
      <c r="F896" s="107"/>
      <c r="G896" s="107"/>
      <c r="H896" s="81"/>
      <c r="I896" s="81"/>
      <c r="J896" s="52"/>
      <c r="K896" s="52">
        <v>11100</v>
      </c>
      <c r="L896" s="49">
        <f t="shared" si="54"/>
        <v>30000</v>
      </c>
      <c r="M896" s="50">
        <f t="shared" si="55"/>
        <v>0</v>
      </c>
    </row>
    <row r="897" spans="1:13" x14ac:dyDescent="0.25">
      <c r="A897" s="54">
        <v>45332</v>
      </c>
      <c r="B897" s="24">
        <f t="shared" si="52"/>
        <v>2</v>
      </c>
      <c r="C897" s="24">
        <f t="shared" si="53"/>
        <v>2024</v>
      </c>
      <c r="D897" s="104" t="s">
        <v>732</v>
      </c>
      <c r="E897" s="104" t="s">
        <v>343</v>
      </c>
      <c r="J897" s="61">
        <v>270000</v>
      </c>
      <c r="L897" s="49">
        <f t="shared" si="54"/>
        <v>300000</v>
      </c>
      <c r="M897" s="50">
        <f t="shared" si="55"/>
        <v>0</v>
      </c>
    </row>
    <row r="898" spans="1:13" x14ac:dyDescent="0.25">
      <c r="A898" s="54">
        <v>45332</v>
      </c>
      <c r="B898" s="24">
        <f t="shared" si="52"/>
        <v>2</v>
      </c>
      <c r="C898" s="24">
        <f t="shared" si="53"/>
        <v>2024</v>
      </c>
      <c r="D898" s="104" t="s">
        <v>501</v>
      </c>
      <c r="E898" s="104" t="s">
        <v>343</v>
      </c>
      <c r="F898" s="104" t="s">
        <v>568</v>
      </c>
      <c r="K898" s="61">
        <v>150000</v>
      </c>
      <c r="L898" s="49">
        <f t="shared" si="54"/>
        <v>150000</v>
      </c>
      <c r="M898" s="50">
        <f t="shared" si="55"/>
        <v>0</v>
      </c>
    </row>
    <row r="899" spans="1:13" x14ac:dyDescent="0.25">
      <c r="A899" s="54">
        <v>45332</v>
      </c>
      <c r="B899" s="24">
        <f t="shared" ref="B899:B962" si="56">MONTH(A899)</f>
        <v>2</v>
      </c>
      <c r="C899" s="24">
        <f t="shared" ref="C899:C962" si="57">YEAR(A899)</f>
        <v>2024</v>
      </c>
      <c r="D899" s="104" t="s">
        <v>501</v>
      </c>
      <c r="E899" s="104" t="s">
        <v>343</v>
      </c>
      <c r="F899" s="104" t="s">
        <v>567</v>
      </c>
      <c r="K899" s="61">
        <v>120000</v>
      </c>
      <c r="L899" s="49">
        <f t="shared" si="54"/>
        <v>30000</v>
      </c>
      <c r="M899" s="50">
        <f t="shared" si="55"/>
        <v>0</v>
      </c>
    </row>
    <row r="900" spans="1:13" x14ac:dyDescent="0.25">
      <c r="A900" s="54">
        <v>45332</v>
      </c>
      <c r="B900" s="24">
        <f t="shared" si="56"/>
        <v>2</v>
      </c>
      <c r="C900" s="24">
        <f t="shared" si="57"/>
        <v>2024</v>
      </c>
      <c r="D900" s="104" t="s">
        <v>352</v>
      </c>
      <c r="E900" s="104" t="s">
        <v>343</v>
      </c>
      <c r="F900" s="104" t="s">
        <v>356</v>
      </c>
      <c r="J900" s="61">
        <v>89000</v>
      </c>
      <c r="L900" s="49">
        <f t="shared" ref="L900:L963" si="58">IF((L899+M899+J900-K900)&gt;0,(L899+M899+J900-K900),0)</f>
        <v>119000</v>
      </c>
      <c r="M900" s="50">
        <f t="shared" ref="M900:M963" si="59">IF((L899+M899+J900-K900)&lt;0,(L899+M899+J900-K900),0)</f>
        <v>0</v>
      </c>
    </row>
    <row r="901" spans="1:13" x14ac:dyDescent="0.25">
      <c r="A901" s="80">
        <v>45332</v>
      </c>
      <c r="B901" s="24">
        <f t="shared" si="56"/>
        <v>2</v>
      </c>
      <c r="C901" s="24">
        <f t="shared" si="57"/>
        <v>2024</v>
      </c>
      <c r="D901" s="107" t="s">
        <v>122</v>
      </c>
      <c r="E901" s="107" t="s">
        <v>343</v>
      </c>
      <c r="F901" s="107"/>
      <c r="G901" s="107"/>
      <c r="H901" s="81"/>
      <c r="I901" s="81"/>
      <c r="J901" s="52"/>
      <c r="K901" s="52">
        <v>89000</v>
      </c>
      <c r="L901" s="49">
        <f t="shared" si="58"/>
        <v>30000</v>
      </c>
      <c r="M901" s="50">
        <f t="shared" si="59"/>
        <v>0</v>
      </c>
    </row>
    <row r="902" spans="1:13" x14ac:dyDescent="0.25">
      <c r="A902" s="54">
        <v>45335</v>
      </c>
      <c r="B902" s="24">
        <f t="shared" si="56"/>
        <v>2</v>
      </c>
      <c r="C902" s="24">
        <f t="shared" si="57"/>
        <v>2024</v>
      </c>
      <c r="D902" s="104" t="s">
        <v>352</v>
      </c>
      <c r="E902" s="104" t="s">
        <v>343</v>
      </c>
      <c r="F902" s="104" t="s">
        <v>733</v>
      </c>
      <c r="J902" s="61">
        <v>100000</v>
      </c>
      <c r="L902" s="49">
        <f t="shared" si="58"/>
        <v>130000</v>
      </c>
      <c r="M902" s="50">
        <f t="shared" si="59"/>
        <v>0</v>
      </c>
    </row>
    <row r="903" spans="1:13" x14ac:dyDescent="0.25">
      <c r="A903" s="80">
        <v>45335</v>
      </c>
      <c r="B903" s="24">
        <f t="shared" si="56"/>
        <v>2</v>
      </c>
      <c r="C903" s="24">
        <f t="shared" si="57"/>
        <v>2024</v>
      </c>
      <c r="D903" s="107" t="s">
        <v>361</v>
      </c>
      <c r="E903" s="107" t="s">
        <v>343</v>
      </c>
      <c r="F903" s="107"/>
      <c r="G903" s="107"/>
      <c r="H903" s="81"/>
      <c r="I903" s="81"/>
      <c r="J903" s="52"/>
      <c r="K903" s="52">
        <v>100000</v>
      </c>
      <c r="L903" s="49">
        <f t="shared" si="58"/>
        <v>30000</v>
      </c>
      <c r="M903" s="50">
        <f t="shared" si="59"/>
        <v>0</v>
      </c>
    </row>
    <row r="904" spans="1:13" x14ac:dyDescent="0.25">
      <c r="A904" s="54">
        <v>45336</v>
      </c>
      <c r="B904" s="24">
        <f t="shared" si="56"/>
        <v>2</v>
      </c>
      <c r="C904" s="24">
        <f t="shared" si="57"/>
        <v>2024</v>
      </c>
      <c r="D904" s="104" t="s">
        <v>109</v>
      </c>
      <c r="E904" s="104" t="s">
        <v>343</v>
      </c>
      <c r="F904" s="104" t="s">
        <v>204</v>
      </c>
      <c r="K904" s="61">
        <v>5500</v>
      </c>
      <c r="L904" s="49">
        <f t="shared" si="58"/>
        <v>24500</v>
      </c>
      <c r="M904" s="50">
        <f t="shared" si="59"/>
        <v>0</v>
      </c>
    </row>
    <row r="905" spans="1:13" x14ac:dyDescent="0.25">
      <c r="A905" s="54">
        <v>45336</v>
      </c>
      <c r="B905" s="24">
        <f t="shared" si="56"/>
        <v>2</v>
      </c>
      <c r="C905" s="24">
        <f t="shared" si="57"/>
        <v>2024</v>
      </c>
      <c r="D905" s="104" t="s">
        <v>384</v>
      </c>
      <c r="E905" s="104" t="s">
        <v>343</v>
      </c>
      <c r="J905" s="61">
        <v>64650</v>
      </c>
      <c r="L905" s="49">
        <f t="shared" si="58"/>
        <v>89150</v>
      </c>
      <c r="M905" s="50">
        <f t="shared" si="59"/>
        <v>0</v>
      </c>
    </row>
    <row r="906" spans="1:13" x14ac:dyDescent="0.25">
      <c r="A906" s="54">
        <v>45336</v>
      </c>
      <c r="B906" s="24">
        <f t="shared" si="56"/>
        <v>2</v>
      </c>
      <c r="C906" s="24">
        <f t="shared" si="57"/>
        <v>2024</v>
      </c>
      <c r="D906" s="104" t="s">
        <v>124</v>
      </c>
      <c r="E906" s="104" t="s">
        <v>343</v>
      </c>
      <c r="G906" s="104" t="s">
        <v>475</v>
      </c>
      <c r="K906" s="61">
        <v>64650</v>
      </c>
      <c r="L906" s="49">
        <f t="shared" si="58"/>
        <v>24500</v>
      </c>
      <c r="M906" s="50">
        <f t="shared" si="59"/>
        <v>0</v>
      </c>
    </row>
    <row r="907" spans="1:13" x14ac:dyDescent="0.25">
      <c r="A907" s="54">
        <v>45336</v>
      </c>
      <c r="B907" s="24">
        <f t="shared" si="56"/>
        <v>2</v>
      </c>
      <c r="C907" s="24">
        <f t="shared" si="57"/>
        <v>2024</v>
      </c>
      <c r="D907" s="104" t="s">
        <v>384</v>
      </c>
      <c r="E907" s="104" t="s">
        <v>343</v>
      </c>
      <c r="J907" s="61">
        <v>5500</v>
      </c>
      <c r="L907" s="49">
        <f t="shared" si="58"/>
        <v>30000</v>
      </c>
      <c r="M907" s="50">
        <f t="shared" si="59"/>
        <v>0</v>
      </c>
    </row>
    <row r="908" spans="1:13" x14ac:dyDescent="0.25">
      <c r="A908" s="54">
        <v>45336</v>
      </c>
      <c r="B908" s="24">
        <f t="shared" si="56"/>
        <v>2</v>
      </c>
      <c r="C908" s="24">
        <f t="shared" si="57"/>
        <v>2024</v>
      </c>
      <c r="D908" s="104" t="s">
        <v>352</v>
      </c>
      <c r="E908" s="104" t="s">
        <v>343</v>
      </c>
      <c r="F908" s="104" t="s">
        <v>735</v>
      </c>
      <c r="J908" s="61">
        <v>203000</v>
      </c>
      <c r="L908" s="49">
        <f t="shared" si="58"/>
        <v>233000</v>
      </c>
      <c r="M908" s="50">
        <f t="shared" si="59"/>
        <v>0</v>
      </c>
    </row>
    <row r="909" spans="1:13" x14ac:dyDescent="0.25">
      <c r="A909" s="54">
        <v>45336</v>
      </c>
      <c r="B909" s="24">
        <f t="shared" si="56"/>
        <v>2</v>
      </c>
      <c r="C909" s="24">
        <f t="shared" si="57"/>
        <v>2024</v>
      </c>
      <c r="D909" s="104" t="s">
        <v>352</v>
      </c>
      <c r="E909" s="104" t="s">
        <v>343</v>
      </c>
      <c r="J909" s="61">
        <v>21500</v>
      </c>
      <c r="L909" s="49">
        <f t="shared" si="58"/>
        <v>254500</v>
      </c>
      <c r="M909" s="50">
        <f t="shared" si="59"/>
        <v>0</v>
      </c>
    </row>
    <row r="910" spans="1:13" x14ac:dyDescent="0.25">
      <c r="A910" s="80">
        <v>45336</v>
      </c>
      <c r="B910" s="24">
        <f t="shared" si="56"/>
        <v>2</v>
      </c>
      <c r="C910" s="24">
        <f t="shared" si="57"/>
        <v>2024</v>
      </c>
      <c r="D910" s="107" t="s">
        <v>361</v>
      </c>
      <c r="E910" s="107" t="s">
        <v>343</v>
      </c>
      <c r="F910" s="107"/>
      <c r="G910" s="107"/>
      <c r="H910" s="81"/>
      <c r="I910" s="81"/>
      <c r="J910" s="52"/>
      <c r="K910" s="52">
        <v>224500</v>
      </c>
      <c r="L910" s="49">
        <f t="shared" si="58"/>
        <v>30000</v>
      </c>
      <c r="M910" s="50">
        <f t="shared" si="59"/>
        <v>0</v>
      </c>
    </row>
    <row r="911" spans="1:13" x14ac:dyDescent="0.25">
      <c r="A911" s="54">
        <v>45337</v>
      </c>
      <c r="B911" s="24">
        <f t="shared" si="56"/>
        <v>2</v>
      </c>
      <c r="C911" s="24">
        <f t="shared" si="57"/>
        <v>2024</v>
      </c>
      <c r="D911" s="104" t="s">
        <v>109</v>
      </c>
      <c r="E911" s="104" t="s">
        <v>343</v>
      </c>
      <c r="F911" s="104" t="s">
        <v>354</v>
      </c>
      <c r="K911" s="61">
        <v>3000</v>
      </c>
      <c r="L911" s="49">
        <f t="shared" si="58"/>
        <v>27000</v>
      </c>
      <c r="M911" s="50">
        <f t="shared" si="59"/>
        <v>0</v>
      </c>
    </row>
    <row r="912" spans="1:13" x14ac:dyDescent="0.25">
      <c r="A912" s="54">
        <v>45337</v>
      </c>
      <c r="B912" s="24">
        <f t="shared" si="56"/>
        <v>2</v>
      </c>
      <c r="C912" s="24">
        <f t="shared" si="57"/>
        <v>2024</v>
      </c>
      <c r="D912" s="104" t="s">
        <v>112</v>
      </c>
      <c r="E912" s="104" t="s">
        <v>343</v>
      </c>
      <c r="F912" s="104" t="s">
        <v>737</v>
      </c>
      <c r="K912" s="61">
        <v>1000</v>
      </c>
      <c r="L912" s="49">
        <f t="shared" si="58"/>
        <v>26000</v>
      </c>
      <c r="M912" s="50">
        <f t="shared" si="59"/>
        <v>0</v>
      </c>
    </row>
    <row r="913" spans="1:13" x14ac:dyDescent="0.25">
      <c r="A913" s="54">
        <v>45337</v>
      </c>
      <c r="B913" s="24">
        <f t="shared" si="56"/>
        <v>2</v>
      </c>
      <c r="C913" s="24">
        <f t="shared" si="57"/>
        <v>2024</v>
      </c>
      <c r="D913" s="104" t="s">
        <v>352</v>
      </c>
      <c r="E913" s="104" t="s">
        <v>343</v>
      </c>
      <c r="F913" s="104" t="s">
        <v>536</v>
      </c>
      <c r="J913" s="61">
        <v>100000</v>
      </c>
      <c r="L913" s="49">
        <f t="shared" si="58"/>
        <v>126000</v>
      </c>
      <c r="M913" s="50">
        <f t="shared" si="59"/>
        <v>0</v>
      </c>
    </row>
    <row r="914" spans="1:13" x14ac:dyDescent="0.25">
      <c r="A914" s="54">
        <v>45337</v>
      </c>
      <c r="B914" s="24">
        <f t="shared" si="56"/>
        <v>2</v>
      </c>
      <c r="C914" s="24">
        <f t="shared" si="57"/>
        <v>2024</v>
      </c>
      <c r="D914" s="104" t="s">
        <v>135</v>
      </c>
      <c r="E914" s="104" t="s">
        <v>343</v>
      </c>
      <c r="F914" s="104" t="s">
        <v>738</v>
      </c>
      <c r="K914" s="61">
        <v>65000</v>
      </c>
      <c r="L914" s="49">
        <f t="shared" si="58"/>
        <v>61000</v>
      </c>
      <c r="M914" s="50">
        <f t="shared" si="59"/>
        <v>0</v>
      </c>
    </row>
    <row r="915" spans="1:13" x14ac:dyDescent="0.25">
      <c r="A915" s="54">
        <v>45337</v>
      </c>
      <c r="B915" s="24">
        <f t="shared" si="56"/>
        <v>2</v>
      </c>
      <c r="C915" s="24">
        <f t="shared" si="57"/>
        <v>2024</v>
      </c>
      <c r="D915" s="104" t="s">
        <v>384</v>
      </c>
      <c r="E915" s="104" t="s">
        <v>343</v>
      </c>
      <c r="J915" s="61">
        <v>4000</v>
      </c>
      <c r="L915" s="49">
        <f t="shared" si="58"/>
        <v>65000</v>
      </c>
      <c r="M915" s="50">
        <f t="shared" si="59"/>
        <v>0</v>
      </c>
    </row>
    <row r="916" spans="1:13" x14ac:dyDescent="0.25">
      <c r="A916" s="54">
        <v>45337</v>
      </c>
      <c r="B916" s="24">
        <f t="shared" si="56"/>
        <v>2</v>
      </c>
      <c r="C916" s="24">
        <f t="shared" si="57"/>
        <v>2024</v>
      </c>
      <c r="D916" s="104" t="s">
        <v>360</v>
      </c>
      <c r="E916" s="104" t="s">
        <v>343</v>
      </c>
      <c r="G916" s="104" t="s">
        <v>281</v>
      </c>
      <c r="K916" s="61">
        <v>4000</v>
      </c>
      <c r="L916" s="49">
        <f t="shared" si="58"/>
        <v>61000</v>
      </c>
      <c r="M916" s="50">
        <f t="shared" si="59"/>
        <v>0</v>
      </c>
    </row>
    <row r="917" spans="1:13" x14ac:dyDescent="0.25">
      <c r="A917" s="80">
        <v>45337</v>
      </c>
      <c r="B917" s="24">
        <f t="shared" si="56"/>
        <v>2</v>
      </c>
      <c r="C917" s="24">
        <f t="shared" si="57"/>
        <v>2024</v>
      </c>
      <c r="D917" s="107" t="s">
        <v>122</v>
      </c>
      <c r="E917" s="107" t="s">
        <v>343</v>
      </c>
      <c r="F917" s="107"/>
      <c r="G917" s="107"/>
      <c r="H917" s="81"/>
      <c r="I917" s="81"/>
      <c r="J917" s="52"/>
      <c r="K917" s="52">
        <v>31000</v>
      </c>
      <c r="L917" s="49">
        <f t="shared" si="58"/>
        <v>30000</v>
      </c>
      <c r="M917" s="50">
        <f t="shared" si="59"/>
        <v>0</v>
      </c>
    </row>
    <row r="918" spans="1:13" x14ac:dyDescent="0.25">
      <c r="A918" s="54">
        <v>45338</v>
      </c>
      <c r="B918" s="24">
        <f t="shared" si="56"/>
        <v>2</v>
      </c>
      <c r="C918" s="24">
        <f t="shared" si="57"/>
        <v>2024</v>
      </c>
      <c r="D918" s="104" t="s">
        <v>109</v>
      </c>
      <c r="E918" s="104" t="s">
        <v>343</v>
      </c>
      <c r="F918" s="104" t="s">
        <v>740</v>
      </c>
      <c r="K918" s="61">
        <v>12000</v>
      </c>
      <c r="L918" s="49">
        <f t="shared" si="58"/>
        <v>18000</v>
      </c>
      <c r="M918" s="50">
        <f t="shared" si="59"/>
        <v>0</v>
      </c>
    </row>
    <row r="919" spans="1:13" x14ac:dyDescent="0.25">
      <c r="A919" s="54">
        <v>45338</v>
      </c>
      <c r="B919" s="24">
        <f t="shared" si="56"/>
        <v>2</v>
      </c>
      <c r="C919" s="24">
        <f t="shared" si="57"/>
        <v>2024</v>
      </c>
      <c r="D919" s="104" t="s">
        <v>384</v>
      </c>
      <c r="E919" s="104" t="s">
        <v>343</v>
      </c>
      <c r="J919" s="61">
        <v>4000</v>
      </c>
      <c r="L919" s="49">
        <f t="shared" si="58"/>
        <v>22000</v>
      </c>
      <c r="M919" s="50">
        <f t="shared" si="59"/>
        <v>0</v>
      </c>
    </row>
    <row r="920" spans="1:13" x14ac:dyDescent="0.25">
      <c r="A920" s="54">
        <v>45338</v>
      </c>
      <c r="B920" s="24">
        <f t="shared" si="56"/>
        <v>2</v>
      </c>
      <c r="C920" s="24">
        <f t="shared" si="57"/>
        <v>2024</v>
      </c>
      <c r="D920" s="104" t="s">
        <v>360</v>
      </c>
      <c r="E920" s="104" t="s">
        <v>343</v>
      </c>
      <c r="F920" s="104" t="s">
        <v>741</v>
      </c>
      <c r="K920" s="61">
        <v>4000</v>
      </c>
      <c r="L920" s="49">
        <f t="shared" si="58"/>
        <v>18000</v>
      </c>
      <c r="M920" s="50">
        <f t="shared" si="59"/>
        <v>0</v>
      </c>
    </row>
    <row r="921" spans="1:13" x14ac:dyDescent="0.25">
      <c r="A921" s="54">
        <v>45338</v>
      </c>
      <c r="B921" s="24">
        <f t="shared" si="56"/>
        <v>2</v>
      </c>
      <c r="C921" s="24">
        <f t="shared" si="57"/>
        <v>2024</v>
      </c>
      <c r="D921" s="104" t="s">
        <v>124</v>
      </c>
      <c r="E921" s="104" t="s">
        <v>343</v>
      </c>
      <c r="F921" s="104" t="s">
        <v>743</v>
      </c>
      <c r="K921" s="61">
        <v>3000</v>
      </c>
      <c r="L921" s="49">
        <f t="shared" si="58"/>
        <v>15000</v>
      </c>
      <c r="M921" s="50">
        <f t="shared" si="59"/>
        <v>0</v>
      </c>
    </row>
    <row r="922" spans="1:13" x14ac:dyDescent="0.25">
      <c r="A922" s="54">
        <v>45338</v>
      </c>
      <c r="B922" s="24">
        <f t="shared" si="56"/>
        <v>2</v>
      </c>
      <c r="C922" s="24">
        <f t="shared" si="57"/>
        <v>2024</v>
      </c>
      <c r="D922" s="104" t="s">
        <v>352</v>
      </c>
      <c r="E922" s="104" t="s">
        <v>343</v>
      </c>
      <c r="F922" s="104" t="s">
        <v>744</v>
      </c>
      <c r="J922" s="61">
        <v>117000</v>
      </c>
      <c r="L922" s="49">
        <f t="shared" si="58"/>
        <v>132000</v>
      </c>
      <c r="M922" s="50">
        <f t="shared" si="59"/>
        <v>0</v>
      </c>
    </row>
    <row r="923" spans="1:13" x14ac:dyDescent="0.25">
      <c r="A923" s="54">
        <v>45338</v>
      </c>
      <c r="B923" s="24">
        <f t="shared" si="56"/>
        <v>2</v>
      </c>
      <c r="C923" s="24">
        <f t="shared" si="57"/>
        <v>2024</v>
      </c>
      <c r="D923" s="104" t="s">
        <v>110</v>
      </c>
      <c r="E923" s="104" t="s">
        <v>343</v>
      </c>
      <c r="J923" s="61">
        <v>1000</v>
      </c>
      <c r="L923" s="49">
        <f t="shared" si="58"/>
        <v>133000</v>
      </c>
      <c r="M923" s="50">
        <f t="shared" si="59"/>
        <v>0</v>
      </c>
    </row>
    <row r="924" spans="1:13" x14ac:dyDescent="0.25">
      <c r="A924" s="54">
        <v>45338</v>
      </c>
      <c r="B924" s="24">
        <f t="shared" si="56"/>
        <v>2</v>
      </c>
      <c r="C924" s="24">
        <f t="shared" si="57"/>
        <v>2024</v>
      </c>
      <c r="D924" s="104" t="s">
        <v>352</v>
      </c>
      <c r="E924" s="104" t="s">
        <v>343</v>
      </c>
      <c r="F924" s="104" t="s">
        <v>745</v>
      </c>
      <c r="J924" s="61">
        <v>170000</v>
      </c>
      <c r="L924" s="49">
        <f t="shared" si="58"/>
        <v>303000</v>
      </c>
      <c r="M924" s="50">
        <f t="shared" si="59"/>
        <v>0</v>
      </c>
    </row>
    <row r="925" spans="1:13" x14ac:dyDescent="0.25">
      <c r="A925" s="54">
        <v>45338</v>
      </c>
      <c r="B925" s="24">
        <f t="shared" si="56"/>
        <v>2</v>
      </c>
      <c r="C925" s="24">
        <f t="shared" si="57"/>
        <v>2024</v>
      </c>
      <c r="D925" s="104" t="s">
        <v>352</v>
      </c>
      <c r="E925" s="104" t="s">
        <v>343</v>
      </c>
      <c r="F925" s="104" t="s">
        <v>600</v>
      </c>
      <c r="J925" s="61">
        <v>25000</v>
      </c>
      <c r="L925" s="49">
        <f t="shared" si="58"/>
        <v>328000</v>
      </c>
      <c r="M925" s="50">
        <f t="shared" si="59"/>
        <v>0</v>
      </c>
    </row>
    <row r="926" spans="1:13" x14ac:dyDescent="0.25">
      <c r="A926" s="54">
        <v>45338</v>
      </c>
      <c r="B926" s="24">
        <f t="shared" si="56"/>
        <v>2</v>
      </c>
      <c r="C926" s="24">
        <f t="shared" si="57"/>
        <v>2024</v>
      </c>
      <c r="D926" s="104" t="s">
        <v>501</v>
      </c>
      <c r="E926" s="104" t="s">
        <v>343</v>
      </c>
      <c r="F926" s="104" t="s">
        <v>169</v>
      </c>
      <c r="K926" s="61">
        <v>120000</v>
      </c>
      <c r="L926" s="49">
        <f t="shared" si="58"/>
        <v>208000</v>
      </c>
      <c r="M926" s="50">
        <f t="shared" si="59"/>
        <v>0</v>
      </c>
    </row>
    <row r="927" spans="1:13" x14ac:dyDescent="0.25">
      <c r="A927" s="66">
        <v>45338</v>
      </c>
      <c r="B927" s="24">
        <f t="shared" si="56"/>
        <v>2</v>
      </c>
      <c r="C927" s="24">
        <f t="shared" si="57"/>
        <v>2024</v>
      </c>
      <c r="D927" s="109" t="s">
        <v>500</v>
      </c>
      <c r="E927" s="109" t="s">
        <v>343</v>
      </c>
      <c r="F927" s="109"/>
      <c r="G927" s="109"/>
      <c r="H927" s="14"/>
      <c r="I927" s="14"/>
      <c r="J927" s="118"/>
      <c r="K927" s="118">
        <v>78000</v>
      </c>
      <c r="L927" s="49">
        <f t="shared" si="58"/>
        <v>130000</v>
      </c>
      <c r="M927" s="50">
        <f t="shared" si="59"/>
        <v>0</v>
      </c>
    </row>
    <row r="928" spans="1:13" x14ac:dyDescent="0.25">
      <c r="A928" s="80">
        <v>45338</v>
      </c>
      <c r="B928" s="24">
        <f t="shared" si="56"/>
        <v>2</v>
      </c>
      <c r="C928" s="24">
        <f t="shared" si="57"/>
        <v>2024</v>
      </c>
      <c r="D928" s="107" t="s">
        <v>361</v>
      </c>
      <c r="E928" s="107" t="s">
        <v>343</v>
      </c>
      <c r="F928" s="107"/>
      <c r="G928" s="107"/>
      <c r="H928" s="81"/>
      <c r="I928" s="81"/>
      <c r="J928" s="52"/>
      <c r="K928" s="52">
        <v>100000</v>
      </c>
      <c r="L928" s="49">
        <f t="shared" si="58"/>
        <v>30000</v>
      </c>
      <c r="M928" s="50">
        <f t="shared" si="59"/>
        <v>0</v>
      </c>
    </row>
    <row r="929" spans="1:13" x14ac:dyDescent="0.25">
      <c r="A929" s="54">
        <v>45339</v>
      </c>
      <c r="B929" s="24">
        <f t="shared" si="56"/>
        <v>2</v>
      </c>
      <c r="C929" s="24">
        <f t="shared" si="57"/>
        <v>2024</v>
      </c>
      <c r="D929" s="104" t="s">
        <v>384</v>
      </c>
      <c r="E929" s="104" t="s">
        <v>343</v>
      </c>
      <c r="J929" s="61">
        <v>150000</v>
      </c>
      <c r="L929" s="49">
        <f t="shared" si="58"/>
        <v>180000</v>
      </c>
      <c r="M929" s="50">
        <f t="shared" si="59"/>
        <v>0</v>
      </c>
    </row>
    <row r="930" spans="1:13" x14ac:dyDescent="0.25">
      <c r="A930" s="54">
        <v>45339</v>
      </c>
      <c r="B930" s="24">
        <f t="shared" si="56"/>
        <v>2</v>
      </c>
      <c r="C930" s="24">
        <f t="shared" si="57"/>
        <v>2024</v>
      </c>
      <c r="D930" s="104" t="s">
        <v>501</v>
      </c>
      <c r="E930" s="104" t="s">
        <v>343</v>
      </c>
      <c r="F930" s="104" t="s">
        <v>655</v>
      </c>
      <c r="K930" s="61">
        <v>150000</v>
      </c>
      <c r="L930" s="49">
        <f t="shared" si="58"/>
        <v>30000</v>
      </c>
      <c r="M930" s="50">
        <f t="shared" si="59"/>
        <v>0</v>
      </c>
    </row>
    <row r="931" spans="1:13" x14ac:dyDescent="0.25">
      <c r="A931" s="54">
        <v>45341</v>
      </c>
      <c r="B931" s="24">
        <f t="shared" si="56"/>
        <v>2</v>
      </c>
      <c r="C931" s="24">
        <f t="shared" si="57"/>
        <v>2024</v>
      </c>
      <c r="D931" s="104" t="s">
        <v>109</v>
      </c>
      <c r="E931" s="104" t="s">
        <v>343</v>
      </c>
      <c r="K931" s="61">
        <v>7500</v>
      </c>
      <c r="L931" s="49">
        <f t="shared" si="58"/>
        <v>22500</v>
      </c>
      <c r="M931" s="50">
        <f t="shared" si="59"/>
        <v>0</v>
      </c>
    </row>
    <row r="932" spans="1:13" x14ac:dyDescent="0.25">
      <c r="A932" s="54">
        <v>45341</v>
      </c>
      <c r="B932" s="24">
        <f t="shared" si="56"/>
        <v>2</v>
      </c>
      <c r="C932" s="24">
        <f t="shared" si="57"/>
        <v>2024</v>
      </c>
      <c r="D932" s="104" t="s">
        <v>135</v>
      </c>
      <c r="E932" s="104" t="s">
        <v>343</v>
      </c>
      <c r="F932" s="104" t="s">
        <v>582</v>
      </c>
      <c r="K932" s="61">
        <v>2600</v>
      </c>
      <c r="L932" s="49">
        <f t="shared" si="58"/>
        <v>19900</v>
      </c>
      <c r="M932" s="50">
        <f t="shared" si="59"/>
        <v>0</v>
      </c>
    </row>
    <row r="933" spans="1:13" x14ac:dyDescent="0.25">
      <c r="A933" s="134">
        <v>45341</v>
      </c>
      <c r="B933" s="24">
        <f t="shared" si="56"/>
        <v>2</v>
      </c>
      <c r="C933" s="24">
        <f t="shared" si="57"/>
        <v>2024</v>
      </c>
      <c r="D933" s="135" t="s">
        <v>384</v>
      </c>
      <c r="E933" s="135" t="s">
        <v>343</v>
      </c>
      <c r="F933" s="135"/>
      <c r="G933" s="135"/>
      <c r="H933" s="136"/>
      <c r="I933" s="136"/>
      <c r="J933" s="137">
        <v>10100</v>
      </c>
      <c r="K933" s="137"/>
      <c r="L933" s="49">
        <f t="shared" si="58"/>
        <v>30000</v>
      </c>
      <c r="M933" s="50">
        <f t="shared" si="59"/>
        <v>0</v>
      </c>
    </row>
    <row r="934" spans="1:13" x14ac:dyDescent="0.25">
      <c r="A934" s="54">
        <v>45342</v>
      </c>
      <c r="B934" s="24">
        <f t="shared" si="56"/>
        <v>2</v>
      </c>
      <c r="C934" s="24">
        <f t="shared" si="57"/>
        <v>2024</v>
      </c>
      <c r="D934" s="104" t="s">
        <v>384</v>
      </c>
      <c r="E934" s="104" t="s">
        <v>343</v>
      </c>
      <c r="J934" s="61">
        <v>25000</v>
      </c>
      <c r="L934" s="49">
        <f t="shared" si="58"/>
        <v>55000</v>
      </c>
      <c r="M934" s="50">
        <f t="shared" si="59"/>
        <v>0</v>
      </c>
    </row>
    <row r="935" spans="1:13" x14ac:dyDescent="0.25">
      <c r="A935" s="54">
        <v>45342</v>
      </c>
      <c r="B935" s="24">
        <f t="shared" si="56"/>
        <v>2</v>
      </c>
      <c r="C935" s="24">
        <f t="shared" si="57"/>
        <v>2024</v>
      </c>
      <c r="D935" s="104" t="s">
        <v>124</v>
      </c>
      <c r="E935" s="104" t="s">
        <v>343</v>
      </c>
      <c r="F935" s="104" t="s">
        <v>748</v>
      </c>
      <c r="K935" s="61">
        <v>25000</v>
      </c>
      <c r="L935" s="49">
        <f t="shared" si="58"/>
        <v>30000</v>
      </c>
      <c r="M935" s="50">
        <f t="shared" si="59"/>
        <v>0</v>
      </c>
    </row>
    <row r="936" spans="1:13" x14ac:dyDescent="0.25">
      <c r="A936" s="54">
        <v>45343</v>
      </c>
      <c r="B936" s="24">
        <f t="shared" si="56"/>
        <v>2</v>
      </c>
      <c r="C936" s="24">
        <f t="shared" si="57"/>
        <v>2024</v>
      </c>
      <c r="D936" s="104" t="s">
        <v>384</v>
      </c>
      <c r="E936" s="104" t="s">
        <v>343</v>
      </c>
      <c r="J936" s="61">
        <v>114450</v>
      </c>
      <c r="L936" s="49">
        <f t="shared" si="58"/>
        <v>144450</v>
      </c>
      <c r="M936" s="50">
        <f t="shared" si="59"/>
        <v>0</v>
      </c>
    </row>
    <row r="937" spans="1:13" x14ac:dyDescent="0.25">
      <c r="A937" s="54">
        <v>45343</v>
      </c>
      <c r="B937" s="24">
        <f t="shared" si="56"/>
        <v>2</v>
      </c>
      <c r="C937" s="24">
        <f t="shared" si="57"/>
        <v>2024</v>
      </c>
      <c r="D937" s="104" t="s">
        <v>124</v>
      </c>
      <c r="E937" s="104" t="s">
        <v>343</v>
      </c>
      <c r="G937" s="104" t="s">
        <v>333</v>
      </c>
      <c r="K937" s="61">
        <v>114450</v>
      </c>
      <c r="L937" s="49">
        <f t="shared" si="58"/>
        <v>30000</v>
      </c>
      <c r="M937" s="50">
        <f t="shared" si="59"/>
        <v>0</v>
      </c>
    </row>
    <row r="938" spans="1:13" x14ac:dyDescent="0.25">
      <c r="A938" s="54">
        <v>45344</v>
      </c>
      <c r="B938" s="24">
        <f t="shared" si="56"/>
        <v>2</v>
      </c>
      <c r="C938" s="24">
        <f t="shared" si="57"/>
        <v>2024</v>
      </c>
      <c r="D938" s="104" t="s">
        <v>109</v>
      </c>
      <c r="E938" s="104" t="s">
        <v>343</v>
      </c>
      <c r="K938" s="61">
        <v>5000</v>
      </c>
      <c r="L938" s="49">
        <f t="shared" si="58"/>
        <v>25000</v>
      </c>
      <c r="M938" s="50">
        <f t="shared" si="59"/>
        <v>0</v>
      </c>
    </row>
    <row r="939" spans="1:13" x14ac:dyDescent="0.25">
      <c r="A939" s="54">
        <v>45344</v>
      </c>
      <c r="B939" s="24">
        <f t="shared" si="56"/>
        <v>2</v>
      </c>
      <c r="C939" s="24">
        <f t="shared" si="57"/>
        <v>2024</v>
      </c>
      <c r="D939" s="104" t="s">
        <v>109</v>
      </c>
      <c r="E939" s="104" t="s">
        <v>343</v>
      </c>
      <c r="F939" s="104" t="s">
        <v>616</v>
      </c>
      <c r="K939" s="61">
        <v>3000</v>
      </c>
      <c r="L939" s="49">
        <f t="shared" si="58"/>
        <v>22000</v>
      </c>
      <c r="M939" s="50">
        <f t="shared" si="59"/>
        <v>0</v>
      </c>
    </row>
    <row r="940" spans="1:13" x14ac:dyDescent="0.25">
      <c r="A940" s="54">
        <v>45344</v>
      </c>
      <c r="B940" s="24">
        <f t="shared" si="56"/>
        <v>2</v>
      </c>
      <c r="C940" s="24">
        <f t="shared" si="57"/>
        <v>2024</v>
      </c>
      <c r="D940" s="104" t="s">
        <v>352</v>
      </c>
      <c r="E940" s="104" t="s">
        <v>343</v>
      </c>
      <c r="F940" s="104" t="s">
        <v>577</v>
      </c>
      <c r="J940" s="61">
        <v>663000</v>
      </c>
      <c r="L940" s="49">
        <f t="shared" si="58"/>
        <v>685000</v>
      </c>
      <c r="M940" s="50">
        <f t="shared" si="59"/>
        <v>0</v>
      </c>
    </row>
    <row r="941" spans="1:13" x14ac:dyDescent="0.25">
      <c r="A941" s="54">
        <v>45344</v>
      </c>
      <c r="B941" s="24">
        <f t="shared" si="56"/>
        <v>2</v>
      </c>
      <c r="C941" s="24">
        <f t="shared" si="57"/>
        <v>2024</v>
      </c>
      <c r="D941" s="104" t="s">
        <v>352</v>
      </c>
      <c r="E941" s="104" t="s">
        <v>343</v>
      </c>
      <c r="F941" s="104" t="s">
        <v>753</v>
      </c>
      <c r="J941" s="61">
        <v>167000</v>
      </c>
      <c r="L941" s="49">
        <f t="shared" si="58"/>
        <v>852000</v>
      </c>
      <c r="M941" s="50">
        <f t="shared" si="59"/>
        <v>0</v>
      </c>
    </row>
    <row r="942" spans="1:13" x14ac:dyDescent="0.25">
      <c r="A942" s="80">
        <v>45344</v>
      </c>
      <c r="B942" s="24">
        <f t="shared" si="56"/>
        <v>2</v>
      </c>
      <c r="C942" s="24">
        <f t="shared" si="57"/>
        <v>2024</v>
      </c>
      <c r="D942" s="107" t="s">
        <v>122</v>
      </c>
      <c r="E942" s="107" t="s">
        <v>343</v>
      </c>
      <c r="F942" s="107"/>
      <c r="G942" s="107"/>
      <c r="H942" s="81"/>
      <c r="I942" s="81"/>
      <c r="J942" s="52"/>
      <c r="K942" s="52">
        <v>822000</v>
      </c>
      <c r="L942" s="49">
        <f t="shared" si="58"/>
        <v>30000</v>
      </c>
      <c r="M942" s="50">
        <f t="shared" si="59"/>
        <v>0</v>
      </c>
    </row>
    <row r="943" spans="1:13" x14ac:dyDescent="0.25">
      <c r="A943" s="54">
        <v>45345</v>
      </c>
      <c r="B943" s="24">
        <f t="shared" si="56"/>
        <v>2</v>
      </c>
      <c r="C943" s="24">
        <f t="shared" si="57"/>
        <v>2024</v>
      </c>
      <c r="D943" s="104" t="s">
        <v>352</v>
      </c>
      <c r="E943" s="104" t="s">
        <v>93</v>
      </c>
      <c r="F943" s="104" t="s">
        <v>754</v>
      </c>
      <c r="J943" s="61">
        <v>26000</v>
      </c>
      <c r="L943" s="49">
        <f t="shared" si="58"/>
        <v>56000</v>
      </c>
      <c r="M943" s="50">
        <f t="shared" si="59"/>
        <v>0</v>
      </c>
    </row>
    <row r="944" spans="1:13" x14ac:dyDescent="0.25">
      <c r="A944" s="54">
        <v>45345</v>
      </c>
      <c r="B944" s="24">
        <f t="shared" si="56"/>
        <v>2</v>
      </c>
      <c r="C944" s="24">
        <f t="shared" si="57"/>
        <v>2024</v>
      </c>
      <c r="D944" s="104" t="s">
        <v>352</v>
      </c>
      <c r="E944" s="104" t="s">
        <v>343</v>
      </c>
      <c r="F944" s="104" t="s">
        <v>356</v>
      </c>
      <c r="J944" s="61">
        <v>88500</v>
      </c>
      <c r="L944" s="49">
        <f t="shared" si="58"/>
        <v>144500</v>
      </c>
      <c r="M944" s="50">
        <f t="shared" si="59"/>
        <v>0</v>
      </c>
    </row>
    <row r="945" spans="1:13" x14ac:dyDescent="0.25">
      <c r="A945" s="54">
        <v>45345</v>
      </c>
      <c r="B945" s="24">
        <f t="shared" si="56"/>
        <v>2</v>
      </c>
      <c r="C945" s="24">
        <f t="shared" si="57"/>
        <v>2024</v>
      </c>
      <c r="D945" s="104" t="s">
        <v>352</v>
      </c>
      <c r="E945" s="104" t="s">
        <v>343</v>
      </c>
      <c r="F945" s="104" t="s">
        <v>755</v>
      </c>
      <c r="J945" s="61">
        <v>55400</v>
      </c>
      <c r="L945" s="49">
        <f t="shared" si="58"/>
        <v>199900</v>
      </c>
      <c r="M945" s="50">
        <f t="shared" si="59"/>
        <v>0</v>
      </c>
    </row>
    <row r="946" spans="1:13" x14ac:dyDescent="0.25">
      <c r="A946" s="54">
        <v>45345</v>
      </c>
      <c r="B946" s="24">
        <f t="shared" si="56"/>
        <v>2</v>
      </c>
      <c r="C946" s="24">
        <f t="shared" si="57"/>
        <v>2024</v>
      </c>
      <c r="D946" s="104" t="s">
        <v>501</v>
      </c>
      <c r="E946" s="104" t="s">
        <v>343</v>
      </c>
      <c r="K946" s="61">
        <v>150000</v>
      </c>
      <c r="L946" s="49">
        <f t="shared" si="58"/>
        <v>49900</v>
      </c>
      <c r="M946" s="50">
        <f t="shared" si="59"/>
        <v>0</v>
      </c>
    </row>
    <row r="947" spans="1:13" x14ac:dyDescent="0.25">
      <c r="A947" s="80">
        <v>45345</v>
      </c>
      <c r="B947" s="24">
        <f t="shared" si="56"/>
        <v>2</v>
      </c>
      <c r="C947" s="24">
        <f t="shared" si="57"/>
        <v>2024</v>
      </c>
      <c r="D947" s="107" t="s">
        <v>361</v>
      </c>
      <c r="E947" s="107" t="s">
        <v>343</v>
      </c>
      <c r="F947" s="107"/>
      <c r="G947" s="107"/>
      <c r="H947" s="81"/>
      <c r="I947" s="81"/>
      <c r="J947" s="52"/>
      <c r="K947" s="52">
        <v>19900</v>
      </c>
      <c r="L947" s="49">
        <f t="shared" si="58"/>
        <v>30000</v>
      </c>
      <c r="M947" s="50">
        <f t="shared" si="59"/>
        <v>0</v>
      </c>
    </row>
    <row r="948" spans="1:13" x14ac:dyDescent="0.25">
      <c r="A948" s="54">
        <v>45346</v>
      </c>
      <c r="B948" s="24">
        <f t="shared" si="56"/>
        <v>2</v>
      </c>
      <c r="C948" s="24">
        <f t="shared" si="57"/>
        <v>2024</v>
      </c>
      <c r="D948" s="104" t="s">
        <v>384</v>
      </c>
      <c r="E948" s="104" t="s">
        <v>343</v>
      </c>
      <c r="J948" s="61">
        <v>228000</v>
      </c>
      <c r="L948" s="49">
        <f t="shared" si="58"/>
        <v>258000</v>
      </c>
      <c r="M948" s="50">
        <f t="shared" si="59"/>
        <v>0</v>
      </c>
    </row>
    <row r="949" spans="1:13" x14ac:dyDescent="0.25">
      <c r="A949" s="54">
        <v>45346</v>
      </c>
      <c r="B949" s="24">
        <f t="shared" si="56"/>
        <v>2</v>
      </c>
      <c r="C949" s="24">
        <f t="shared" si="57"/>
        <v>2024</v>
      </c>
      <c r="D949" s="104" t="s">
        <v>501</v>
      </c>
      <c r="E949" s="104" t="s">
        <v>343</v>
      </c>
      <c r="F949" s="104" t="s">
        <v>655</v>
      </c>
      <c r="K949" s="61">
        <v>150000</v>
      </c>
      <c r="L949" s="49">
        <f t="shared" si="58"/>
        <v>108000</v>
      </c>
      <c r="M949" s="50">
        <f t="shared" si="59"/>
        <v>0</v>
      </c>
    </row>
    <row r="950" spans="1:13" x14ac:dyDescent="0.25">
      <c r="A950" s="54">
        <v>45346</v>
      </c>
      <c r="B950" s="24">
        <f t="shared" si="56"/>
        <v>2</v>
      </c>
      <c r="C950" s="24">
        <f t="shared" si="57"/>
        <v>2024</v>
      </c>
      <c r="D950" s="104" t="s">
        <v>500</v>
      </c>
      <c r="E950" s="104" t="s">
        <v>343</v>
      </c>
      <c r="K950" s="61">
        <v>78000</v>
      </c>
      <c r="L950" s="49">
        <f t="shared" si="58"/>
        <v>30000</v>
      </c>
      <c r="M950" s="50">
        <f t="shared" si="59"/>
        <v>0</v>
      </c>
    </row>
    <row r="951" spans="1:13" x14ac:dyDescent="0.25">
      <c r="A951" s="54">
        <v>45348</v>
      </c>
      <c r="B951" s="24">
        <f t="shared" si="56"/>
        <v>2</v>
      </c>
      <c r="C951" s="24">
        <f t="shared" si="57"/>
        <v>2024</v>
      </c>
      <c r="D951" s="104" t="s">
        <v>124</v>
      </c>
      <c r="E951" s="104" t="s">
        <v>343</v>
      </c>
      <c r="F951" s="104" t="s">
        <v>758</v>
      </c>
      <c r="K951" s="61">
        <v>6000</v>
      </c>
      <c r="L951" s="49">
        <f t="shared" si="58"/>
        <v>24000</v>
      </c>
      <c r="M951" s="50">
        <f t="shared" si="59"/>
        <v>0</v>
      </c>
    </row>
    <row r="952" spans="1:13" x14ac:dyDescent="0.25">
      <c r="A952" s="134">
        <v>45348</v>
      </c>
      <c r="B952" s="24">
        <f t="shared" si="56"/>
        <v>2</v>
      </c>
      <c r="C952" s="24">
        <f t="shared" si="57"/>
        <v>2024</v>
      </c>
      <c r="D952" s="135" t="s">
        <v>384</v>
      </c>
      <c r="E952" s="135" t="s">
        <v>343</v>
      </c>
      <c r="F952" s="135"/>
      <c r="G952" s="135"/>
      <c r="H952" s="136"/>
      <c r="I952" s="136"/>
      <c r="J952" s="137">
        <v>6000</v>
      </c>
      <c r="K952" s="137"/>
      <c r="L952" s="49">
        <f t="shared" si="58"/>
        <v>30000</v>
      </c>
      <c r="M952" s="50">
        <f t="shared" si="59"/>
        <v>0</v>
      </c>
    </row>
    <row r="953" spans="1:13" x14ac:dyDescent="0.25">
      <c r="A953" s="54">
        <v>45349</v>
      </c>
      <c r="B953" s="24">
        <f t="shared" si="56"/>
        <v>2</v>
      </c>
      <c r="C953" s="24">
        <f t="shared" si="57"/>
        <v>2024</v>
      </c>
      <c r="D953" s="104" t="s">
        <v>28</v>
      </c>
      <c r="E953" s="104" t="s">
        <v>343</v>
      </c>
      <c r="K953" s="61">
        <v>3000</v>
      </c>
      <c r="L953" s="49">
        <f t="shared" si="58"/>
        <v>27000</v>
      </c>
      <c r="M953" s="50">
        <f t="shared" si="59"/>
        <v>0</v>
      </c>
    </row>
    <row r="954" spans="1:13" x14ac:dyDescent="0.25">
      <c r="A954" s="54">
        <v>45349</v>
      </c>
      <c r="B954" s="24">
        <f t="shared" si="56"/>
        <v>2</v>
      </c>
      <c r="C954" s="24">
        <f t="shared" si="57"/>
        <v>2024</v>
      </c>
      <c r="D954" s="104" t="s">
        <v>384</v>
      </c>
      <c r="E954" s="104" t="s">
        <v>343</v>
      </c>
      <c r="J954" s="61">
        <v>63200</v>
      </c>
      <c r="L954" s="49">
        <f t="shared" si="58"/>
        <v>90200</v>
      </c>
      <c r="M954" s="50">
        <f t="shared" si="59"/>
        <v>0</v>
      </c>
    </row>
    <row r="955" spans="1:13" x14ac:dyDescent="0.25">
      <c r="A955" s="54">
        <v>45349</v>
      </c>
      <c r="B955" s="24">
        <f t="shared" si="56"/>
        <v>2</v>
      </c>
      <c r="C955" s="24">
        <f t="shared" si="57"/>
        <v>2024</v>
      </c>
      <c r="D955" s="104" t="s">
        <v>502</v>
      </c>
      <c r="E955" s="104" t="s">
        <v>343</v>
      </c>
      <c r="K955" s="61">
        <v>63200</v>
      </c>
      <c r="L955" s="49">
        <f t="shared" si="58"/>
        <v>27000</v>
      </c>
      <c r="M955" s="50">
        <f t="shared" si="59"/>
        <v>0</v>
      </c>
    </row>
    <row r="956" spans="1:13" x14ac:dyDescent="0.25">
      <c r="A956" s="134">
        <v>45349</v>
      </c>
      <c r="B956" s="24">
        <f t="shared" si="56"/>
        <v>2</v>
      </c>
      <c r="C956" s="24">
        <f t="shared" si="57"/>
        <v>2024</v>
      </c>
      <c r="D956" s="135" t="s">
        <v>384</v>
      </c>
      <c r="E956" s="135" t="s">
        <v>343</v>
      </c>
      <c r="F956" s="135"/>
      <c r="G956" s="135"/>
      <c r="H956" s="136"/>
      <c r="I956" s="136"/>
      <c r="J956" s="137">
        <v>3000</v>
      </c>
      <c r="L956" s="49">
        <f t="shared" si="58"/>
        <v>30000</v>
      </c>
      <c r="M956" s="50">
        <f t="shared" si="59"/>
        <v>0</v>
      </c>
    </row>
    <row r="957" spans="1:13" x14ac:dyDescent="0.25">
      <c r="A957" s="54">
        <v>45350</v>
      </c>
      <c r="B957" s="24">
        <f t="shared" si="56"/>
        <v>2</v>
      </c>
      <c r="C957" s="24">
        <f t="shared" si="57"/>
        <v>2024</v>
      </c>
      <c r="D957" s="104" t="s">
        <v>112</v>
      </c>
      <c r="E957" s="104" t="s">
        <v>343</v>
      </c>
      <c r="K957" s="61">
        <v>3500</v>
      </c>
      <c r="L957" s="49">
        <f t="shared" si="58"/>
        <v>26500</v>
      </c>
      <c r="M957" s="50">
        <f t="shared" si="59"/>
        <v>0</v>
      </c>
    </row>
    <row r="958" spans="1:13" x14ac:dyDescent="0.25">
      <c r="A958" s="54">
        <v>45350</v>
      </c>
      <c r="B958" s="24">
        <f t="shared" si="56"/>
        <v>2</v>
      </c>
      <c r="C958" s="24">
        <f t="shared" si="57"/>
        <v>2024</v>
      </c>
      <c r="D958" s="104" t="s">
        <v>384</v>
      </c>
      <c r="E958" s="104" t="s">
        <v>343</v>
      </c>
      <c r="J958" s="61">
        <v>21000</v>
      </c>
      <c r="L958" s="49">
        <f t="shared" si="58"/>
        <v>47500</v>
      </c>
      <c r="M958" s="50">
        <f t="shared" si="59"/>
        <v>0</v>
      </c>
    </row>
    <row r="959" spans="1:13" x14ac:dyDescent="0.25">
      <c r="A959" s="54">
        <v>45350</v>
      </c>
      <c r="B959" s="24">
        <f t="shared" si="56"/>
        <v>2</v>
      </c>
      <c r="C959" s="24">
        <f t="shared" si="57"/>
        <v>2024</v>
      </c>
      <c r="D959" s="104" t="s">
        <v>444</v>
      </c>
      <c r="E959" s="104" t="s">
        <v>343</v>
      </c>
      <c r="K959" s="61">
        <v>21000</v>
      </c>
      <c r="L959" s="49">
        <f t="shared" si="58"/>
        <v>26500</v>
      </c>
      <c r="M959" s="50">
        <f t="shared" si="59"/>
        <v>0</v>
      </c>
    </row>
    <row r="960" spans="1:13" x14ac:dyDescent="0.25">
      <c r="A960" s="134">
        <v>45350</v>
      </c>
      <c r="B960" s="24">
        <f t="shared" si="56"/>
        <v>2</v>
      </c>
      <c r="C960" s="24">
        <f t="shared" si="57"/>
        <v>2024</v>
      </c>
      <c r="D960" s="135" t="s">
        <v>384</v>
      </c>
      <c r="E960" s="135" t="s">
        <v>343</v>
      </c>
      <c r="F960" s="135"/>
      <c r="G960" s="135"/>
      <c r="H960" s="136"/>
      <c r="I960" s="136"/>
      <c r="J960" s="137">
        <v>3500</v>
      </c>
      <c r="L960" s="49">
        <f t="shared" si="58"/>
        <v>30000</v>
      </c>
      <c r="M960" s="50">
        <f t="shared" si="59"/>
        <v>0</v>
      </c>
    </row>
    <row r="961" spans="1:13" x14ac:dyDescent="0.25">
      <c r="A961" s="54">
        <v>45351</v>
      </c>
      <c r="B961" s="24">
        <f t="shared" si="56"/>
        <v>2</v>
      </c>
      <c r="C961" s="24">
        <f t="shared" si="57"/>
        <v>2024</v>
      </c>
      <c r="D961" s="104" t="s">
        <v>352</v>
      </c>
      <c r="E961" s="104" t="s">
        <v>343</v>
      </c>
      <c r="F961" s="104" t="s">
        <v>762</v>
      </c>
      <c r="J961" s="61">
        <v>30000</v>
      </c>
      <c r="L961" s="49">
        <f t="shared" si="58"/>
        <v>60000</v>
      </c>
      <c r="M961" s="50">
        <f t="shared" si="59"/>
        <v>0</v>
      </c>
    </row>
    <row r="962" spans="1:13" x14ac:dyDescent="0.25">
      <c r="A962" s="54">
        <v>45351</v>
      </c>
      <c r="B962" s="24">
        <f t="shared" si="56"/>
        <v>2</v>
      </c>
      <c r="C962" s="24">
        <f t="shared" si="57"/>
        <v>2024</v>
      </c>
      <c r="D962" s="104" t="s">
        <v>352</v>
      </c>
      <c r="E962" s="104" t="s">
        <v>343</v>
      </c>
      <c r="F962" s="104" t="s">
        <v>761</v>
      </c>
      <c r="J962" s="61">
        <v>173900</v>
      </c>
      <c r="L962" s="49">
        <f t="shared" si="58"/>
        <v>233900</v>
      </c>
      <c r="M962" s="50">
        <f t="shared" si="59"/>
        <v>0</v>
      </c>
    </row>
    <row r="963" spans="1:13" x14ac:dyDescent="0.25">
      <c r="A963" s="54">
        <v>45351</v>
      </c>
      <c r="B963" s="24">
        <f t="shared" ref="B963:B1026" si="60">MONTH(A963)</f>
        <v>2</v>
      </c>
      <c r="C963" s="24">
        <f t="shared" ref="C963:C1026" si="61">YEAR(A963)</f>
        <v>2024</v>
      </c>
      <c r="D963" s="104" t="s">
        <v>124</v>
      </c>
      <c r="E963" s="104" t="s">
        <v>343</v>
      </c>
      <c r="K963" s="61">
        <v>1700</v>
      </c>
      <c r="L963" s="49">
        <f t="shared" si="58"/>
        <v>232200</v>
      </c>
      <c r="M963" s="50">
        <f t="shared" si="59"/>
        <v>0</v>
      </c>
    </row>
    <row r="964" spans="1:13" ht="13.5" customHeight="1" x14ac:dyDescent="0.25">
      <c r="A964" s="54">
        <v>45351</v>
      </c>
      <c r="B964" s="24">
        <f t="shared" si="60"/>
        <v>2</v>
      </c>
      <c r="C964" s="24">
        <f t="shared" si="61"/>
        <v>2024</v>
      </c>
      <c r="D964" s="104" t="s">
        <v>109</v>
      </c>
      <c r="E964" s="104" t="s">
        <v>343</v>
      </c>
      <c r="K964" s="61">
        <v>3000</v>
      </c>
      <c r="L964" s="49">
        <f t="shared" ref="L964:L1027" si="62">IF((L963+M963+J964-K964)&gt;0,(L963+M963+J964-K964),0)</f>
        <v>229200</v>
      </c>
      <c r="M964" s="50">
        <f t="shared" ref="M964:M1027" si="63">IF((L963+M963+J964-K964)&lt;0,(L963+M963+J964-K964),0)</f>
        <v>0</v>
      </c>
    </row>
    <row r="965" spans="1:13" x14ac:dyDescent="0.25">
      <c r="A965" s="80">
        <v>45351</v>
      </c>
      <c r="B965" s="24">
        <f t="shared" si="60"/>
        <v>2</v>
      </c>
      <c r="C965" s="24">
        <f t="shared" si="61"/>
        <v>2024</v>
      </c>
      <c r="D965" s="107" t="s">
        <v>122</v>
      </c>
      <c r="E965" s="107" t="s">
        <v>343</v>
      </c>
      <c r="F965" s="107"/>
      <c r="G965" s="107"/>
      <c r="H965" s="81"/>
      <c r="I965" s="81"/>
      <c r="J965" s="52"/>
      <c r="K965" s="52">
        <v>199200</v>
      </c>
      <c r="L965" s="49">
        <f t="shared" si="62"/>
        <v>30000</v>
      </c>
      <c r="M965" s="50">
        <f t="shared" si="63"/>
        <v>0</v>
      </c>
    </row>
    <row r="966" spans="1:13" x14ac:dyDescent="0.25">
      <c r="A966" s="54">
        <v>45352</v>
      </c>
      <c r="B966" s="24">
        <f t="shared" si="60"/>
        <v>3</v>
      </c>
      <c r="C966" s="24">
        <f t="shared" si="61"/>
        <v>2024</v>
      </c>
      <c r="D966" s="104" t="s">
        <v>352</v>
      </c>
      <c r="E966" s="104" t="s">
        <v>343</v>
      </c>
      <c r="F966" s="104" t="s">
        <v>393</v>
      </c>
      <c r="J966" s="61">
        <v>11000</v>
      </c>
      <c r="L966" s="49">
        <f t="shared" si="62"/>
        <v>41000</v>
      </c>
      <c r="M966" s="50">
        <f t="shared" si="63"/>
        <v>0</v>
      </c>
    </row>
    <row r="967" spans="1:13" x14ac:dyDescent="0.25">
      <c r="A967" s="54">
        <v>45352</v>
      </c>
      <c r="B967" s="24">
        <f t="shared" si="60"/>
        <v>3</v>
      </c>
      <c r="C967" s="24">
        <f t="shared" si="61"/>
        <v>2024</v>
      </c>
      <c r="D967" s="104" t="s">
        <v>352</v>
      </c>
      <c r="E967" s="104" t="s">
        <v>93</v>
      </c>
      <c r="F967" s="104" t="s">
        <v>765</v>
      </c>
      <c r="J967" s="61">
        <v>103000</v>
      </c>
      <c r="L967" s="49">
        <f t="shared" si="62"/>
        <v>144000</v>
      </c>
      <c r="M967" s="50">
        <f t="shared" si="63"/>
        <v>0</v>
      </c>
    </row>
    <row r="968" spans="1:13" x14ac:dyDescent="0.25">
      <c r="A968" s="66">
        <v>45352</v>
      </c>
      <c r="B968" s="24">
        <f t="shared" si="60"/>
        <v>3</v>
      </c>
      <c r="C968" s="24">
        <f t="shared" si="61"/>
        <v>2024</v>
      </c>
      <c r="D968" s="109" t="s">
        <v>352</v>
      </c>
      <c r="E968" s="109" t="s">
        <v>93</v>
      </c>
      <c r="F968" s="109" t="s">
        <v>766</v>
      </c>
      <c r="G968" s="109"/>
      <c r="H968" s="14"/>
      <c r="I968" s="14"/>
      <c r="J968" s="118">
        <v>100000</v>
      </c>
      <c r="K968" s="118"/>
      <c r="L968" s="49">
        <f t="shared" si="62"/>
        <v>244000</v>
      </c>
      <c r="M968" s="50">
        <f t="shared" si="63"/>
        <v>0</v>
      </c>
    </row>
    <row r="969" spans="1:13" x14ac:dyDescent="0.25">
      <c r="A969" s="66">
        <v>45352</v>
      </c>
      <c r="B969" s="24">
        <f t="shared" si="60"/>
        <v>3</v>
      </c>
      <c r="C969" s="24">
        <f t="shared" si="61"/>
        <v>2024</v>
      </c>
      <c r="D969" s="109" t="s">
        <v>501</v>
      </c>
      <c r="E969" s="109" t="s">
        <v>343</v>
      </c>
      <c r="F969" s="109" t="s">
        <v>568</v>
      </c>
      <c r="G969" s="109"/>
      <c r="H969" s="14"/>
      <c r="I969" s="14"/>
      <c r="J969" s="118"/>
      <c r="K969" s="118">
        <v>150000</v>
      </c>
      <c r="L969" s="49">
        <f t="shared" si="62"/>
        <v>94000</v>
      </c>
      <c r="M969" s="50">
        <f t="shared" si="63"/>
        <v>0</v>
      </c>
    </row>
    <row r="970" spans="1:13" x14ac:dyDescent="0.25">
      <c r="A970" s="54">
        <v>45352</v>
      </c>
      <c r="B970" s="24">
        <f t="shared" si="60"/>
        <v>3</v>
      </c>
      <c r="C970" s="24">
        <f t="shared" si="61"/>
        <v>2024</v>
      </c>
      <c r="D970" s="104" t="s">
        <v>384</v>
      </c>
      <c r="E970" s="104" t="s">
        <v>343</v>
      </c>
      <c r="J970" s="61">
        <v>120000</v>
      </c>
      <c r="L970" s="49">
        <f t="shared" si="62"/>
        <v>214000</v>
      </c>
      <c r="M970" s="50">
        <f t="shared" si="63"/>
        <v>0</v>
      </c>
    </row>
    <row r="971" spans="1:13" x14ac:dyDescent="0.25">
      <c r="A971" s="54">
        <v>45352</v>
      </c>
      <c r="B971" s="24">
        <f t="shared" si="60"/>
        <v>3</v>
      </c>
      <c r="C971" s="24">
        <f t="shared" si="61"/>
        <v>2024</v>
      </c>
      <c r="D971" s="104" t="s">
        <v>501</v>
      </c>
      <c r="E971" s="104" t="s">
        <v>343</v>
      </c>
      <c r="F971" s="104" t="s">
        <v>567</v>
      </c>
      <c r="K971" s="61">
        <v>120000</v>
      </c>
      <c r="L971" s="49">
        <f t="shared" si="62"/>
        <v>94000</v>
      </c>
      <c r="M971" s="50">
        <f t="shared" si="63"/>
        <v>0</v>
      </c>
    </row>
    <row r="972" spans="1:13" x14ac:dyDescent="0.25">
      <c r="A972" s="80">
        <v>45352</v>
      </c>
      <c r="B972" s="24">
        <f t="shared" si="60"/>
        <v>3</v>
      </c>
      <c r="C972" s="24">
        <f t="shared" si="61"/>
        <v>2024</v>
      </c>
      <c r="D972" s="107" t="s">
        <v>122</v>
      </c>
      <c r="E972" s="107" t="s">
        <v>343</v>
      </c>
      <c r="F972" s="107"/>
      <c r="G972" s="107"/>
      <c r="H972" s="81"/>
      <c r="I972" s="81"/>
      <c r="J972" s="52"/>
      <c r="K972" s="52">
        <v>64000</v>
      </c>
      <c r="L972" s="49">
        <f t="shared" si="62"/>
        <v>30000</v>
      </c>
      <c r="M972" s="50">
        <f t="shared" si="63"/>
        <v>0</v>
      </c>
    </row>
    <row r="973" spans="1:13" x14ac:dyDescent="0.25">
      <c r="A973" s="54">
        <v>45353</v>
      </c>
      <c r="B973" s="24">
        <f t="shared" si="60"/>
        <v>3</v>
      </c>
      <c r="C973" s="24">
        <f t="shared" si="61"/>
        <v>2024</v>
      </c>
      <c r="D973" s="104" t="s">
        <v>352</v>
      </c>
      <c r="E973" s="104" t="s">
        <v>343</v>
      </c>
      <c r="F973" s="104" t="s">
        <v>769</v>
      </c>
      <c r="J973" s="61">
        <v>741600</v>
      </c>
      <c r="L973" s="49">
        <f t="shared" si="62"/>
        <v>771600</v>
      </c>
      <c r="M973" s="50">
        <f t="shared" si="63"/>
        <v>0</v>
      </c>
    </row>
    <row r="974" spans="1:13" x14ac:dyDescent="0.25">
      <c r="A974" s="80">
        <v>45353</v>
      </c>
      <c r="B974" s="24">
        <f t="shared" si="60"/>
        <v>3</v>
      </c>
      <c r="C974" s="24">
        <f t="shared" si="61"/>
        <v>2024</v>
      </c>
      <c r="D974" s="107" t="s">
        <v>122</v>
      </c>
      <c r="E974" s="107" t="s">
        <v>343</v>
      </c>
      <c r="F974" s="107"/>
      <c r="G974" s="107"/>
      <c r="H974" s="81"/>
      <c r="I974" s="81"/>
      <c r="J974" s="52"/>
      <c r="K974" s="52">
        <v>741600</v>
      </c>
      <c r="L974" s="49">
        <f t="shared" si="62"/>
        <v>30000</v>
      </c>
      <c r="M974" s="50">
        <f t="shared" si="63"/>
        <v>0</v>
      </c>
    </row>
    <row r="975" spans="1:13" x14ac:dyDescent="0.25">
      <c r="A975" s="54">
        <v>45355</v>
      </c>
      <c r="B975" s="24">
        <f t="shared" si="60"/>
        <v>3</v>
      </c>
      <c r="C975" s="24">
        <f t="shared" si="61"/>
        <v>2024</v>
      </c>
      <c r="D975" s="104" t="s">
        <v>384</v>
      </c>
      <c r="E975" s="104" t="s">
        <v>343</v>
      </c>
      <c r="J975" s="61">
        <v>594993</v>
      </c>
      <c r="L975" s="49">
        <f t="shared" si="62"/>
        <v>624993</v>
      </c>
      <c r="M975" s="50">
        <f t="shared" si="63"/>
        <v>0</v>
      </c>
    </row>
    <row r="976" spans="1:13" x14ac:dyDescent="0.25">
      <c r="A976" s="54">
        <v>45355</v>
      </c>
      <c r="B976" s="24">
        <f t="shared" si="60"/>
        <v>3</v>
      </c>
      <c r="C976" s="24">
        <f t="shared" si="61"/>
        <v>2024</v>
      </c>
      <c r="D976" s="104" t="s">
        <v>124</v>
      </c>
      <c r="E976" s="104" t="s">
        <v>343</v>
      </c>
      <c r="G976" s="104" t="s">
        <v>571</v>
      </c>
      <c r="K976" s="61">
        <v>594993</v>
      </c>
      <c r="L976" s="49">
        <f t="shared" si="62"/>
        <v>30000</v>
      </c>
      <c r="M976" s="50">
        <f t="shared" si="63"/>
        <v>0</v>
      </c>
    </row>
    <row r="977" spans="1:13" x14ac:dyDescent="0.25">
      <c r="A977" s="54">
        <v>45355</v>
      </c>
      <c r="B977" s="24">
        <f t="shared" si="60"/>
        <v>3</v>
      </c>
      <c r="C977" s="24">
        <f t="shared" si="61"/>
        <v>2024</v>
      </c>
      <c r="D977" s="104" t="s">
        <v>384</v>
      </c>
      <c r="E977" s="104" t="s">
        <v>343</v>
      </c>
      <c r="J977" s="61">
        <v>123692</v>
      </c>
      <c r="L977" s="49">
        <f t="shared" si="62"/>
        <v>153692</v>
      </c>
      <c r="M977" s="50">
        <f t="shared" si="63"/>
        <v>0</v>
      </c>
    </row>
    <row r="978" spans="1:13" x14ac:dyDescent="0.25">
      <c r="A978" s="54">
        <v>45355</v>
      </c>
      <c r="B978" s="24">
        <f t="shared" si="60"/>
        <v>3</v>
      </c>
      <c r="C978" s="24">
        <f t="shared" si="61"/>
        <v>2024</v>
      </c>
      <c r="D978" s="104" t="s">
        <v>148</v>
      </c>
      <c r="E978" s="104" t="s">
        <v>343</v>
      </c>
      <c r="K978" s="61">
        <v>123692</v>
      </c>
      <c r="L978" s="49">
        <f t="shared" si="62"/>
        <v>30000</v>
      </c>
      <c r="M978" s="50">
        <f t="shared" si="63"/>
        <v>0</v>
      </c>
    </row>
    <row r="979" spans="1:13" x14ac:dyDescent="0.25">
      <c r="A979" s="54">
        <v>45355</v>
      </c>
      <c r="B979" s="24">
        <f t="shared" si="60"/>
        <v>3</v>
      </c>
      <c r="C979" s="24">
        <f t="shared" si="61"/>
        <v>2024</v>
      </c>
      <c r="D979" s="104" t="s">
        <v>352</v>
      </c>
      <c r="E979" s="104" t="s">
        <v>343</v>
      </c>
      <c r="F979" s="104" t="s">
        <v>770</v>
      </c>
      <c r="J979" s="61">
        <v>414000</v>
      </c>
      <c r="L979" s="49">
        <f t="shared" si="62"/>
        <v>444000</v>
      </c>
      <c r="M979" s="50">
        <f t="shared" si="63"/>
        <v>0</v>
      </c>
    </row>
    <row r="980" spans="1:13" x14ac:dyDescent="0.25">
      <c r="A980" s="54">
        <v>45355</v>
      </c>
      <c r="B980" s="24">
        <f t="shared" si="60"/>
        <v>3</v>
      </c>
      <c r="C980" s="24">
        <f t="shared" si="61"/>
        <v>2024</v>
      </c>
      <c r="D980" s="104" t="s">
        <v>352</v>
      </c>
      <c r="E980" s="104" t="s">
        <v>343</v>
      </c>
      <c r="F980" s="104" t="s">
        <v>456</v>
      </c>
      <c r="J980" s="61">
        <v>19000</v>
      </c>
      <c r="L980" s="49">
        <f t="shared" si="62"/>
        <v>463000</v>
      </c>
      <c r="M980" s="50">
        <f t="shared" si="63"/>
        <v>0</v>
      </c>
    </row>
    <row r="981" spans="1:13" x14ac:dyDescent="0.25">
      <c r="A981" s="54">
        <v>45355</v>
      </c>
      <c r="B981" s="24">
        <f t="shared" si="60"/>
        <v>3</v>
      </c>
      <c r="C981" s="24">
        <f t="shared" si="61"/>
        <v>2024</v>
      </c>
      <c r="D981" s="104" t="s">
        <v>352</v>
      </c>
      <c r="E981" s="104" t="s">
        <v>343</v>
      </c>
      <c r="F981" s="104" t="s">
        <v>772</v>
      </c>
      <c r="J981" s="61">
        <v>500000</v>
      </c>
      <c r="L981" s="49">
        <f t="shared" si="62"/>
        <v>963000</v>
      </c>
      <c r="M981" s="50">
        <f t="shared" si="63"/>
        <v>0</v>
      </c>
    </row>
    <row r="982" spans="1:13" x14ac:dyDescent="0.25">
      <c r="A982" s="54">
        <v>45355</v>
      </c>
      <c r="B982" s="24">
        <f t="shared" si="60"/>
        <v>3</v>
      </c>
      <c r="C982" s="24">
        <f t="shared" si="61"/>
        <v>2024</v>
      </c>
      <c r="D982" s="104" t="s">
        <v>109</v>
      </c>
      <c r="E982" s="104" t="s">
        <v>343</v>
      </c>
      <c r="F982" s="104" t="s">
        <v>463</v>
      </c>
      <c r="K982" s="61">
        <v>8200</v>
      </c>
      <c r="L982" s="49">
        <f t="shared" si="62"/>
        <v>954800</v>
      </c>
      <c r="M982" s="50">
        <f t="shared" si="63"/>
        <v>0</v>
      </c>
    </row>
    <row r="983" spans="1:13" x14ac:dyDescent="0.25">
      <c r="A983" s="80">
        <v>45355</v>
      </c>
      <c r="B983" s="24">
        <f t="shared" si="60"/>
        <v>3</v>
      </c>
      <c r="C983" s="24">
        <f t="shared" si="61"/>
        <v>2024</v>
      </c>
      <c r="D983" s="107" t="s">
        <v>361</v>
      </c>
      <c r="E983" s="107" t="s">
        <v>343</v>
      </c>
      <c r="F983" s="107"/>
      <c r="G983" s="107"/>
      <c r="H983" s="81"/>
      <c r="I983" s="81"/>
      <c r="J983" s="52"/>
      <c r="K983" s="52">
        <v>924800</v>
      </c>
      <c r="L983" s="49">
        <f t="shared" si="62"/>
        <v>30000</v>
      </c>
      <c r="M983" s="50">
        <f t="shared" si="63"/>
        <v>0</v>
      </c>
    </row>
    <row r="984" spans="1:13" x14ac:dyDescent="0.25">
      <c r="A984" s="54">
        <v>45356</v>
      </c>
      <c r="B984" s="24">
        <f t="shared" si="60"/>
        <v>3</v>
      </c>
      <c r="C984" s="24">
        <f t="shared" si="61"/>
        <v>2024</v>
      </c>
      <c r="D984" s="104" t="s">
        <v>384</v>
      </c>
      <c r="E984" s="104" t="s">
        <v>343</v>
      </c>
      <c r="J984" s="61">
        <v>28700</v>
      </c>
      <c r="L984" s="49">
        <f t="shared" si="62"/>
        <v>58700</v>
      </c>
      <c r="M984" s="50">
        <f t="shared" si="63"/>
        <v>0</v>
      </c>
    </row>
    <row r="985" spans="1:13" x14ac:dyDescent="0.25">
      <c r="A985" s="54">
        <v>45356</v>
      </c>
      <c r="B985" s="24">
        <f t="shared" si="60"/>
        <v>3</v>
      </c>
      <c r="C985" s="24">
        <f t="shared" si="61"/>
        <v>2024</v>
      </c>
      <c r="D985" s="104" t="s">
        <v>124</v>
      </c>
      <c r="E985" s="104" t="s">
        <v>343</v>
      </c>
      <c r="G985" s="104" t="s">
        <v>268</v>
      </c>
      <c r="K985" s="61">
        <v>13700</v>
      </c>
      <c r="L985" s="49">
        <f t="shared" si="62"/>
        <v>45000</v>
      </c>
      <c r="M985" s="50">
        <f t="shared" si="63"/>
        <v>0</v>
      </c>
    </row>
    <row r="986" spans="1:13" x14ac:dyDescent="0.25">
      <c r="A986" s="54">
        <v>45356</v>
      </c>
      <c r="B986" s="24">
        <f t="shared" si="60"/>
        <v>3</v>
      </c>
      <c r="C986" s="24">
        <f t="shared" si="61"/>
        <v>2024</v>
      </c>
      <c r="D986" s="104" t="s">
        <v>360</v>
      </c>
      <c r="E986" s="104" t="s">
        <v>343</v>
      </c>
      <c r="K986" s="61">
        <v>15000</v>
      </c>
      <c r="L986" s="49">
        <f t="shared" si="62"/>
        <v>30000</v>
      </c>
      <c r="M986" s="50">
        <f t="shared" si="63"/>
        <v>0</v>
      </c>
    </row>
    <row r="987" spans="1:13" x14ac:dyDescent="0.25">
      <c r="A987" s="54">
        <v>45356</v>
      </c>
      <c r="B987" s="24">
        <f t="shared" si="60"/>
        <v>3</v>
      </c>
      <c r="C987" s="24">
        <f t="shared" si="61"/>
        <v>2024</v>
      </c>
      <c r="D987" s="104" t="s">
        <v>352</v>
      </c>
      <c r="E987" s="104" t="s">
        <v>343</v>
      </c>
      <c r="F987" s="104" t="s">
        <v>775</v>
      </c>
      <c r="J987" s="61">
        <v>126700</v>
      </c>
      <c r="L987" s="49">
        <f t="shared" si="62"/>
        <v>156700</v>
      </c>
      <c r="M987" s="50">
        <f t="shared" si="63"/>
        <v>0</v>
      </c>
    </row>
    <row r="988" spans="1:13" x14ac:dyDescent="0.25">
      <c r="A988" s="54">
        <v>45356</v>
      </c>
      <c r="B988" s="24">
        <f t="shared" si="60"/>
        <v>3</v>
      </c>
      <c r="C988" s="24">
        <f t="shared" si="61"/>
        <v>2024</v>
      </c>
      <c r="D988" s="104" t="s">
        <v>352</v>
      </c>
      <c r="E988" s="104" t="s">
        <v>343</v>
      </c>
      <c r="F988" s="104" t="s">
        <v>356</v>
      </c>
      <c r="J988" s="61">
        <v>48000</v>
      </c>
      <c r="L988" s="49">
        <f t="shared" si="62"/>
        <v>204700</v>
      </c>
      <c r="M988" s="50">
        <f t="shared" si="63"/>
        <v>0</v>
      </c>
    </row>
    <row r="989" spans="1:13" x14ac:dyDescent="0.25">
      <c r="A989" s="54">
        <v>45356</v>
      </c>
      <c r="B989" s="24">
        <f t="shared" si="60"/>
        <v>3</v>
      </c>
      <c r="C989" s="24">
        <f t="shared" si="61"/>
        <v>2024</v>
      </c>
      <c r="D989" s="104" t="s">
        <v>109</v>
      </c>
      <c r="E989" s="104" t="s">
        <v>343</v>
      </c>
      <c r="F989" s="104" t="s">
        <v>145</v>
      </c>
      <c r="K989" s="61">
        <v>48000</v>
      </c>
      <c r="L989" s="49">
        <f t="shared" si="62"/>
        <v>156700</v>
      </c>
      <c r="M989" s="50">
        <f t="shared" si="63"/>
        <v>0</v>
      </c>
    </row>
    <row r="990" spans="1:13" x14ac:dyDescent="0.25">
      <c r="A990" s="66">
        <v>45356</v>
      </c>
      <c r="B990" s="24">
        <f t="shared" si="60"/>
        <v>3</v>
      </c>
      <c r="C990" s="24">
        <f t="shared" si="61"/>
        <v>2024</v>
      </c>
      <c r="D990" s="109" t="s">
        <v>352</v>
      </c>
      <c r="E990" s="109" t="s">
        <v>343</v>
      </c>
      <c r="F990" s="109" t="s">
        <v>577</v>
      </c>
      <c r="G990" s="109"/>
      <c r="H990" s="14"/>
      <c r="I990" s="14"/>
      <c r="J990" s="118">
        <v>15000</v>
      </c>
      <c r="K990" s="118"/>
      <c r="L990" s="49">
        <f t="shared" si="62"/>
        <v>171700</v>
      </c>
      <c r="M990" s="50">
        <f t="shared" si="63"/>
        <v>0</v>
      </c>
    </row>
    <row r="991" spans="1:13" x14ac:dyDescent="0.25">
      <c r="A991" s="80">
        <v>45356</v>
      </c>
      <c r="B991" s="24">
        <f t="shared" si="60"/>
        <v>3</v>
      </c>
      <c r="C991" s="24">
        <f t="shared" si="61"/>
        <v>2024</v>
      </c>
      <c r="D991" s="107" t="s">
        <v>122</v>
      </c>
      <c r="E991" s="107" t="s">
        <v>343</v>
      </c>
      <c r="F991" s="107"/>
      <c r="G991" s="107"/>
      <c r="H991" s="81"/>
      <c r="I991" s="81"/>
      <c r="J991" s="52"/>
      <c r="K991" s="52">
        <v>141700</v>
      </c>
      <c r="L991" s="49">
        <f t="shared" si="62"/>
        <v>30000</v>
      </c>
      <c r="M991" s="50">
        <f t="shared" si="63"/>
        <v>0</v>
      </c>
    </row>
    <row r="992" spans="1:13" x14ac:dyDescent="0.25">
      <c r="A992" s="54">
        <v>45357</v>
      </c>
      <c r="B992" s="24">
        <f t="shared" si="60"/>
        <v>3</v>
      </c>
      <c r="C992" s="24">
        <f t="shared" si="61"/>
        <v>2024</v>
      </c>
      <c r="D992" s="104" t="s">
        <v>109</v>
      </c>
      <c r="E992" s="104" t="s">
        <v>343</v>
      </c>
      <c r="K992" s="61">
        <v>4200</v>
      </c>
      <c r="L992" s="49">
        <f t="shared" si="62"/>
        <v>25800</v>
      </c>
      <c r="M992" s="50">
        <f t="shared" si="63"/>
        <v>0</v>
      </c>
    </row>
    <row r="993" spans="1:13" x14ac:dyDescent="0.25">
      <c r="A993" s="134">
        <v>45357</v>
      </c>
      <c r="B993" s="24">
        <f t="shared" si="60"/>
        <v>3</v>
      </c>
      <c r="C993" s="24">
        <f t="shared" si="61"/>
        <v>2024</v>
      </c>
      <c r="D993" s="135" t="s">
        <v>384</v>
      </c>
      <c r="E993" s="135" t="s">
        <v>343</v>
      </c>
      <c r="F993" s="135"/>
      <c r="G993" s="135"/>
      <c r="H993" s="136"/>
      <c r="I993" s="136"/>
      <c r="J993" s="137">
        <v>4200</v>
      </c>
      <c r="K993" s="137"/>
      <c r="L993" s="49">
        <f t="shared" si="62"/>
        <v>30000</v>
      </c>
      <c r="M993" s="50">
        <f t="shared" si="63"/>
        <v>0</v>
      </c>
    </row>
    <row r="994" spans="1:13" x14ac:dyDescent="0.25">
      <c r="A994" s="54">
        <v>45358</v>
      </c>
      <c r="B994" s="24">
        <f t="shared" si="60"/>
        <v>3</v>
      </c>
      <c r="C994" s="24">
        <f t="shared" si="61"/>
        <v>2024</v>
      </c>
      <c r="D994" s="104" t="s">
        <v>384</v>
      </c>
      <c r="E994" s="104" t="s">
        <v>343</v>
      </c>
      <c r="J994" s="61">
        <v>39500</v>
      </c>
      <c r="L994" s="49">
        <f t="shared" si="62"/>
        <v>69500</v>
      </c>
      <c r="M994" s="50">
        <f t="shared" si="63"/>
        <v>0</v>
      </c>
    </row>
    <row r="995" spans="1:13" x14ac:dyDescent="0.25">
      <c r="A995" s="54">
        <v>45358</v>
      </c>
      <c r="B995" s="24">
        <f t="shared" si="60"/>
        <v>3</v>
      </c>
      <c r="C995" s="24">
        <f t="shared" si="61"/>
        <v>2024</v>
      </c>
      <c r="D995" s="104" t="s">
        <v>109</v>
      </c>
      <c r="E995" s="104" t="s">
        <v>343</v>
      </c>
      <c r="F995" s="104" t="s">
        <v>780</v>
      </c>
      <c r="K995" s="61">
        <v>39500</v>
      </c>
      <c r="L995" s="49">
        <f t="shared" si="62"/>
        <v>30000</v>
      </c>
      <c r="M995" s="50">
        <f t="shared" si="63"/>
        <v>0</v>
      </c>
    </row>
    <row r="996" spans="1:13" x14ac:dyDescent="0.25">
      <c r="A996" s="54">
        <v>45358</v>
      </c>
      <c r="B996" s="24">
        <f t="shared" si="60"/>
        <v>3</v>
      </c>
      <c r="C996" s="24">
        <f t="shared" si="61"/>
        <v>2024</v>
      </c>
      <c r="D996" s="104" t="s">
        <v>384</v>
      </c>
      <c r="E996" s="104" t="s">
        <v>343</v>
      </c>
      <c r="J996" s="61">
        <v>16500</v>
      </c>
      <c r="L996" s="49">
        <f t="shared" si="62"/>
        <v>46500</v>
      </c>
      <c r="M996" s="50">
        <f t="shared" si="63"/>
        <v>0</v>
      </c>
    </row>
    <row r="997" spans="1:13" x14ac:dyDescent="0.25">
      <c r="A997" s="54">
        <v>45358</v>
      </c>
      <c r="B997" s="24">
        <f t="shared" si="60"/>
        <v>3</v>
      </c>
      <c r="C997" s="24">
        <f t="shared" si="61"/>
        <v>2024</v>
      </c>
      <c r="D997" s="104" t="s">
        <v>109</v>
      </c>
      <c r="E997" s="104" t="s">
        <v>343</v>
      </c>
      <c r="F997" s="104" t="s">
        <v>574</v>
      </c>
      <c r="K997" s="61">
        <v>16500</v>
      </c>
      <c r="L997" s="49">
        <f t="shared" si="62"/>
        <v>30000</v>
      </c>
      <c r="M997" s="50">
        <f t="shared" si="63"/>
        <v>0</v>
      </c>
    </row>
    <row r="998" spans="1:13" x14ac:dyDescent="0.25">
      <c r="A998" s="54">
        <v>45358</v>
      </c>
      <c r="B998" s="24">
        <f t="shared" si="60"/>
        <v>3</v>
      </c>
      <c r="C998" s="24">
        <f t="shared" si="61"/>
        <v>2024</v>
      </c>
      <c r="D998" s="104" t="s">
        <v>109</v>
      </c>
      <c r="E998" s="104" t="s">
        <v>343</v>
      </c>
      <c r="F998" s="104" t="s">
        <v>354</v>
      </c>
      <c r="K998" s="61">
        <v>3400</v>
      </c>
      <c r="L998" s="49">
        <f t="shared" si="62"/>
        <v>26600</v>
      </c>
      <c r="M998" s="50">
        <f t="shared" si="63"/>
        <v>0</v>
      </c>
    </row>
    <row r="999" spans="1:13" x14ac:dyDescent="0.25">
      <c r="A999" s="54">
        <v>45358</v>
      </c>
      <c r="B999" s="24">
        <f t="shared" si="60"/>
        <v>3</v>
      </c>
      <c r="C999" s="24">
        <f t="shared" si="61"/>
        <v>2024</v>
      </c>
      <c r="D999" s="104" t="s">
        <v>384</v>
      </c>
      <c r="E999" s="104" t="s">
        <v>343</v>
      </c>
      <c r="J999" s="61">
        <v>5160</v>
      </c>
      <c r="L999" s="49">
        <f t="shared" si="62"/>
        <v>31760</v>
      </c>
      <c r="M999" s="50">
        <f t="shared" si="63"/>
        <v>0</v>
      </c>
    </row>
    <row r="1000" spans="1:13" x14ac:dyDescent="0.25">
      <c r="A1000" s="54">
        <v>45358</v>
      </c>
      <c r="B1000" s="24">
        <f t="shared" si="60"/>
        <v>3</v>
      </c>
      <c r="C1000" s="24">
        <f t="shared" si="61"/>
        <v>2024</v>
      </c>
      <c r="D1000" s="104" t="s">
        <v>502</v>
      </c>
      <c r="E1000" s="104" t="s">
        <v>343</v>
      </c>
      <c r="K1000" s="61">
        <v>5160</v>
      </c>
      <c r="L1000" s="49">
        <f t="shared" si="62"/>
        <v>26600</v>
      </c>
      <c r="M1000" s="50">
        <f t="shared" si="63"/>
        <v>0</v>
      </c>
    </row>
    <row r="1001" spans="1:13" x14ac:dyDescent="0.25">
      <c r="A1001" s="134">
        <v>45358</v>
      </c>
      <c r="B1001" s="24">
        <f t="shared" si="60"/>
        <v>3</v>
      </c>
      <c r="C1001" s="24">
        <f t="shared" si="61"/>
        <v>2024</v>
      </c>
      <c r="D1001" s="135" t="s">
        <v>384</v>
      </c>
      <c r="E1001" s="135" t="s">
        <v>343</v>
      </c>
      <c r="F1001" s="135"/>
      <c r="G1001" s="135"/>
      <c r="H1001" s="136"/>
      <c r="I1001" s="136"/>
      <c r="J1001" s="137">
        <v>3400</v>
      </c>
      <c r="L1001" s="49">
        <f t="shared" si="62"/>
        <v>30000</v>
      </c>
      <c r="M1001" s="50">
        <f t="shared" si="63"/>
        <v>0</v>
      </c>
    </row>
    <row r="1002" spans="1:13" x14ac:dyDescent="0.25">
      <c r="A1002" s="54">
        <v>45359</v>
      </c>
      <c r="B1002" s="24">
        <f t="shared" si="60"/>
        <v>3</v>
      </c>
      <c r="C1002" s="24">
        <f t="shared" si="61"/>
        <v>2024</v>
      </c>
      <c r="D1002" s="104" t="s">
        <v>352</v>
      </c>
      <c r="E1002" s="104" t="s">
        <v>343</v>
      </c>
      <c r="F1002" s="104" t="s">
        <v>783</v>
      </c>
      <c r="J1002" s="61">
        <v>66000</v>
      </c>
      <c r="L1002" s="49">
        <f t="shared" si="62"/>
        <v>96000</v>
      </c>
      <c r="M1002" s="50">
        <f t="shared" si="63"/>
        <v>0</v>
      </c>
    </row>
    <row r="1003" spans="1:13" x14ac:dyDescent="0.25">
      <c r="A1003" s="54">
        <v>45359</v>
      </c>
      <c r="B1003" s="24">
        <f t="shared" si="60"/>
        <v>3</v>
      </c>
      <c r="C1003" s="24">
        <f t="shared" si="61"/>
        <v>2024</v>
      </c>
      <c r="D1003" s="104" t="s">
        <v>352</v>
      </c>
      <c r="E1003" s="104" t="s">
        <v>343</v>
      </c>
      <c r="F1003" s="104" t="s">
        <v>540</v>
      </c>
      <c r="J1003" s="61">
        <v>100000</v>
      </c>
      <c r="L1003" s="49">
        <f t="shared" si="62"/>
        <v>196000</v>
      </c>
      <c r="M1003" s="50">
        <f t="shared" si="63"/>
        <v>0</v>
      </c>
    </row>
    <row r="1004" spans="1:13" x14ac:dyDescent="0.25">
      <c r="A1004" s="54">
        <v>45359</v>
      </c>
      <c r="B1004" s="24">
        <f t="shared" si="60"/>
        <v>3</v>
      </c>
      <c r="C1004" s="24">
        <f t="shared" si="61"/>
        <v>2024</v>
      </c>
      <c r="D1004" s="104" t="s">
        <v>110</v>
      </c>
      <c r="E1004" s="104" t="s">
        <v>343</v>
      </c>
      <c r="J1004" s="61">
        <v>1000</v>
      </c>
      <c r="L1004" s="49">
        <f t="shared" si="62"/>
        <v>197000</v>
      </c>
      <c r="M1004" s="50">
        <f t="shared" si="63"/>
        <v>0</v>
      </c>
    </row>
    <row r="1005" spans="1:13" x14ac:dyDescent="0.25">
      <c r="A1005" s="54">
        <v>45359</v>
      </c>
      <c r="B1005" s="24">
        <f t="shared" si="60"/>
        <v>3</v>
      </c>
      <c r="C1005" s="24">
        <f t="shared" si="61"/>
        <v>2024</v>
      </c>
      <c r="D1005" s="104" t="s">
        <v>501</v>
      </c>
      <c r="E1005" s="104" t="s">
        <v>343</v>
      </c>
      <c r="F1005" s="104" t="s">
        <v>568</v>
      </c>
      <c r="K1005" s="61">
        <v>130000</v>
      </c>
      <c r="L1005" s="49">
        <f t="shared" si="62"/>
        <v>67000</v>
      </c>
      <c r="M1005" s="50">
        <f t="shared" si="63"/>
        <v>0</v>
      </c>
    </row>
    <row r="1006" spans="1:13" x14ac:dyDescent="0.25">
      <c r="A1006" s="66">
        <v>45359</v>
      </c>
      <c r="B1006" s="24">
        <f t="shared" si="60"/>
        <v>3</v>
      </c>
      <c r="C1006" s="24">
        <f t="shared" si="61"/>
        <v>2024</v>
      </c>
      <c r="D1006" s="109" t="s">
        <v>361</v>
      </c>
      <c r="E1006" s="109" t="s">
        <v>343</v>
      </c>
      <c r="F1006" s="109"/>
      <c r="G1006" s="109"/>
      <c r="H1006" s="14"/>
      <c r="I1006" s="14"/>
      <c r="J1006" s="118">
        <v>100000</v>
      </c>
      <c r="K1006" s="118"/>
      <c r="L1006" s="49">
        <f t="shared" si="62"/>
        <v>167000</v>
      </c>
      <c r="M1006" s="50">
        <f t="shared" si="63"/>
        <v>0</v>
      </c>
    </row>
    <row r="1007" spans="1:13" x14ac:dyDescent="0.25">
      <c r="A1007" s="54">
        <v>45359</v>
      </c>
      <c r="B1007" s="24">
        <f t="shared" si="60"/>
        <v>3</v>
      </c>
      <c r="C1007" s="24">
        <f t="shared" si="61"/>
        <v>2024</v>
      </c>
      <c r="D1007" s="104" t="s">
        <v>501</v>
      </c>
      <c r="E1007" s="104" t="s">
        <v>343</v>
      </c>
      <c r="F1007" s="104" t="s">
        <v>567</v>
      </c>
      <c r="K1007" s="61">
        <v>100000</v>
      </c>
      <c r="L1007" s="49">
        <f t="shared" si="62"/>
        <v>67000</v>
      </c>
      <c r="M1007" s="50">
        <f t="shared" si="63"/>
        <v>0</v>
      </c>
    </row>
    <row r="1008" spans="1:13" x14ac:dyDescent="0.25">
      <c r="A1008" s="54">
        <v>45359</v>
      </c>
      <c r="B1008" s="24">
        <f t="shared" si="60"/>
        <v>3</v>
      </c>
      <c r="C1008" s="24">
        <f t="shared" si="61"/>
        <v>2024</v>
      </c>
      <c r="D1008" s="104" t="s">
        <v>352</v>
      </c>
      <c r="E1008" s="104" t="s">
        <v>343</v>
      </c>
      <c r="F1008" s="104" t="s">
        <v>788</v>
      </c>
      <c r="J1008" s="61">
        <v>39100</v>
      </c>
      <c r="L1008" s="49">
        <f t="shared" si="62"/>
        <v>106100</v>
      </c>
      <c r="M1008" s="50">
        <f t="shared" si="63"/>
        <v>0</v>
      </c>
    </row>
    <row r="1009" spans="1:13" x14ac:dyDescent="0.25">
      <c r="A1009" s="80">
        <v>45359</v>
      </c>
      <c r="B1009" s="24">
        <f t="shared" si="60"/>
        <v>3</v>
      </c>
      <c r="C1009" s="24">
        <f t="shared" si="61"/>
        <v>2024</v>
      </c>
      <c r="D1009" s="107" t="s">
        <v>361</v>
      </c>
      <c r="E1009" s="107" t="s">
        <v>343</v>
      </c>
      <c r="F1009" s="107"/>
      <c r="G1009" s="107"/>
      <c r="H1009" s="81"/>
      <c r="I1009" s="81"/>
      <c r="J1009" s="52"/>
      <c r="K1009" s="52">
        <v>76100</v>
      </c>
      <c r="L1009" s="49">
        <f t="shared" si="62"/>
        <v>30000</v>
      </c>
      <c r="M1009" s="50">
        <f t="shared" si="63"/>
        <v>0</v>
      </c>
    </row>
    <row r="1010" spans="1:13" x14ac:dyDescent="0.25">
      <c r="A1010" s="54">
        <v>45362</v>
      </c>
      <c r="B1010" s="24">
        <f t="shared" si="60"/>
        <v>3</v>
      </c>
      <c r="C1010" s="24">
        <f t="shared" si="61"/>
        <v>2024</v>
      </c>
      <c r="D1010" s="104" t="s">
        <v>352</v>
      </c>
      <c r="E1010" s="104" t="s">
        <v>343</v>
      </c>
      <c r="F1010" s="104" t="s">
        <v>427</v>
      </c>
      <c r="J1010" s="61">
        <v>100000</v>
      </c>
      <c r="L1010" s="49">
        <f t="shared" si="62"/>
        <v>130000</v>
      </c>
      <c r="M1010" s="50">
        <f t="shared" si="63"/>
        <v>0</v>
      </c>
    </row>
    <row r="1011" spans="1:13" x14ac:dyDescent="0.25">
      <c r="A1011" s="66">
        <v>45362</v>
      </c>
      <c r="B1011" s="24">
        <f t="shared" si="60"/>
        <v>3</v>
      </c>
      <c r="C1011" s="24">
        <f t="shared" si="61"/>
        <v>2024</v>
      </c>
      <c r="D1011" s="109" t="s">
        <v>352</v>
      </c>
      <c r="E1011" s="109" t="s">
        <v>343</v>
      </c>
      <c r="F1011" s="109" t="s">
        <v>797</v>
      </c>
      <c r="G1011" s="109"/>
      <c r="H1011" s="14"/>
      <c r="I1011" s="14"/>
      <c r="J1011" s="118">
        <v>41200</v>
      </c>
      <c r="K1011" s="118"/>
      <c r="L1011" s="49">
        <f t="shared" si="62"/>
        <v>171200</v>
      </c>
      <c r="M1011" s="50">
        <f t="shared" si="63"/>
        <v>0</v>
      </c>
    </row>
    <row r="1012" spans="1:13" x14ac:dyDescent="0.25">
      <c r="A1012" s="80">
        <v>45362</v>
      </c>
      <c r="B1012" s="24">
        <f t="shared" si="60"/>
        <v>3</v>
      </c>
      <c r="C1012" s="24">
        <f t="shared" si="61"/>
        <v>2024</v>
      </c>
      <c r="D1012" s="107" t="s">
        <v>122</v>
      </c>
      <c r="E1012" s="107" t="s">
        <v>343</v>
      </c>
      <c r="F1012" s="107"/>
      <c r="G1012" s="107"/>
      <c r="H1012" s="81"/>
      <c r="I1012" s="81"/>
      <c r="J1012" s="52"/>
      <c r="K1012" s="52">
        <v>141200</v>
      </c>
      <c r="L1012" s="49">
        <f t="shared" si="62"/>
        <v>30000</v>
      </c>
      <c r="M1012" s="50">
        <f t="shared" si="63"/>
        <v>0</v>
      </c>
    </row>
    <row r="1013" spans="1:13" x14ac:dyDescent="0.25">
      <c r="A1013" s="54">
        <v>45363</v>
      </c>
      <c r="B1013" s="24">
        <f t="shared" si="60"/>
        <v>3</v>
      </c>
      <c r="C1013" s="24">
        <f t="shared" si="61"/>
        <v>2024</v>
      </c>
      <c r="D1013" s="104" t="s">
        <v>352</v>
      </c>
      <c r="E1013" s="104" t="s">
        <v>343</v>
      </c>
      <c r="F1013" s="104" t="s">
        <v>540</v>
      </c>
      <c r="J1013" s="61">
        <v>42500</v>
      </c>
      <c r="L1013" s="49">
        <f t="shared" si="62"/>
        <v>72500</v>
      </c>
      <c r="M1013" s="50">
        <f t="shared" si="63"/>
        <v>0</v>
      </c>
    </row>
    <row r="1014" spans="1:13" x14ac:dyDescent="0.25">
      <c r="A1014" s="54">
        <v>45363</v>
      </c>
      <c r="B1014" s="24">
        <f t="shared" si="60"/>
        <v>3</v>
      </c>
      <c r="C1014" s="24">
        <f t="shared" si="61"/>
        <v>2024</v>
      </c>
      <c r="D1014" s="104" t="s">
        <v>352</v>
      </c>
      <c r="E1014" s="104" t="s">
        <v>343</v>
      </c>
      <c r="F1014" s="104" t="s">
        <v>798</v>
      </c>
      <c r="J1014" s="61">
        <v>99000</v>
      </c>
      <c r="L1014" s="49">
        <f t="shared" si="62"/>
        <v>171500</v>
      </c>
      <c r="M1014" s="50">
        <f t="shared" si="63"/>
        <v>0</v>
      </c>
    </row>
    <row r="1015" spans="1:13" x14ac:dyDescent="0.25">
      <c r="A1015" s="54">
        <v>45363</v>
      </c>
      <c r="B1015" s="24">
        <f t="shared" si="60"/>
        <v>3</v>
      </c>
      <c r="C1015" s="24">
        <f t="shared" si="61"/>
        <v>2024</v>
      </c>
      <c r="D1015" s="104" t="s">
        <v>384</v>
      </c>
      <c r="E1015" s="104" t="s">
        <v>343</v>
      </c>
      <c r="J1015" s="61">
        <v>36000</v>
      </c>
      <c r="L1015" s="49">
        <f t="shared" si="62"/>
        <v>207500</v>
      </c>
      <c r="M1015" s="50">
        <f t="shared" si="63"/>
        <v>0</v>
      </c>
    </row>
    <row r="1016" spans="1:13" x14ac:dyDescent="0.25">
      <c r="A1016" s="54">
        <v>45363</v>
      </c>
      <c r="B1016" s="24">
        <f t="shared" si="60"/>
        <v>3</v>
      </c>
      <c r="C1016" s="24">
        <f t="shared" si="61"/>
        <v>2024</v>
      </c>
      <c r="D1016" s="104" t="s">
        <v>28</v>
      </c>
      <c r="E1016" s="104" t="s">
        <v>343</v>
      </c>
      <c r="K1016" s="61">
        <v>36000</v>
      </c>
      <c r="L1016" s="49">
        <f t="shared" si="62"/>
        <v>171500</v>
      </c>
      <c r="M1016" s="50">
        <f t="shared" si="63"/>
        <v>0</v>
      </c>
    </row>
    <row r="1017" spans="1:13" x14ac:dyDescent="0.25">
      <c r="A1017" s="54">
        <v>45363</v>
      </c>
      <c r="B1017" s="24">
        <f t="shared" si="60"/>
        <v>3</v>
      </c>
      <c r="C1017" s="24">
        <f t="shared" si="61"/>
        <v>2024</v>
      </c>
      <c r="D1017" s="104" t="s">
        <v>352</v>
      </c>
      <c r="E1017" s="104" t="s">
        <v>343</v>
      </c>
      <c r="F1017" s="104" t="s">
        <v>799</v>
      </c>
      <c r="J1017" s="61">
        <v>100000</v>
      </c>
      <c r="L1017" s="49">
        <f t="shared" si="62"/>
        <v>271500</v>
      </c>
      <c r="M1017" s="50">
        <f t="shared" si="63"/>
        <v>0</v>
      </c>
    </row>
    <row r="1018" spans="1:13" x14ac:dyDescent="0.25">
      <c r="A1018" s="54">
        <v>45363</v>
      </c>
      <c r="B1018" s="24">
        <f t="shared" si="60"/>
        <v>3</v>
      </c>
      <c r="C1018" s="24">
        <f t="shared" si="61"/>
        <v>2024</v>
      </c>
      <c r="D1018" s="104" t="s">
        <v>352</v>
      </c>
      <c r="E1018" s="104" t="s">
        <v>343</v>
      </c>
      <c r="F1018" s="104" t="s">
        <v>652</v>
      </c>
      <c r="J1018" s="61">
        <v>133800</v>
      </c>
      <c r="L1018" s="49">
        <f t="shared" si="62"/>
        <v>405300</v>
      </c>
      <c r="M1018" s="50">
        <f t="shared" si="63"/>
        <v>0</v>
      </c>
    </row>
    <row r="1019" spans="1:13" x14ac:dyDescent="0.25">
      <c r="A1019" s="80">
        <v>45363</v>
      </c>
      <c r="B1019" s="24">
        <f t="shared" si="60"/>
        <v>3</v>
      </c>
      <c r="C1019" s="24">
        <f t="shared" si="61"/>
        <v>2024</v>
      </c>
      <c r="D1019" s="107" t="s">
        <v>361</v>
      </c>
      <c r="E1019" s="107" t="s">
        <v>343</v>
      </c>
      <c r="F1019" s="107"/>
      <c r="G1019" s="107"/>
      <c r="H1019" s="81"/>
      <c r="I1019" s="81"/>
      <c r="J1019" s="52"/>
      <c r="K1019" s="52">
        <v>375300</v>
      </c>
      <c r="L1019" s="49">
        <f t="shared" si="62"/>
        <v>30000</v>
      </c>
      <c r="M1019" s="50">
        <f t="shared" si="63"/>
        <v>0</v>
      </c>
    </row>
    <row r="1020" spans="1:13" x14ac:dyDescent="0.25">
      <c r="A1020" s="54">
        <v>45364</v>
      </c>
      <c r="B1020" s="24">
        <f t="shared" si="60"/>
        <v>3</v>
      </c>
      <c r="C1020" s="24">
        <f t="shared" si="61"/>
        <v>2024</v>
      </c>
      <c r="D1020" s="104" t="s">
        <v>352</v>
      </c>
      <c r="E1020" s="104" t="s">
        <v>343</v>
      </c>
      <c r="F1020" s="104" t="s">
        <v>783</v>
      </c>
      <c r="J1020" s="61">
        <v>50000</v>
      </c>
      <c r="L1020" s="49">
        <f t="shared" si="62"/>
        <v>80000</v>
      </c>
      <c r="M1020" s="50">
        <f t="shared" si="63"/>
        <v>0</v>
      </c>
    </row>
    <row r="1021" spans="1:13" x14ac:dyDescent="0.25">
      <c r="A1021" s="54">
        <v>45364</v>
      </c>
      <c r="B1021" s="24">
        <f t="shared" si="60"/>
        <v>3</v>
      </c>
      <c r="C1021" s="24">
        <f t="shared" si="61"/>
        <v>2024</v>
      </c>
      <c r="D1021" s="104" t="s">
        <v>352</v>
      </c>
      <c r="E1021" s="104" t="s">
        <v>343</v>
      </c>
      <c r="F1021" s="104" t="s">
        <v>802</v>
      </c>
      <c r="J1021" s="61">
        <v>104800</v>
      </c>
      <c r="L1021" s="49">
        <f t="shared" si="62"/>
        <v>184800</v>
      </c>
      <c r="M1021" s="50">
        <f t="shared" si="63"/>
        <v>0</v>
      </c>
    </row>
    <row r="1022" spans="1:13" x14ac:dyDescent="0.25">
      <c r="A1022" s="54">
        <v>45364</v>
      </c>
      <c r="B1022" s="24">
        <f t="shared" si="60"/>
        <v>3</v>
      </c>
      <c r="C1022" s="24">
        <f t="shared" si="61"/>
        <v>2024</v>
      </c>
      <c r="D1022" s="104" t="s">
        <v>112</v>
      </c>
      <c r="E1022" s="104" t="s">
        <v>343</v>
      </c>
      <c r="K1022" s="61">
        <v>12000</v>
      </c>
      <c r="L1022" s="49">
        <f t="shared" si="62"/>
        <v>172800</v>
      </c>
      <c r="M1022" s="50">
        <f t="shared" si="63"/>
        <v>0</v>
      </c>
    </row>
    <row r="1023" spans="1:13" x14ac:dyDescent="0.25">
      <c r="A1023" s="54">
        <v>45364</v>
      </c>
      <c r="B1023" s="24">
        <f t="shared" si="60"/>
        <v>3</v>
      </c>
      <c r="C1023" s="24">
        <f t="shared" si="61"/>
        <v>2024</v>
      </c>
      <c r="D1023" s="104" t="s">
        <v>92</v>
      </c>
      <c r="E1023" s="104" t="s">
        <v>92</v>
      </c>
      <c r="F1023" s="104" t="s">
        <v>359</v>
      </c>
      <c r="K1023" s="61">
        <v>10000</v>
      </c>
      <c r="L1023" s="49">
        <f t="shared" si="62"/>
        <v>162800</v>
      </c>
      <c r="M1023" s="50">
        <f t="shared" si="63"/>
        <v>0</v>
      </c>
    </row>
    <row r="1024" spans="1:13" x14ac:dyDescent="0.25">
      <c r="A1024" s="54">
        <v>45364</v>
      </c>
      <c r="B1024" s="24">
        <f t="shared" si="60"/>
        <v>3</v>
      </c>
      <c r="C1024" s="24">
        <f t="shared" si="61"/>
        <v>2024</v>
      </c>
      <c r="D1024" s="104" t="s">
        <v>352</v>
      </c>
      <c r="E1024" s="104" t="s">
        <v>343</v>
      </c>
      <c r="F1024" s="104" t="s">
        <v>298</v>
      </c>
      <c r="J1024" s="61">
        <v>69500</v>
      </c>
      <c r="L1024" s="49">
        <f t="shared" si="62"/>
        <v>232300</v>
      </c>
      <c r="M1024" s="50">
        <f t="shared" si="63"/>
        <v>0</v>
      </c>
    </row>
    <row r="1025" spans="1:13" x14ac:dyDescent="0.25">
      <c r="A1025" s="54">
        <v>45364</v>
      </c>
      <c r="B1025" s="24">
        <f t="shared" si="60"/>
        <v>3</v>
      </c>
      <c r="C1025" s="24">
        <f t="shared" si="61"/>
        <v>2024</v>
      </c>
      <c r="D1025" s="104" t="s">
        <v>352</v>
      </c>
      <c r="E1025" s="104" t="s">
        <v>343</v>
      </c>
      <c r="F1025" s="104" t="s">
        <v>804</v>
      </c>
      <c r="J1025" s="61">
        <v>300000</v>
      </c>
      <c r="L1025" s="49">
        <f t="shared" si="62"/>
        <v>532300</v>
      </c>
      <c r="M1025" s="50">
        <f t="shared" si="63"/>
        <v>0</v>
      </c>
    </row>
    <row r="1026" spans="1:13" x14ac:dyDescent="0.25">
      <c r="A1026" s="54">
        <v>45364</v>
      </c>
      <c r="B1026" s="24">
        <f t="shared" si="60"/>
        <v>3</v>
      </c>
      <c r="C1026" s="24">
        <f t="shared" si="61"/>
        <v>2024</v>
      </c>
      <c r="D1026" s="104" t="s">
        <v>352</v>
      </c>
      <c r="E1026" s="104" t="s">
        <v>343</v>
      </c>
      <c r="F1026" s="104" t="s">
        <v>456</v>
      </c>
      <c r="J1026" s="61">
        <v>9500</v>
      </c>
      <c r="L1026" s="49">
        <f t="shared" si="62"/>
        <v>541800</v>
      </c>
      <c r="M1026" s="50">
        <f t="shared" si="63"/>
        <v>0</v>
      </c>
    </row>
    <row r="1027" spans="1:13" x14ac:dyDescent="0.25">
      <c r="A1027" s="80">
        <v>45364</v>
      </c>
      <c r="B1027" s="24">
        <f t="shared" ref="B1027:B1090" si="64">MONTH(A1027)</f>
        <v>3</v>
      </c>
      <c r="C1027" s="24">
        <f t="shared" ref="C1027:C1090" si="65">YEAR(A1027)</f>
        <v>2024</v>
      </c>
      <c r="D1027" s="107" t="s">
        <v>361</v>
      </c>
      <c r="E1027" s="107" t="s">
        <v>343</v>
      </c>
      <c r="F1027" s="107"/>
      <c r="G1027" s="107"/>
      <c r="H1027" s="81"/>
      <c r="I1027" s="81"/>
      <c r="J1027" s="52"/>
      <c r="K1027" s="52">
        <v>511800</v>
      </c>
      <c r="L1027" s="49">
        <f t="shared" si="62"/>
        <v>30000</v>
      </c>
      <c r="M1027" s="50">
        <f t="shared" si="63"/>
        <v>0</v>
      </c>
    </row>
    <row r="1028" spans="1:13" x14ac:dyDescent="0.25">
      <c r="A1028" s="54">
        <v>45365</v>
      </c>
      <c r="B1028" s="24">
        <f t="shared" si="64"/>
        <v>3</v>
      </c>
      <c r="C1028" s="24">
        <f t="shared" si="65"/>
        <v>2024</v>
      </c>
      <c r="D1028" s="104" t="s">
        <v>109</v>
      </c>
      <c r="E1028" s="104" t="s">
        <v>343</v>
      </c>
      <c r="F1028" s="104" t="s">
        <v>354</v>
      </c>
      <c r="K1028" s="61">
        <v>3400</v>
      </c>
      <c r="L1028" s="49">
        <f t="shared" ref="L1028:L1091" si="66">IF((L1027+M1027+J1028-K1028)&gt;0,(L1027+M1027+J1028-K1028),0)</f>
        <v>26600</v>
      </c>
      <c r="M1028" s="50">
        <f t="shared" ref="M1028:M1091" si="67">IF((L1027+M1027+J1028-K1028)&lt;0,(L1027+M1027+J1028-K1028),0)</f>
        <v>0</v>
      </c>
    </row>
    <row r="1029" spans="1:13" x14ac:dyDescent="0.25">
      <c r="A1029" s="54">
        <v>45365</v>
      </c>
      <c r="B1029" s="24">
        <f t="shared" si="64"/>
        <v>3</v>
      </c>
      <c r="C1029" s="24">
        <f t="shared" si="65"/>
        <v>2024</v>
      </c>
      <c r="D1029" s="104" t="s">
        <v>109</v>
      </c>
      <c r="E1029" s="104" t="s">
        <v>343</v>
      </c>
      <c r="F1029" s="104" t="s">
        <v>204</v>
      </c>
      <c r="K1029" s="61">
        <v>5500</v>
      </c>
      <c r="L1029" s="49">
        <f t="shared" si="66"/>
        <v>21100</v>
      </c>
      <c r="M1029" s="50">
        <f t="shared" si="67"/>
        <v>0</v>
      </c>
    </row>
    <row r="1030" spans="1:13" x14ac:dyDescent="0.25">
      <c r="A1030" s="54">
        <v>45365</v>
      </c>
      <c r="B1030" s="24">
        <f t="shared" si="64"/>
        <v>3</v>
      </c>
      <c r="C1030" s="24">
        <f t="shared" si="65"/>
        <v>2024</v>
      </c>
      <c r="D1030" s="104" t="s">
        <v>352</v>
      </c>
      <c r="E1030" s="104" t="s">
        <v>343</v>
      </c>
      <c r="J1030" s="61">
        <v>9500</v>
      </c>
      <c r="L1030" s="49">
        <f t="shared" si="66"/>
        <v>30600</v>
      </c>
      <c r="M1030" s="50">
        <f t="shared" si="67"/>
        <v>0</v>
      </c>
    </row>
    <row r="1031" spans="1:13" x14ac:dyDescent="0.25">
      <c r="A1031" s="66">
        <v>45365</v>
      </c>
      <c r="B1031" s="24">
        <f t="shared" si="64"/>
        <v>3</v>
      </c>
      <c r="C1031" s="24">
        <f t="shared" si="65"/>
        <v>2024</v>
      </c>
      <c r="D1031" s="109" t="s">
        <v>110</v>
      </c>
      <c r="E1031" s="109" t="s">
        <v>343</v>
      </c>
      <c r="F1031" s="109"/>
      <c r="G1031" s="109"/>
      <c r="H1031" s="14"/>
      <c r="I1031" s="14"/>
      <c r="J1031" s="118">
        <v>50000</v>
      </c>
      <c r="K1031" s="118"/>
      <c r="L1031" s="49">
        <f t="shared" si="66"/>
        <v>80600</v>
      </c>
      <c r="M1031" s="50">
        <f t="shared" si="67"/>
        <v>0</v>
      </c>
    </row>
    <row r="1032" spans="1:13" x14ac:dyDescent="0.25">
      <c r="A1032" s="80">
        <v>45365</v>
      </c>
      <c r="B1032" s="24">
        <f t="shared" si="64"/>
        <v>3</v>
      </c>
      <c r="C1032" s="24">
        <f t="shared" si="65"/>
        <v>2024</v>
      </c>
      <c r="D1032" s="107" t="s">
        <v>122</v>
      </c>
      <c r="E1032" s="107" t="s">
        <v>343</v>
      </c>
      <c r="F1032" s="107"/>
      <c r="G1032" s="107"/>
      <c r="H1032" s="81"/>
      <c r="I1032" s="81"/>
      <c r="J1032" s="52"/>
      <c r="K1032" s="52">
        <v>50600</v>
      </c>
      <c r="L1032" s="49">
        <f t="shared" si="66"/>
        <v>30000</v>
      </c>
      <c r="M1032" s="50">
        <f t="shared" si="67"/>
        <v>0</v>
      </c>
    </row>
    <row r="1033" spans="1:13" x14ac:dyDescent="0.25">
      <c r="A1033" s="54">
        <v>45366</v>
      </c>
      <c r="B1033" s="24">
        <f t="shared" si="64"/>
        <v>3</v>
      </c>
      <c r="C1033" s="24">
        <f t="shared" si="65"/>
        <v>2024</v>
      </c>
      <c r="D1033" s="104" t="s">
        <v>352</v>
      </c>
      <c r="E1033" s="104" t="s">
        <v>343</v>
      </c>
      <c r="F1033" s="104" t="s">
        <v>456</v>
      </c>
      <c r="J1033" s="61">
        <v>9500</v>
      </c>
      <c r="L1033" s="49">
        <f t="shared" si="66"/>
        <v>39500</v>
      </c>
      <c r="M1033" s="50">
        <f t="shared" si="67"/>
        <v>0</v>
      </c>
    </row>
    <row r="1034" spans="1:13" x14ac:dyDescent="0.25">
      <c r="A1034" s="54">
        <v>45366</v>
      </c>
      <c r="B1034" s="24">
        <f t="shared" si="64"/>
        <v>3</v>
      </c>
      <c r="C1034" s="24">
        <f t="shared" si="65"/>
        <v>2024</v>
      </c>
      <c r="D1034" s="104" t="s">
        <v>384</v>
      </c>
      <c r="E1034" s="104" t="s">
        <v>343</v>
      </c>
      <c r="J1034" s="61">
        <v>130000</v>
      </c>
      <c r="L1034" s="49">
        <f t="shared" si="66"/>
        <v>169500</v>
      </c>
      <c r="M1034" s="50">
        <f t="shared" si="67"/>
        <v>0</v>
      </c>
    </row>
    <row r="1035" spans="1:13" x14ac:dyDescent="0.25">
      <c r="A1035" s="54">
        <v>45366</v>
      </c>
      <c r="B1035" s="24">
        <f t="shared" si="64"/>
        <v>3</v>
      </c>
      <c r="C1035" s="24">
        <f t="shared" si="65"/>
        <v>2024</v>
      </c>
      <c r="D1035" s="104" t="s">
        <v>501</v>
      </c>
      <c r="E1035" s="104" t="s">
        <v>343</v>
      </c>
      <c r="F1035" s="104" t="s">
        <v>655</v>
      </c>
      <c r="K1035" s="61">
        <v>130000</v>
      </c>
      <c r="L1035" s="49">
        <f t="shared" si="66"/>
        <v>39500</v>
      </c>
      <c r="M1035" s="50">
        <f t="shared" si="67"/>
        <v>0</v>
      </c>
    </row>
    <row r="1036" spans="1:13" x14ac:dyDescent="0.25">
      <c r="A1036" s="80">
        <v>45366</v>
      </c>
      <c r="B1036" s="24">
        <f t="shared" si="64"/>
        <v>3</v>
      </c>
      <c r="C1036" s="24">
        <f t="shared" si="65"/>
        <v>2024</v>
      </c>
      <c r="D1036" s="107" t="s">
        <v>122</v>
      </c>
      <c r="E1036" s="107" t="s">
        <v>343</v>
      </c>
      <c r="F1036" s="107"/>
      <c r="G1036" s="107"/>
      <c r="H1036" s="81"/>
      <c r="I1036" s="81"/>
      <c r="J1036" s="52"/>
      <c r="K1036" s="52">
        <v>9500</v>
      </c>
      <c r="L1036" s="49">
        <f t="shared" si="66"/>
        <v>30000</v>
      </c>
      <c r="M1036" s="50">
        <f t="shared" si="67"/>
        <v>0</v>
      </c>
    </row>
    <row r="1037" spans="1:13" x14ac:dyDescent="0.25">
      <c r="A1037" s="54">
        <v>45369</v>
      </c>
      <c r="B1037" s="24">
        <f t="shared" si="64"/>
        <v>3</v>
      </c>
      <c r="C1037" s="24">
        <f t="shared" si="65"/>
        <v>2024</v>
      </c>
      <c r="D1037" s="104" t="s">
        <v>352</v>
      </c>
      <c r="E1037" s="104" t="s">
        <v>343</v>
      </c>
      <c r="F1037" s="104" t="s">
        <v>806</v>
      </c>
      <c r="J1037" s="61">
        <v>50000</v>
      </c>
      <c r="L1037" s="49">
        <f t="shared" si="66"/>
        <v>80000</v>
      </c>
      <c r="M1037" s="50">
        <f t="shared" si="67"/>
        <v>0</v>
      </c>
    </row>
    <row r="1038" spans="1:13" x14ac:dyDescent="0.25">
      <c r="A1038" s="54">
        <v>45369</v>
      </c>
      <c r="B1038" s="24">
        <f t="shared" si="64"/>
        <v>3</v>
      </c>
      <c r="C1038" s="24">
        <f t="shared" si="65"/>
        <v>2024</v>
      </c>
      <c r="D1038" s="104" t="s">
        <v>384</v>
      </c>
      <c r="E1038" s="104" t="s">
        <v>343</v>
      </c>
      <c r="J1038" s="61">
        <v>304760</v>
      </c>
      <c r="L1038" s="49">
        <f t="shared" si="66"/>
        <v>384760</v>
      </c>
      <c r="M1038" s="50">
        <f t="shared" si="67"/>
        <v>0</v>
      </c>
    </row>
    <row r="1039" spans="1:13" x14ac:dyDescent="0.25">
      <c r="A1039" s="54">
        <v>45369</v>
      </c>
      <c r="B1039" s="24">
        <f t="shared" si="64"/>
        <v>3</v>
      </c>
      <c r="C1039" s="24">
        <f t="shared" si="65"/>
        <v>2024</v>
      </c>
      <c r="D1039" s="104" t="s">
        <v>92</v>
      </c>
      <c r="E1039" s="104" t="s">
        <v>92</v>
      </c>
      <c r="F1039" s="104" t="s">
        <v>296</v>
      </c>
      <c r="K1039" s="61">
        <v>304760</v>
      </c>
      <c r="L1039" s="49">
        <f t="shared" si="66"/>
        <v>80000</v>
      </c>
      <c r="M1039" s="50">
        <f t="shared" si="67"/>
        <v>0</v>
      </c>
    </row>
    <row r="1040" spans="1:13" x14ac:dyDescent="0.25">
      <c r="A1040" s="54">
        <v>45369</v>
      </c>
      <c r="B1040" s="24">
        <f t="shared" si="64"/>
        <v>3</v>
      </c>
      <c r="C1040" s="24">
        <f t="shared" si="65"/>
        <v>2024</v>
      </c>
      <c r="D1040" s="104" t="s">
        <v>352</v>
      </c>
      <c r="E1040" s="104" t="s">
        <v>343</v>
      </c>
      <c r="F1040" s="104" t="s">
        <v>810</v>
      </c>
      <c r="J1040" s="61">
        <v>103000</v>
      </c>
      <c r="L1040" s="49">
        <f t="shared" si="66"/>
        <v>183000</v>
      </c>
      <c r="M1040" s="50">
        <f t="shared" si="67"/>
        <v>0</v>
      </c>
    </row>
    <row r="1041" spans="1:13" x14ac:dyDescent="0.25">
      <c r="A1041" s="54">
        <v>45369</v>
      </c>
      <c r="B1041" s="24">
        <f t="shared" si="64"/>
        <v>3</v>
      </c>
      <c r="C1041" s="24">
        <f t="shared" si="65"/>
        <v>2024</v>
      </c>
      <c r="D1041" s="104" t="s">
        <v>360</v>
      </c>
      <c r="E1041" s="104" t="s">
        <v>343</v>
      </c>
      <c r="K1041" s="61">
        <v>5000</v>
      </c>
      <c r="L1041" s="49">
        <f t="shared" si="66"/>
        <v>178000</v>
      </c>
      <c r="M1041" s="50">
        <f t="shared" si="67"/>
        <v>0</v>
      </c>
    </row>
    <row r="1042" spans="1:13" x14ac:dyDescent="0.25">
      <c r="A1042" s="54">
        <v>45369</v>
      </c>
      <c r="B1042" s="24">
        <f t="shared" si="64"/>
        <v>3</v>
      </c>
      <c r="C1042" s="24">
        <f t="shared" si="65"/>
        <v>2024</v>
      </c>
      <c r="D1042" s="104" t="s">
        <v>352</v>
      </c>
      <c r="E1042" s="104" t="s">
        <v>343</v>
      </c>
      <c r="F1042" s="104" t="s">
        <v>427</v>
      </c>
      <c r="J1042" s="61">
        <v>200000</v>
      </c>
      <c r="L1042" s="49">
        <f t="shared" si="66"/>
        <v>378000</v>
      </c>
      <c r="M1042" s="50">
        <f t="shared" si="67"/>
        <v>0</v>
      </c>
    </row>
    <row r="1043" spans="1:13" x14ac:dyDescent="0.25">
      <c r="A1043" s="80">
        <v>45369</v>
      </c>
      <c r="B1043" s="24">
        <f t="shared" si="64"/>
        <v>3</v>
      </c>
      <c r="C1043" s="24">
        <f t="shared" si="65"/>
        <v>2024</v>
      </c>
      <c r="D1043" s="107" t="s">
        <v>122</v>
      </c>
      <c r="E1043" s="107" t="s">
        <v>343</v>
      </c>
      <c r="F1043" s="107"/>
      <c r="G1043" s="107"/>
      <c r="H1043" s="81"/>
      <c r="I1043" s="81"/>
      <c r="J1043" s="52"/>
      <c r="K1043" s="52">
        <v>348000</v>
      </c>
      <c r="L1043" s="49">
        <f t="shared" si="66"/>
        <v>30000</v>
      </c>
      <c r="M1043" s="50">
        <f t="shared" si="67"/>
        <v>0</v>
      </c>
    </row>
    <row r="1044" spans="1:13" x14ac:dyDescent="0.25">
      <c r="A1044" s="54">
        <v>45370</v>
      </c>
      <c r="B1044" s="24">
        <f t="shared" si="64"/>
        <v>3</v>
      </c>
      <c r="C1044" s="24">
        <f t="shared" si="65"/>
        <v>2024</v>
      </c>
      <c r="D1044" s="104" t="s">
        <v>352</v>
      </c>
      <c r="E1044" s="104" t="s">
        <v>93</v>
      </c>
      <c r="F1044" s="104" t="s">
        <v>804</v>
      </c>
      <c r="J1044" s="61">
        <v>160000</v>
      </c>
      <c r="L1044" s="49">
        <f t="shared" si="66"/>
        <v>190000</v>
      </c>
      <c r="M1044" s="50">
        <f t="shared" si="67"/>
        <v>0</v>
      </c>
    </row>
    <row r="1045" spans="1:13" x14ac:dyDescent="0.25">
      <c r="A1045" s="54">
        <v>45370</v>
      </c>
      <c r="B1045" s="24">
        <f t="shared" si="64"/>
        <v>3</v>
      </c>
      <c r="C1045" s="24">
        <f t="shared" si="65"/>
        <v>2024</v>
      </c>
      <c r="D1045" s="104" t="s">
        <v>109</v>
      </c>
      <c r="E1045" s="104" t="s">
        <v>343</v>
      </c>
      <c r="K1045" s="61">
        <v>7100</v>
      </c>
      <c r="L1045" s="49">
        <f t="shared" si="66"/>
        <v>182900</v>
      </c>
      <c r="M1045" s="50">
        <f t="shared" si="67"/>
        <v>0</v>
      </c>
    </row>
    <row r="1046" spans="1:13" x14ac:dyDescent="0.25">
      <c r="A1046" s="54">
        <v>45370</v>
      </c>
      <c r="B1046" s="24">
        <f t="shared" si="64"/>
        <v>3</v>
      </c>
      <c r="C1046" s="24">
        <f t="shared" si="65"/>
        <v>2024</v>
      </c>
      <c r="D1046" s="104" t="s">
        <v>109</v>
      </c>
      <c r="E1046" s="104" t="s">
        <v>343</v>
      </c>
      <c r="K1046" s="61">
        <v>8900</v>
      </c>
      <c r="L1046" s="49">
        <f t="shared" si="66"/>
        <v>174000</v>
      </c>
      <c r="M1046" s="50">
        <f t="shared" si="67"/>
        <v>0</v>
      </c>
    </row>
    <row r="1047" spans="1:13" x14ac:dyDescent="0.25">
      <c r="A1047" s="54">
        <v>45370</v>
      </c>
      <c r="B1047" s="24">
        <f t="shared" si="64"/>
        <v>3</v>
      </c>
      <c r="C1047" s="24">
        <f t="shared" si="65"/>
        <v>2024</v>
      </c>
      <c r="D1047" s="104" t="s">
        <v>109</v>
      </c>
      <c r="E1047" s="104" t="s">
        <v>343</v>
      </c>
      <c r="F1047" s="104" t="s">
        <v>246</v>
      </c>
      <c r="K1047" s="61">
        <v>5000</v>
      </c>
      <c r="L1047" s="49">
        <f t="shared" si="66"/>
        <v>169000</v>
      </c>
      <c r="M1047" s="50">
        <f t="shared" si="67"/>
        <v>0</v>
      </c>
    </row>
    <row r="1048" spans="1:13" x14ac:dyDescent="0.25">
      <c r="A1048" s="54">
        <v>45370</v>
      </c>
      <c r="B1048" s="24">
        <f t="shared" si="64"/>
        <v>3</v>
      </c>
      <c r="C1048" s="24">
        <f t="shared" si="65"/>
        <v>2024</v>
      </c>
      <c r="D1048" s="104" t="s">
        <v>352</v>
      </c>
      <c r="E1048" s="104" t="s">
        <v>343</v>
      </c>
      <c r="F1048" s="104" t="s">
        <v>287</v>
      </c>
      <c r="J1048" s="61">
        <v>200000</v>
      </c>
      <c r="L1048" s="49">
        <f t="shared" si="66"/>
        <v>369000</v>
      </c>
      <c r="M1048" s="50">
        <f t="shared" si="67"/>
        <v>0</v>
      </c>
    </row>
    <row r="1049" spans="1:13" x14ac:dyDescent="0.25">
      <c r="A1049" s="54">
        <v>45370</v>
      </c>
      <c r="B1049" s="24">
        <f t="shared" si="64"/>
        <v>3</v>
      </c>
      <c r="C1049" s="24">
        <f t="shared" si="65"/>
        <v>2024</v>
      </c>
      <c r="D1049" s="104" t="s">
        <v>360</v>
      </c>
      <c r="E1049" s="104" t="s">
        <v>343</v>
      </c>
      <c r="K1049" s="61">
        <v>10000</v>
      </c>
      <c r="L1049" s="49">
        <f t="shared" si="66"/>
        <v>359000</v>
      </c>
      <c r="M1049" s="50">
        <f t="shared" si="67"/>
        <v>0</v>
      </c>
    </row>
    <row r="1050" spans="1:13" x14ac:dyDescent="0.25">
      <c r="A1050" s="80">
        <v>45370</v>
      </c>
      <c r="B1050" s="24">
        <f t="shared" si="64"/>
        <v>3</v>
      </c>
      <c r="C1050" s="24">
        <f t="shared" si="65"/>
        <v>2024</v>
      </c>
      <c r="D1050" s="107" t="s">
        <v>122</v>
      </c>
      <c r="E1050" s="107" t="s">
        <v>343</v>
      </c>
      <c r="F1050" s="107"/>
      <c r="G1050" s="107"/>
      <c r="H1050" s="81"/>
      <c r="I1050" s="81"/>
      <c r="J1050" s="52"/>
      <c r="K1050" s="52">
        <v>329000</v>
      </c>
      <c r="L1050" s="49">
        <f t="shared" si="66"/>
        <v>30000</v>
      </c>
      <c r="M1050" s="50">
        <f t="shared" si="67"/>
        <v>0</v>
      </c>
    </row>
    <row r="1051" spans="1:13" x14ac:dyDescent="0.25">
      <c r="A1051" s="54">
        <v>45371</v>
      </c>
      <c r="B1051" s="24">
        <f t="shared" si="64"/>
        <v>3</v>
      </c>
      <c r="C1051" s="24">
        <f t="shared" si="65"/>
        <v>2024</v>
      </c>
      <c r="D1051" s="104" t="s">
        <v>352</v>
      </c>
      <c r="E1051" s="104" t="s">
        <v>343</v>
      </c>
      <c r="F1051" s="104" t="s">
        <v>814</v>
      </c>
      <c r="J1051" s="61">
        <v>350000</v>
      </c>
      <c r="L1051" s="49">
        <f t="shared" si="66"/>
        <v>380000</v>
      </c>
      <c r="M1051" s="50">
        <f t="shared" si="67"/>
        <v>0</v>
      </c>
    </row>
    <row r="1052" spans="1:13" x14ac:dyDescent="0.25">
      <c r="A1052" s="54">
        <v>45371</v>
      </c>
      <c r="B1052" s="24">
        <f t="shared" si="64"/>
        <v>3</v>
      </c>
      <c r="C1052" s="24">
        <f t="shared" si="65"/>
        <v>2024</v>
      </c>
      <c r="D1052" s="104" t="s">
        <v>124</v>
      </c>
      <c r="E1052" s="104" t="s">
        <v>343</v>
      </c>
      <c r="F1052" s="104" t="s">
        <v>816</v>
      </c>
      <c r="K1052" s="61">
        <v>70000</v>
      </c>
      <c r="L1052" s="49">
        <f t="shared" si="66"/>
        <v>310000</v>
      </c>
      <c r="M1052" s="50">
        <f t="shared" si="67"/>
        <v>0</v>
      </c>
    </row>
    <row r="1053" spans="1:13" x14ac:dyDescent="0.25">
      <c r="A1053" s="80">
        <v>45371</v>
      </c>
      <c r="B1053" s="24">
        <f t="shared" si="64"/>
        <v>3</v>
      </c>
      <c r="C1053" s="24">
        <f t="shared" si="65"/>
        <v>2024</v>
      </c>
      <c r="D1053" s="107" t="s">
        <v>122</v>
      </c>
      <c r="E1053" s="107" t="s">
        <v>343</v>
      </c>
      <c r="F1053" s="107"/>
      <c r="G1053" s="107"/>
      <c r="H1053" s="81"/>
      <c r="I1053" s="81"/>
      <c r="J1053" s="52"/>
      <c r="K1053" s="52">
        <v>280000</v>
      </c>
      <c r="L1053" s="49">
        <f t="shared" si="66"/>
        <v>30000</v>
      </c>
      <c r="M1053" s="50">
        <f t="shared" si="67"/>
        <v>0</v>
      </c>
    </row>
    <row r="1054" spans="1:13" x14ac:dyDescent="0.25">
      <c r="A1054" s="54">
        <v>45372</v>
      </c>
      <c r="B1054" s="24">
        <f t="shared" si="64"/>
        <v>3</v>
      </c>
      <c r="C1054" s="24">
        <f t="shared" si="65"/>
        <v>2024</v>
      </c>
      <c r="D1054" s="104" t="s">
        <v>384</v>
      </c>
      <c r="E1054" s="104" t="s">
        <v>343</v>
      </c>
      <c r="J1054" s="61">
        <v>50000</v>
      </c>
      <c r="L1054" s="49">
        <f t="shared" si="66"/>
        <v>80000</v>
      </c>
      <c r="M1054" s="50">
        <f t="shared" si="67"/>
        <v>0</v>
      </c>
    </row>
    <row r="1055" spans="1:13" x14ac:dyDescent="0.25">
      <c r="A1055" s="54">
        <v>45372</v>
      </c>
      <c r="B1055" s="24">
        <f t="shared" si="64"/>
        <v>3</v>
      </c>
      <c r="C1055" s="24">
        <f t="shared" si="65"/>
        <v>2024</v>
      </c>
      <c r="D1055" s="104" t="s">
        <v>112</v>
      </c>
      <c r="E1055" s="104" t="s">
        <v>343</v>
      </c>
      <c r="K1055" s="61">
        <v>50000</v>
      </c>
      <c r="L1055" s="49">
        <f t="shared" si="66"/>
        <v>30000</v>
      </c>
      <c r="M1055" s="50">
        <f t="shared" si="67"/>
        <v>0</v>
      </c>
    </row>
    <row r="1056" spans="1:13" x14ac:dyDescent="0.25">
      <c r="A1056" s="54">
        <v>45372</v>
      </c>
      <c r="B1056" s="24">
        <f t="shared" si="64"/>
        <v>3</v>
      </c>
      <c r="C1056" s="24">
        <f t="shared" si="65"/>
        <v>2024</v>
      </c>
      <c r="D1056" s="104" t="s">
        <v>360</v>
      </c>
      <c r="E1056" s="104" t="s">
        <v>343</v>
      </c>
      <c r="K1056" s="61">
        <v>9000</v>
      </c>
      <c r="L1056" s="49">
        <f t="shared" si="66"/>
        <v>21000</v>
      </c>
      <c r="M1056" s="50">
        <f t="shared" si="67"/>
        <v>0</v>
      </c>
    </row>
    <row r="1057" spans="1:13" x14ac:dyDescent="0.25">
      <c r="A1057" s="54">
        <v>45372</v>
      </c>
      <c r="B1057" s="24">
        <f t="shared" si="64"/>
        <v>3</v>
      </c>
      <c r="C1057" s="24">
        <f t="shared" si="65"/>
        <v>2024</v>
      </c>
      <c r="D1057" s="104" t="s">
        <v>384</v>
      </c>
      <c r="E1057" s="104" t="s">
        <v>343</v>
      </c>
      <c r="J1057" s="61">
        <v>459330</v>
      </c>
      <c r="L1057" s="49">
        <f t="shared" si="66"/>
        <v>480330</v>
      </c>
      <c r="M1057" s="50">
        <f t="shared" si="67"/>
        <v>0</v>
      </c>
    </row>
    <row r="1058" spans="1:13" x14ac:dyDescent="0.25">
      <c r="A1058" s="54">
        <v>45372</v>
      </c>
      <c r="B1058" s="24">
        <f t="shared" si="64"/>
        <v>3</v>
      </c>
      <c r="C1058" s="24">
        <f t="shared" si="65"/>
        <v>2024</v>
      </c>
      <c r="D1058" s="104" t="s">
        <v>124</v>
      </c>
      <c r="E1058" s="104" t="s">
        <v>343</v>
      </c>
      <c r="G1058" s="104" t="s">
        <v>107</v>
      </c>
      <c r="K1058" s="61">
        <v>459330</v>
      </c>
      <c r="L1058" s="49">
        <f t="shared" si="66"/>
        <v>21000</v>
      </c>
      <c r="M1058" s="50">
        <f t="shared" si="67"/>
        <v>0</v>
      </c>
    </row>
    <row r="1059" spans="1:13" x14ac:dyDescent="0.25">
      <c r="A1059" s="134">
        <v>45372</v>
      </c>
      <c r="B1059" s="24">
        <f t="shared" si="64"/>
        <v>3</v>
      </c>
      <c r="C1059" s="24">
        <f t="shared" si="65"/>
        <v>2024</v>
      </c>
      <c r="D1059" s="135" t="s">
        <v>384</v>
      </c>
      <c r="E1059" s="135" t="s">
        <v>343</v>
      </c>
      <c r="F1059" s="135"/>
      <c r="G1059" s="135"/>
      <c r="H1059" s="136"/>
      <c r="I1059" s="136"/>
      <c r="J1059" s="137">
        <v>9000</v>
      </c>
      <c r="L1059" s="49">
        <f t="shared" si="66"/>
        <v>30000</v>
      </c>
      <c r="M1059" s="50">
        <f t="shared" si="67"/>
        <v>0</v>
      </c>
    </row>
    <row r="1060" spans="1:13" x14ac:dyDescent="0.25">
      <c r="A1060" s="54">
        <v>45373</v>
      </c>
      <c r="B1060" s="24">
        <f t="shared" si="64"/>
        <v>3</v>
      </c>
      <c r="C1060" s="24">
        <f t="shared" si="65"/>
        <v>2024</v>
      </c>
      <c r="D1060" s="104" t="s">
        <v>92</v>
      </c>
      <c r="E1060" s="104" t="s">
        <v>92</v>
      </c>
      <c r="K1060" s="61">
        <v>8000</v>
      </c>
      <c r="L1060" s="49">
        <f t="shared" si="66"/>
        <v>22000</v>
      </c>
      <c r="M1060" s="50">
        <f t="shared" si="67"/>
        <v>0</v>
      </c>
    </row>
    <row r="1061" spans="1:13" x14ac:dyDescent="0.25">
      <c r="A1061" s="54">
        <v>45373</v>
      </c>
      <c r="B1061" s="24">
        <f t="shared" si="64"/>
        <v>3</v>
      </c>
      <c r="C1061" s="24">
        <f t="shared" si="65"/>
        <v>2024</v>
      </c>
      <c r="D1061" s="104" t="s">
        <v>352</v>
      </c>
      <c r="E1061" s="104" t="s">
        <v>343</v>
      </c>
      <c r="F1061" s="104" t="s">
        <v>546</v>
      </c>
      <c r="J1061" s="61">
        <v>100000</v>
      </c>
      <c r="L1061" s="49">
        <f t="shared" si="66"/>
        <v>122000</v>
      </c>
      <c r="M1061" s="50">
        <f t="shared" si="67"/>
        <v>0</v>
      </c>
    </row>
    <row r="1062" spans="1:13" x14ac:dyDescent="0.25">
      <c r="A1062" s="54">
        <v>45373</v>
      </c>
      <c r="B1062" s="24">
        <f t="shared" si="64"/>
        <v>3</v>
      </c>
      <c r="C1062" s="24">
        <f t="shared" si="65"/>
        <v>2024</v>
      </c>
      <c r="D1062" s="104" t="s">
        <v>92</v>
      </c>
      <c r="E1062" s="104" t="s">
        <v>92</v>
      </c>
      <c r="K1062" s="61">
        <v>55000</v>
      </c>
      <c r="L1062" s="49">
        <f t="shared" si="66"/>
        <v>67000</v>
      </c>
      <c r="M1062" s="50">
        <f t="shared" si="67"/>
        <v>0</v>
      </c>
    </row>
    <row r="1063" spans="1:13" x14ac:dyDescent="0.25">
      <c r="A1063" s="54">
        <v>45373</v>
      </c>
      <c r="B1063" s="24">
        <f t="shared" si="64"/>
        <v>3</v>
      </c>
      <c r="C1063" s="24">
        <f t="shared" si="65"/>
        <v>2024</v>
      </c>
      <c r="D1063" s="104" t="s">
        <v>360</v>
      </c>
      <c r="E1063" s="104" t="s">
        <v>343</v>
      </c>
      <c r="K1063" s="61">
        <v>5000</v>
      </c>
      <c r="L1063" s="49">
        <f t="shared" si="66"/>
        <v>62000</v>
      </c>
      <c r="M1063" s="50">
        <f t="shared" si="67"/>
        <v>0</v>
      </c>
    </row>
    <row r="1064" spans="1:13" x14ac:dyDescent="0.25">
      <c r="A1064" s="66">
        <v>45373</v>
      </c>
      <c r="B1064" s="24">
        <f t="shared" si="64"/>
        <v>3</v>
      </c>
      <c r="C1064" s="24">
        <f t="shared" si="65"/>
        <v>2024</v>
      </c>
      <c r="D1064" s="109" t="s">
        <v>384</v>
      </c>
      <c r="E1064" s="109" t="s">
        <v>343</v>
      </c>
      <c r="F1064" s="109"/>
      <c r="G1064" s="109"/>
      <c r="H1064" s="14"/>
      <c r="I1064" s="14"/>
      <c r="J1064" s="118">
        <v>130000</v>
      </c>
      <c r="K1064" s="118"/>
      <c r="L1064" s="49">
        <f t="shared" si="66"/>
        <v>192000</v>
      </c>
      <c r="M1064" s="50">
        <f t="shared" si="67"/>
        <v>0</v>
      </c>
    </row>
    <row r="1065" spans="1:13" x14ac:dyDescent="0.25">
      <c r="A1065" s="54">
        <v>45373</v>
      </c>
      <c r="B1065" s="24">
        <f t="shared" si="64"/>
        <v>3</v>
      </c>
      <c r="C1065" s="24">
        <f t="shared" si="65"/>
        <v>2024</v>
      </c>
      <c r="D1065" s="104" t="s">
        <v>501</v>
      </c>
      <c r="E1065" s="104" t="s">
        <v>343</v>
      </c>
      <c r="F1065" s="104" t="s">
        <v>821</v>
      </c>
      <c r="K1065" s="61">
        <v>130000</v>
      </c>
      <c r="L1065" s="49">
        <f t="shared" si="66"/>
        <v>62000</v>
      </c>
      <c r="M1065" s="50">
        <f t="shared" si="67"/>
        <v>0</v>
      </c>
    </row>
    <row r="1066" spans="1:13" x14ac:dyDescent="0.25">
      <c r="A1066" s="80">
        <v>45373</v>
      </c>
      <c r="B1066" s="24">
        <f t="shared" si="64"/>
        <v>3</v>
      </c>
      <c r="C1066" s="24">
        <f t="shared" si="65"/>
        <v>2024</v>
      </c>
      <c r="D1066" s="107" t="s">
        <v>122</v>
      </c>
      <c r="E1066" s="107" t="s">
        <v>343</v>
      </c>
      <c r="F1066" s="107"/>
      <c r="G1066" s="107"/>
      <c r="H1066" s="81"/>
      <c r="I1066" s="81"/>
      <c r="J1066" s="52"/>
      <c r="K1066" s="52">
        <v>32000</v>
      </c>
      <c r="L1066" s="49">
        <f t="shared" si="66"/>
        <v>30000</v>
      </c>
      <c r="M1066" s="50">
        <f t="shared" si="67"/>
        <v>0</v>
      </c>
    </row>
    <row r="1067" spans="1:13" x14ac:dyDescent="0.25">
      <c r="A1067" s="54">
        <v>45376</v>
      </c>
      <c r="B1067" s="24">
        <f t="shared" si="64"/>
        <v>3</v>
      </c>
      <c r="C1067" s="24">
        <f t="shared" si="65"/>
        <v>2024</v>
      </c>
      <c r="D1067" s="104" t="s">
        <v>124</v>
      </c>
      <c r="E1067" s="104" t="s">
        <v>343</v>
      </c>
      <c r="F1067" s="104" t="s">
        <v>822</v>
      </c>
      <c r="K1067" s="61">
        <v>2000</v>
      </c>
      <c r="L1067" s="49">
        <f t="shared" si="66"/>
        <v>28000</v>
      </c>
      <c r="M1067" s="50">
        <f t="shared" si="67"/>
        <v>0</v>
      </c>
    </row>
    <row r="1068" spans="1:13" x14ac:dyDescent="0.25">
      <c r="A1068" s="54">
        <v>45376</v>
      </c>
      <c r="B1068" s="24">
        <f t="shared" si="64"/>
        <v>3</v>
      </c>
      <c r="C1068" s="24">
        <f t="shared" si="65"/>
        <v>2024</v>
      </c>
      <c r="D1068" s="104" t="s">
        <v>352</v>
      </c>
      <c r="E1068" s="104" t="s">
        <v>93</v>
      </c>
      <c r="F1068" s="104" t="s">
        <v>823</v>
      </c>
      <c r="J1068" s="61">
        <v>255200</v>
      </c>
      <c r="L1068" s="49">
        <f t="shared" si="66"/>
        <v>283200</v>
      </c>
      <c r="M1068" s="50">
        <f t="shared" si="67"/>
        <v>0</v>
      </c>
    </row>
    <row r="1069" spans="1:13" x14ac:dyDescent="0.25">
      <c r="A1069" s="54">
        <v>45376</v>
      </c>
      <c r="B1069" s="24">
        <f t="shared" si="64"/>
        <v>3</v>
      </c>
      <c r="C1069" s="24">
        <f t="shared" si="65"/>
        <v>2024</v>
      </c>
      <c r="D1069" s="104" t="s">
        <v>360</v>
      </c>
      <c r="E1069" s="104" t="s">
        <v>93</v>
      </c>
      <c r="K1069" s="61">
        <v>5000</v>
      </c>
      <c r="L1069" s="49">
        <f t="shared" si="66"/>
        <v>278200</v>
      </c>
      <c r="M1069" s="50">
        <f t="shared" si="67"/>
        <v>0</v>
      </c>
    </row>
    <row r="1070" spans="1:13" x14ac:dyDescent="0.25">
      <c r="A1070" s="80">
        <v>45376</v>
      </c>
      <c r="B1070" s="24">
        <f t="shared" si="64"/>
        <v>3</v>
      </c>
      <c r="C1070" s="24">
        <f t="shared" si="65"/>
        <v>2024</v>
      </c>
      <c r="D1070" s="107" t="s">
        <v>122</v>
      </c>
      <c r="E1070" s="107" t="s">
        <v>343</v>
      </c>
      <c r="F1070" s="107"/>
      <c r="G1070" s="107"/>
      <c r="H1070" s="81"/>
      <c r="I1070" s="81"/>
      <c r="J1070" s="52"/>
      <c r="K1070" s="52">
        <v>248200</v>
      </c>
      <c r="L1070" s="49">
        <f t="shared" si="66"/>
        <v>30000</v>
      </c>
      <c r="M1070" s="50">
        <f t="shared" si="67"/>
        <v>0</v>
      </c>
    </row>
    <row r="1071" spans="1:13" x14ac:dyDescent="0.25">
      <c r="A1071" s="54">
        <v>45377</v>
      </c>
      <c r="B1071" s="24">
        <f t="shared" si="64"/>
        <v>3</v>
      </c>
      <c r="C1071" s="24">
        <f t="shared" si="65"/>
        <v>2024</v>
      </c>
      <c r="D1071" s="104" t="s">
        <v>352</v>
      </c>
      <c r="E1071" s="104" t="s">
        <v>343</v>
      </c>
      <c r="F1071" s="104" t="s">
        <v>769</v>
      </c>
      <c r="J1071" s="61">
        <v>40000</v>
      </c>
      <c r="L1071" s="49">
        <f t="shared" si="66"/>
        <v>70000</v>
      </c>
      <c r="M1071" s="50">
        <f t="shared" si="67"/>
        <v>0</v>
      </c>
    </row>
    <row r="1072" spans="1:13" x14ac:dyDescent="0.25">
      <c r="A1072" s="54">
        <v>45377</v>
      </c>
      <c r="B1072" s="24">
        <f t="shared" si="64"/>
        <v>3</v>
      </c>
      <c r="C1072" s="24">
        <f t="shared" si="65"/>
        <v>2024</v>
      </c>
      <c r="D1072" s="104" t="s">
        <v>109</v>
      </c>
      <c r="E1072" s="104" t="s">
        <v>343</v>
      </c>
      <c r="K1072" s="61">
        <v>2000</v>
      </c>
      <c r="L1072" s="49">
        <f t="shared" si="66"/>
        <v>68000</v>
      </c>
      <c r="M1072" s="50">
        <f t="shared" si="67"/>
        <v>0</v>
      </c>
    </row>
    <row r="1073" spans="1:13" x14ac:dyDescent="0.25">
      <c r="A1073" s="54">
        <v>45377</v>
      </c>
      <c r="B1073" s="24">
        <f t="shared" si="64"/>
        <v>3</v>
      </c>
      <c r="C1073" s="24">
        <f t="shared" si="65"/>
        <v>2024</v>
      </c>
      <c r="D1073" s="104" t="s">
        <v>92</v>
      </c>
      <c r="E1073" s="104" t="s">
        <v>92</v>
      </c>
      <c r="F1073" s="104" t="s">
        <v>246</v>
      </c>
      <c r="K1073" s="61">
        <v>8500</v>
      </c>
      <c r="L1073" s="49">
        <f t="shared" si="66"/>
        <v>59500</v>
      </c>
      <c r="M1073" s="50">
        <f t="shared" si="67"/>
        <v>0</v>
      </c>
    </row>
    <row r="1074" spans="1:13" x14ac:dyDescent="0.25">
      <c r="A1074" s="54">
        <v>45377</v>
      </c>
      <c r="B1074" s="24">
        <f t="shared" si="64"/>
        <v>3</v>
      </c>
      <c r="C1074" s="24">
        <f t="shared" si="65"/>
        <v>2024</v>
      </c>
      <c r="D1074" s="104" t="s">
        <v>135</v>
      </c>
      <c r="E1074" s="104" t="s">
        <v>343</v>
      </c>
      <c r="F1074" s="104" t="s">
        <v>825</v>
      </c>
      <c r="K1074" s="61">
        <v>400</v>
      </c>
      <c r="L1074" s="49">
        <f t="shared" si="66"/>
        <v>59100</v>
      </c>
      <c r="M1074" s="50">
        <f t="shared" si="67"/>
        <v>0</v>
      </c>
    </row>
    <row r="1075" spans="1:13" x14ac:dyDescent="0.25">
      <c r="A1075" s="80">
        <v>45377</v>
      </c>
      <c r="B1075" s="24">
        <f t="shared" si="64"/>
        <v>3</v>
      </c>
      <c r="C1075" s="24">
        <f t="shared" si="65"/>
        <v>2024</v>
      </c>
      <c r="D1075" s="107" t="s">
        <v>122</v>
      </c>
      <c r="E1075" s="107" t="s">
        <v>343</v>
      </c>
      <c r="F1075" s="107"/>
      <c r="G1075" s="107"/>
      <c r="H1075" s="81"/>
      <c r="I1075" s="81"/>
      <c r="J1075" s="52"/>
      <c r="K1075" s="52">
        <v>29100</v>
      </c>
      <c r="L1075" s="49">
        <f t="shared" si="66"/>
        <v>30000</v>
      </c>
      <c r="M1075" s="50">
        <f t="shared" si="67"/>
        <v>0</v>
      </c>
    </row>
    <row r="1076" spans="1:13" x14ac:dyDescent="0.25">
      <c r="A1076" s="54">
        <v>45378</v>
      </c>
      <c r="B1076" s="24">
        <f t="shared" si="64"/>
        <v>3</v>
      </c>
      <c r="C1076" s="24">
        <f t="shared" si="65"/>
        <v>2024</v>
      </c>
      <c r="D1076" s="104" t="s">
        <v>135</v>
      </c>
      <c r="E1076" s="104" t="s">
        <v>343</v>
      </c>
      <c r="F1076" s="104" t="s">
        <v>738</v>
      </c>
      <c r="K1076" s="61">
        <v>7600</v>
      </c>
      <c r="L1076" s="49">
        <f t="shared" si="66"/>
        <v>22400</v>
      </c>
      <c r="M1076" s="50">
        <f t="shared" si="67"/>
        <v>0</v>
      </c>
    </row>
    <row r="1077" spans="1:13" x14ac:dyDescent="0.25">
      <c r="A1077" s="54">
        <v>45378</v>
      </c>
      <c r="B1077" s="24">
        <f t="shared" si="64"/>
        <v>3</v>
      </c>
      <c r="C1077" s="24">
        <f t="shared" si="65"/>
        <v>2024</v>
      </c>
      <c r="D1077" s="104" t="s">
        <v>28</v>
      </c>
      <c r="E1077" s="104" t="s">
        <v>343</v>
      </c>
      <c r="K1077" s="61">
        <v>5000</v>
      </c>
      <c r="L1077" s="49">
        <f t="shared" si="66"/>
        <v>17400</v>
      </c>
      <c r="M1077" s="50">
        <f t="shared" si="67"/>
        <v>0</v>
      </c>
    </row>
    <row r="1078" spans="1:13" x14ac:dyDescent="0.25">
      <c r="A1078" s="134">
        <v>45378</v>
      </c>
      <c r="B1078" s="24">
        <f t="shared" si="64"/>
        <v>3</v>
      </c>
      <c r="C1078" s="24">
        <f t="shared" si="65"/>
        <v>2024</v>
      </c>
      <c r="D1078" s="135" t="s">
        <v>384</v>
      </c>
      <c r="E1078" s="135" t="s">
        <v>343</v>
      </c>
      <c r="F1078" s="135"/>
      <c r="G1078" s="135"/>
      <c r="H1078" s="136"/>
      <c r="I1078" s="136"/>
      <c r="J1078" s="137">
        <v>12600</v>
      </c>
      <c r="L1078" s="49">
        <f t="shared" si="66"/>
        <v>30000</v>
      </c>
      <c r="M1078" s="50">
        <f t="shared" si="67"/>
        <v>0</v>
      </c>
    </row>
    <row r="1079" spans="1:13" x14ac:dyDescent="0.25">
      <c r="A1079" s="54">
        <v>45379</v>
      </c>
      <c r="B1079" s="24">
        <f t="shared" si="64"/>
        <v>3</v>
      </c>
      <c r="C1079" s="24">
        <f t="shared" si="65"/>
        <v>2024</v>
      </c>
      <c r="D1079" s="104" t="s">
        <v>384</v>
      </c>
      <c r="E1079" s="104" t="s">
        <v>343</v>
      </c>
      <c r="J1079" s="61">
        <v>5000</v>
      </c>
      <c r="L1079" s="49">
        <f t="shared" si="66"/>
        <v>35000</v>
      </c>
      <c r="M1079" s="50">
        <f t="shared" si="67"/>
        <v>0</v>
      </c>
    </row>
    <row r="1080" spans="1:13" x14ac:dyDescent="0.25">
      <c r="A1080" s="54">
        <v>45379</v>
      </c>
      <c r="B1080" s="24">
        <f t="shared" si="64"/>
        <v>3</v>
      </c>
      <c r="C1080" s="24">
        <f t="shared" si="65"/>
        <v>2024</v>
      </c>
      <c r="D1080" s="104" t="s">
        <v>124</v>
      </c>
      <c r="E1080" s="104" t="s">
        <v>343</v>
      </c>
      <c r="F1080" s="104" t="s">
        <v>826</v>
      </c>
      <c r="K1080" s="61">
        <v>5000</v>
      </c>
      <c r="L1080" s="49">
        <f t="shared" si="66"/>
        <v>30000</v>
      </c>
      <c r="M1080" s="50">
        <f t="shared" si="67"/>
        <v>0</v>
      </c>
    </row>
    <row r="1081" spans="1:13" x14ac:dyDescent="0.25">
      <c r="A1081" s="54">
        <v>45385</v>
      </c>
      <c r="B1081" s="24">
        <f t="shared" si="64"/>
        <v>4</v>
      </c>
      <c r="C1081" s="24">
        <f t="shared" si="65"/>
        <v>2024</v>
      </c>
      <c r="D1081" s="104" t="s">
        <v>352</v>
      </c>
      <c r="E1081" s="104" t="s">
        <v>343</v>
      </c>
      <c r="F1081" s="104" t="s">
        <v>733</v>
      </c>
      <c r="J1081" s="61">
        <v>143500</v>
      </c>
      <c r="L1081" s="49">
        <f t="shared" si="66"/>
        <v>173500</v>
      </c>
      <c r="M1081" s="50">
        <f t="shared" si="67"/>
        <v>0</v>
      </c>
    </row>
    <row r="1082" spans="1:13" x14ac:dyDescent="0.25">
      <c r="A1082" s="54">
        <v>45385</v>
      </c>
      <c r="B1082" s="24">
        <f t="shared" si="64"/>
        <v>4</v>
      </c>
      <c r="C1082" s="24">
        <f t="shared" si="65"/>
        <v>2024</v>
      </c>
      <c r="D1082" s="104" t="s">
        <v>352</v>
      </c>
      <c r="E1082" s="104" t="s">
        <v>343</v>
      </c>
      <c r="F1082" s="104" t="s">
        <v>735</v>
      </c>
      <c r="J1082" s="61">
        <v>100000</v>
      </c>
      <c r="L1082" s="49">
        <f t="shared" si="66"/>
        <v>273500</v>
      </c>
      <c r="M1082" s="50">
        <f t="shared" si="67"/>
        <v>0</v>
      </c>
    </row>
    <row r="1083" spans="1:13" x14ac:dyDescent="0.25">
      <c r="A1083" s="80">
        <v>45385</v>
      </c>
      <c r="B1083" s="24">
        <f t="shared" si="64"/>
        <v>4</v>
      </c>
      <c r="C1083" s="24">
        <f t="shared" si="65"/>
        <v>2024</v>
      </c>
      <c r="D1083" s="107" t="s">
        <v>361</v>
      </c>
      <c r="E1083" s="107" t="s">
        <v>343</v>
      </c>
      <c r="F1083" s="107"/>
      <c r="G1083" s="107"/>
      <c r="H1083" s="81"/>
      <c r="I1083" s="81"/>
      <c r="J1083" s="52"/>
      <c r="K1083" s="52">
        <v>243500</v>
      </c>
      <c r="L1083" s="49">
        <f t="shared" si="66"/>
        <v>30000</v>
      </c>
      <c r="M1083" s="50">
        <f t="shared" si="67"/>
        <v>0</v>
      </c>
    </row>
    <row r="1084" spans="1:13" x14ac:dyDescent="0.25">
      <c r="A1084" s="54">
        <v>45386</v>
      </c>
      <c r="B1084" s="24">
        <f t="shared" si="64"/>
        <v>4</v>
      </c>
      <c r="C1084" s="24">
        <f t="shared" si="65"/>
        <v>2024</v>
      </c>
      <c r="D1084" s="104" t="s">
        <v>352</v>
      </c>
      <c r="E1084" s="104" t="s">
        <v>343</v>
      </c>
      <c r="F1084" s="104" t="s">
        <v>447</v>
      </c>
      <c r="J1084" s="61">
        <v>27500</v>
      </c>
      <c r="L1084" s="49">
        <f t="shared" si="66"/>
        <v>57500</v>
      </c>
      <c r="M1084" s="50">
        <f t="shared" si="67"/>
        <v>0</v>
      </c>
    </row>
    <row r="1085" spans="1:13" x14ac:dyDescent="0.25">
      <c r="A1085" s="54">
        <v>45386</v>
      </c>
      <c r="B1085" s="24">
        <f t="shared" si="64"/>
        <v>4</v>
      </c>
      <c r="C1085" s="24">
        <f t="shared" si="65"/>
        <v>2024</v>
      </c>
      <c r="D1085" s="104" t="s">
        <v>352</v>
      </c>
      <c r="E1085" s="104" t="s">
        <v>343</v>
      </c>
      <c r="F1085" s="104" t="s">
        <v>654</v>
      </c>
      <c r="J1085" s="61">
        <v>100000</v>
      </c>
      <c r="L1085" s="49">
        <f t="shared" si="66"/>
        <v>157500</v>
      </c>
      <c r="M1085" s="50">
        <f t="shared" si="67"/>
        <v>0</v>
      </c>
    </row>
    <row r="1086" spans="1:13" x14ac:dyDescent="0.25">
      <c r="A1086" s="54">
        <v>45386</v>
      </c>
      <c r="B1086" s="24">
        <f t="shared" si="64"/>
        <v>4</v>
      </c>
      <c r="C1086" s="24">
        <f t="shared" si="65"/>
        <v>2024</v>
      </c>
      <c r="D1086" s="104" t="s">
        <v>352</v>
      </c>
      <c r="E1086" s="104" t="s">
        <v>343</v>
      </c>
      <c r="F1086" s="104" t="s">
        <v>832</v>
      </c>
      <c r="J1086" s="61">
        <v>9300</v>
      </c>
      <c r="L1086" s="49">
        <f t="shared" si="66"/>
        <v>166800</v>
      </c>
      <c r="M1086" s="50">
        <f t="shared" si="67"/>
        <v>0</v>
      </c>
    </row>
    <row r="1087" spans="1:13" x14ac:dyDescent="0.25">
      <c r="A1087" s="54">
        <v>45386</v>
      </c>
      <c r="B1087" s="24">
        <f t="shared" si="64"/>
        <v>4</v>
      </c>
      <c r="C1087" s="24">
        <f t="shared" si="65"/>
        <v>2024</v>
      </c>
      <c r="D1087" s="104" t="s">
        <v>109</v>
      </c>
      <c r="E1087" s="104" t="s">
        <v>343</v>
      </c>
      <c r="F1087" s="104" t="s">
        <v>616</v>
      </c>
      <c r="K1087" s="61">
        <v>7200</v>
      </c>
      <c r="L1087" s="49">
        <f t="shared" si="66"/>
        <v>159600</v>
      </c>
      <c r="M1087" s="50">
        <f t="shared" si="67"/>
        <v>0</v>
      </c>
    </row>
    <row r="1088" spans="1:13" x14ac:dyDescent="0.25">
      <c r="A1088" s="54">
        <v>45386</v>
      </c>
      <c r="B1088" s="24">
        <f t="shared" si="64"/>
        <v>4</v>
      </c>
      <c r="C1088" s="24">
        <f t="shared" si="65"/>
        <v>2024</v>
      </c>
      <c r="D1088" s="104" t="s">
        <v>352</v>
      </c>
      <c r="E1088" s="104" t="s">
        <v>343</v>
      </c>
      <c r="F1088" s="104" t="s">
        <v>450</v>
      </c>
      <c r="J1088" s="61">
        <v>60000</v>
      </c>
      <c r="L1088" s="49">
        <f t="shared" si="66"/>
        <v>219600</v>
      </c>
      <c r="M1088" s="50">
        <f t="shared" si="67"/>
        <v>0</v>
      </c>
    </row>
    <row r="1089" spans="1:13" x14ac:dyDescent="0.25">
      <c r="A1089" s="80">
        <v>45386</v>
      </c>
      <c r="B1089" s="24">
        <f t="shared" si="64"/>
        <v>4</v>
      </c>
      <c r="C1089" s="24">
        <f t="shared" si="65"/>
        <v>2024</v>
      </c>
      <c r="D1089" s="107" t="s">
        <v>122</v>
      </c>
      <c r="E1089" s="107" t="s">
        <v>343</v>
      </c>
      <c r="F1089" s="107"/>
      <c r="G1089" s="107"/>
      <c r="H1089" s="81"/>
      <c r="I1089" s="81"/>
      <c r="J1089" s="52"/>
      <c r="K1089" s="52">
        <v>189600</v>
      </c>
      <c r="L1089" s="49">
        <f t="shared" si="66"/>
        <v>30000</v>
      </c>
      <c r="M1089" s="50">
        <f t="shared" si="67"/>
        <v>0</v>
      </c>
    </row>
    <row r="1090" spans="1:13" x14ac:dyDescent="0.25">
      <c r="A1090" s="54">
        <v>45387</v>
      </c>
      <c r="B1090" s="24">
        <f t="shared" si="64"/>
        <v>4</v>
      </c>
      <c r="C1090" s="24">
        <f t="shared" si="65"/>
        <v>2024</v>
      </c>
      <c r="D1090" s="104" t="s">
        <v>384</v>
      </c>
      <c r="E1090" s="104" t="s">
        <v>343</v>
      </c>
      <c r="J1090" s="61">
        <v>29300</v>
      </c>
      <c r="L1090" s="49">
        <f t="shared" si="66"/>
        <v>59300</v>
      </c>
      <c r="M1090" s="50">
        <f t="shared" si="67"/>
        <v>0</v>
      </c>
    </row>
    <row r="1091" spans="1:13" x14ac:dyDescent="0.25">
      <c r="A1091" s="54">
        <v>45387</v>
      </c>
      <c r="B1091" s="24">
        <f t="shared" ref="B1091:B1154" si="68">MONTH(A1091)</f>
        <v>4</v>
      </c>
      <c r="C1091" s="24">
        <f t="shared" ref="C1091:C1154" si="69">YEAR(A1091)</f>
        <v>2024</v>
      </c>
      <c r="D1091" s="104" t="s">
        <v>109</v>
      </c>
      <c r="E1091" s="104" t="s">
        <v>343</v>
      </c>
      <c r="F1091" s="104" t="s">
        <v>833</v>
      </c>
      <c r="K1091" s="61">
        <v>29300</v>
      </c>
      <c r="L1091" s="49">
        <f t="shared" si="66"/>
        <v>30000</v>
      </c>
      <c r="M1091" s="50">
        <f t="shared" si="67"/>
        <v>0</v>
      </c>
    </row>
    <row r="1092" spans="1:13" x14ac:dyDescent="0.25">
      <c r="A1092" s="54">
        <v>45390</v>
      </c>
      <c r="B1092" s="24">
        <f t="shared" si="68"/>
        <v>4</v>
      </c>
      <c r="C1092" s="24">
        <f t="shared" si="69"/>
        <v>2024</v>
      </c>
      <c r="D1092" s="104" t="s">
        <v>89</v>
      </c>
      <c r="E1092" s="104" t="s">
        <v>343</v>
      </c>
      <c r="F1092" s="104" t="s">
        <v>654</v>
      </c>
      <c r="J1092" s="61">
        <v>28500</v>
      </c>
      <c r="L1092" s="49">
        <f t="shared" ref="L1092:L1155" si="70">IF((L1091+M1091+J1092-K1092)&gt;0,(L1091+M1091+J1092-K1092),0)</f>
        <v>58500</v>
      </c>
      <c r="M1092" s="50">
        <f t="shared" ref="M1092:M1155" si="71">IF((L1091+M1091+J1092-K1092)&lt;0,(L1091+M1091+J1092-K1092),0)</f>
        <v>0</v>
      </c>
    </row>
    <row r="1093" spans="1:13" x14ac:dyDescent="0.25">
      <c r="A1093" s="54">
        <v>45390</v>
      </c>
      <c r="B1093" s="24">
        <f t="shared" si="68"/>
        <v>4</v>
      </c>
      <c r="C1093" s="24">
        <f t="shared" si="69"/>
        <v>2024</v>
      </c>
      <c r="D1093" s="104" t="s">
        <v>384</v>
      </c>
      <c r="E1093" s="104" t="s">
        <v>343</v>
      </c>
      <c r="J1093" s="61">
        <v>101371.76</v>
      </c>
      <c r="L1093" s="49">
        <f t="shared" si="70"/>
        <v>159871.76</v>
      </c>
      <c r="M1093" s="50">
        <f t="shared" si="71"/>
        <v>0</v>
      </c>
    </row>
    <row r="1094" spans="1:13" x14ac:dyDescent="0.25">
      <c r="A1094" s="54">
        <v>45390</v>
      </c>
      <c r="B1094" s="24">
        <f t="shared" si="68"/>
        <v>4</v>
      </c>
      <c r="C1094" s="24">
        <f t="shared" si="69"/>
        <v>2024</v>
      </c>
      <c r="D1094" s="104" t="s">
        <v>148</v>
      </c>
      <c r="E1094" s="104" t="s">
        <v>343</v>
      </c>
      <c r="K1094" s="61">
        <v>101371.76</v>
      </c>
      <c r="L1094" s="49">
        <f t="shared" si="70"/>
        <v>58500.000000000015</v>
      </c>
      <c r="M1094" s="50">
        <f t="shared" si="71"/>
        <v>0</v>
      </c>
    </row>
    <row r="1095" spans="1:13" x14ac:dyDescent="0.25">
      <c r="A1095" s="54">
        <v>45390</v>
      </c>
      <c r="B1095" s="24">
        <f t="shared" si="68"/>
        <v>4</v>
      </c>
      <c r="C1095" s="24">
        <f t="shared" si="69"/>
        <v>2024</v>
      </c>
      <c r="D1095" s="104" t="s">
        <v>384</v>
      </c>
      <c r="E1095" s="104" t="s">
        <v>343</v>
      </c>
      <c r="J1095" s="61">
        <v>10200</v>
      </c>
      <c r="L1095" s="49">
        <f t="shared" si="70"/>
        <v>68700.000000000015</v>
      </c>
      <c r="M1095" s="50">
        <f t="shared" si="71"/>
        <v>0</v>
      </c>
    </row>
    <row r="1096" spans="1:13" x14ac:dyDescent="0.25">
      <c r="A1096" s="54">
        <v>45390</v>
      </c>
      <c r="B1096" s="24">
        <f t="shared" si="68"/>
        <v>4</v>
      </c>
      <c r="C1096" s="24">
        <f t="shared" si="69"/>
        <v>2024</v>
      </c>
      <c r="D1096" s="104" t="s">
        <v>124</v>
      </c>
      <c r="E1096" s="104" t="s">
        <v>343</v>
      </c>
      <c r="G1096" s="104" t="s">
        <v>104</v>
      </c>
      <c r="K1096" s="61">
        <v>10200</v>
      </c>
      <c r="L1096" s="49">
        <f t="shared" si="70"/>
        <v>58500.000000000015</v>
      </c>
      <c r="M1096" s="50">
        <f t="shared" si="71"/>
        <v>0</v>
      </c>
    </row>
    <row r="1097" spans="1:13" x14ac:dyDescent="0.25">
      <c r="A1097" s="54">
        <v>45390</v>
      </c>
      <c r="B1097" s="24">
        <f t="shared" si="68"/>
        <v>4</v>
      </c>
      <c r="C1097" s="24">
        <f t="shared" si="69"/>
        <v>2024</v>
      </c>
      <c r="D1097" s="104" t="s">
        <v>352</v>
      </c>
      <c r="E1097" s="104" t="s">
        <v>343</v>
      </c>
      <c r="F1097" s="104" t="s">
        <v>835</v>
      </c>
      <c r="J1097" s="61">
        <v>97000</v>
      </c>
      <c r="L1097" s="49">
        <f t="shared" si="70"/>
        <v>155500</v>
      </c>
      <c r="M1097" s="50">
        <f t="shared" si="71"/>
        <v>0</v>
      </c>
    </row>
    <row r="1098" spans="1:13" x14ac:dyDescent="0.25">
      <c r="A1098" s="54">
        <v>45390</v>
      </c>
      <c r="B1098" s="24">
        <f t="shared" si="68"/>
        <v>4</v>
      </c>
      <c r="C1098" s="24">
        <f t="shared" si="69"/>
        <v>2024</v>
      </c>
      <c r="D1098" s="104" t="s">
        <v>352</v>
      </c>
      <c r="E1098" s="104" t="s">
        <v>343</v>
      </c>
      <c r="F1098" s="104" t="s">
        <v>804</v>
      </c>
      <c r="J1098" s="61">
        <v>500000</v>
      </c>
      <c r="L1098" s="49">
        <f t="shared" si="70"/>
        <v>655500</v>
      </c>
      <c r="M1098" s="50">
        <f t="shared" si="71"/>
        <v>0</v>
      </c>
    </row>
    <row r="1099" spans="1:13" x14ac:dyDescent="0.25">
      <c r="A1099" s="54">
        <v>45390</v>
      </c>
      <c r="B1099" s="24">
        <f t="shared" si="68"/>
        <v>4</v>
      </c>
      <c r="C1099" s="24">
        <f t="shared" si="69"/>
        <v>2024</v>
      </c>
      <c r="D1099" s="104" t="s">
        <v>110</v>
      </c>
      <c r="E1099" s="104" t="s">
        <v>343</v>
      </c>
      <c r="F1099" s="104" t="s">
        <v>836</v>
      </c>
      <c r="J1099" s="61">
        <v>10000</v>
      </c>
      <c r="L1099" s="49">
        <f t="shared" si="70"/>
        <v>665500</v>
      </c>
      <c r="M1099" s="50">
        <f t="shared" si="71"/>
        <v>0</v>
      </c>
    </row>
    <row r="1100" spans="1:13" x14ac:dyDescent="0.25">
      <c r="A1100" s="54">
        <v>45390</v>
      </c>
      <c r="B1100" s="24">
        <f t="shared" si="68"/>
        <v>4</v>
      </c>
      <c r="C1100" s="24">
        <f t="shared" si="69"/>
        <v>2024</v>
      </c>
      <c r="D1100" s="104" t="s">
        <v>352</v>
      </c>
      <c r="E1100" s="104" t="s">
        <v>343</v>
      </c>
      <c r="F1100" s="104" t="s">
        <v>843</v>
      </c>
      <c r="J1100" s="61">
        <v>197000</v>
      </c>
      <c r="L1100" s="49">
        <f t="shared" si="70"/>
        <v>862500</v>
      </c>
      <c r="M1100" s="50">
        <f t="shared" si="71"/>
        <v>0</v>
      </c>
    </row>
    <row r="1101" spans="1:13" x14ac:dyDescent="0.25">
      <c r="A1101" s="80">
        <v>45390</v>
      </c>
      <c r="B1101" s="24">
        <f t="shared" si="68"/>
        <v>4</v>
      </c>
      <c r="C1101" s="24">
        <f t="shared" si="69"/>
        <v>2024</v>
      </c>
      <c r="D1101" s="107" t="s">
        <v>361</v>
      </c>
      <c r="E1101" s="107" t="s">
        <v>343</v>
      </c>
      <c r="F1101" s="107"/>
      <c r="G1101" s="107"/>
      <c r="H1101" s="81"/>
      <c r="I1101" s="81"/>
      <c r="J1101" s="52"/>
      <c r="K1101" s="52">
        <v>832500</v>
      </c>
      <c r="L1101" s="49">
        <f t="shared" si="70"/>
        <v>30000</v>
      </c>
      <c r="M1101" s="50">
        <f t="shared" si="71"/>
        <v>0</v>
      </c>
    </row>
    <row r="1102" spans="1:13" x14ac:dyDescent="0.25">
      <c r="A1102" s="54">
        <v>45391</v>
      </c>
      <c r="B1102" s="24">
        <f t="shared" si="68"/>
        <v>4</v>
      </c>
      <c r="C1102" s="24">
        <f t="shared" si="69"/>
        <v>2024</v>
      </c>
      <c r="D1102" s="104" t="s">
        <v>384</v>
      </c>
      <c r="E1102" s="104" t="s">
        <v>343</v>
      </c>
      <c r="J1102" s="61">
        <v>103520</v>
      </c>
      <c r="L1102" s="49">
        <f t="shared" si="70"/>
        <v>133520</v>
      </c>
      <c r="M1102" s="50">
        <f t="shared" si="71"/>
        <v>0</v>
      </c>
    </row>
    <row r="1103" spans="1:13" x14ac:dyDescent="0.25">
      <c r="A1103" s="54">
        <v>45391</v>
      </c>
      <c r="B1103" s="24">
        <f t="shared" si="68"/>
        <v>4</v>
      </c>
      <c r="C1103" s="24">
        <f t="shared" si="69"/>
        <v>2024</v>
      </c>
      <c r="D1103" s="104" t="s">
        <v>92</v>
      </c>
      <c r="E1103" s="104" t="s">
        <v>92</v>
      </c>
      <c r="F1103" s="104" t="s">
        <v>838</v>
      </c>
      <c r="K1103" s="61">
        <v>103520</v>
      </c>
      <c r="L1103" s="49">
        <f t="shared" si="70"/>
        <v>30000</v>
      </c>
      <c r="M1103" s="50">
        <f t="shared" si="71"/>
        <v>0</v>
      </c>
    </row>
    <row r="1104" spans="1:13" x14ac:dyDescent="0.25">
      <c r="A1104" s="54">
        <v>45391</v>
      </c>
      <c r="B1104" s="24">
        <f t="shared" si="68"/>
        <v>4</v>
      </c>
      <c r="C1104" s="24">
        <f t="shared" si="69"/>
        <v>2024</v>
      </c>
      <c r="D1104" s="104" t="s">
        <v>384</v>
      </c>
      <c r="E1104" s="104" t="s">
        <v>343</v>
      </c>
      <c r="J1104" s="61">
        <v>9000</v>
      </c>
      <c r="L1104" s="49">
        <f t="shared" si="70"/>
        <v>39000</v>
      </c>
      <c r="M1104" s="50">
        <f t="shared" si="71"/>
        <v>0</v>
      </c>
    </row>
    <row r="1105" spans="1:13" x14ac:dyDescent="0.25">
      <c r="A1105" s="54">
        <v>45391</v>
      </c>
      <c r="B1105" s="24">
        <f t="shared" si="68"/>
        <v>4</v>
      </c>
      <c r="C1105" s="24">
        <f t="shared" si="69"/>
        <v>2024</v>
      </c>
      <c r="D1105" s="104" t="s">
        <v>92</v>
      </c>
      <c r="E1105" s="104" t="s">
        <v>92</v>
      </c>
      <c r="F1105" s="104" t="s">
        <v>286</v>
      </c>
      <c r="K1105" s="61">
        <v>9000</v>
      </c>
      <c r="L1105" s="49">
        <f t="shared" si="70"/>
        <v>30000</v>
      </c>
      <c r="M1105" s="50">
        <f t="shared" si="71"/>
        <v>0</v>
      </c>
    </row>
    <row r="1106" spans="1:13" x14ac:dyDescent="0.25">
      <c r="A1106" s="54">
        <v>45391</v>
      </c>
      <c r="B1106" s="24">
        <f t="shared" si="68"/>
        <v>4</v>
      </c>
      <c r="C1106" s="24">
        <f t="shared" si="69"/>
        <v>2024</v>
      </c>
      <c r="D1106" s="104" t="s">
        <v>384</v>
      </c>
      <c r="E1106" s="104" t="s">
        <v>343</v>
      </c>
      <c r="J1106" s="61">
        <v>10000</v>
      </c>
      <c r="L1106" s="49">
        <f t="shared" si="70"/>
        <v>40000</v>
      </c>
      <c r="M1106" s="50">
        <f t="shared" si="71"/>
        <v>0</v>
      </c>
    </row>
    <row r="1107" spans="1:13" x14ac:dyDescent="0.25">
      <c r="A1107" s="54">
        <v>45391</v>
      </c>
      <c r="B1107" s="24">
        <f t="shared" si="68"/>
        <v>4</v>
      </c>
      <c r="C1107" s="24">
        <f t="shared" si="69"/>
        <v>2024</v>
      </c>
      <c r="D1107" s="104" t="s">
        <v>124</v>
      </c>
      <c r="E1107" s="104" t="s">
        <v>343</v>
      </c>
      <c r="F1107" s="104" t="s">
        <v>840</v>
      </c>
      <c r="K1107" s="61">
        <v>10000</v>
      </c>
      <c r="L1107" s="49">
        <f t="shared" si="70"/>
        <v>30000</v>
      </c>
      <c r="M1107" s="50">
        <f t="shared" si="71"/>
        <v>0</v>
      </c>
    </row>
    <row r="1108" spans="1:13" x14ac:dyDescent="0.25">
      <c r="A1108" s="54">
        <v>45391</v>
      </c>
      <c r="B1108" s="24">
        <f t="shared" si="68"/>
        <v>4</v>
      </c>
      <c r="C1108" s="24">
        <f t="shared" si="69"/>
        <v>2024</v>
      </c>
      <c r="D1108" s="104" t="s">
        <v>352</v>
      </c>
      <c r="E1108" s="104" t="s">
        <v>343</v>
      </c>
      <c r="F1108" s="104" t="s">
        <v>842</v>
      </c>
      <c r="J1108" s="61">
        <v>100000</v>
      </c>
      <c r="L1108" s="49">
        <f t="shared" si="70"/>
        <v>130000</v>
      </c>
      <c r="M1108" s="50">
        <f t="shared" si="71"/>
        <v>0</v>
      </c>
    </row>
    <row r="1109" spans="1:13" x14ac:dyDescent="0.25">
      <c r="A1109" s="80">
        <v>45391</v>
      </c>
      <c r="B1109" s="24">
        <f t="shared" si="68"/>
        <v>4</v>
      </c>
      <c r="C1109" s="24">
        <f t="shared" si="69"/>
        <v>2024</v>
      </c>
      <c r="D1109" s="107" t="s">
        <v>361</v>
      </c>
      <c r="E1109" s="107" t="s">
        <v>343</v>
      </c>
      <c r="F1109" s="107"/>
      <c r="G1109" s="107"/>
      <c r="H1109" s="81"/>
      <c r="I1109" s="81"/>
      <c r="J1109" s="52"/>
      <c r="K1109" s="52">
        <v>100000</v>
      </c>
      <c r="L1109" s="49">
        <f t="shared" si="70"/>
        <v>30000</v>
      </c>
      <c r="M1109" s="50">
        <f t="shared" si="71"/>
        <v>0</v>
      </c>
    </row>
    <row r="1110" spans="1:13" x14ac:dyDescent="0.25">
      <c r="A1110" s="54">
        <v>45392</v>
      </c>
      <c r="B1110" s="24">
        <f t="shared" si="68"/>
        <v>4</v>
      </c>
      <c r="C1110" s="24">
        <f t="shared" si="69"/>
        <v>2024</v>
      </c>
      <c r="D1110" s="104" t="s">
        <v>384</v>
      </c>
      <c r="E1110" s="104" t="s">
        <v>343</v>
      </c>
      <c r="J1110" s="61">
        <v>65120</v>
      </c>
      <c r="L1110" s="49">
        <f t="shared" si="70"/>
        <v>95120</v>
      </c>
      <c r="M1110" s="50">
        <f t="shared" si="71"/>
        <v>0</v>
      </c>
    </row>
    <row r="1111" spans="1:13" x14ac:dyDescent="0.25">
      <c r="A1111" s="54">
        <v>45392</v>
      </c>
      <c r="B1111" s="24">
        <f t="shared" si="68"/>
        <v>4</v>
      </c>
      <c r="C1111" s="24">
        <f t="shared" si="69"/>
        <v>2024</v>
      </c>
      <c r="D1111" s="104" t="s">
        <v>124</v>
      </c>
      <c r="E1111" s="104" t="s">
        <v>343</v>
      </c>
      <c r="G1111" s="104" t="s">
        <v>98</v>
      </c>
      <c r="K1111" s="61">
        <v>65120</v>
      </c>
      <c r="L1111" s="49">
        <f t="shared" si="70"/>
        <v>30000</v>
      </c>
      <c r="M1111" s="50">
        <f t="shared" si="71"/>
        <v>0</v>
      </c>
    </row>
    <row r="1112" spans="1:13" x14ac:dyDescent="0.25">
      <c r="A1112" s="54">
        <v>45393</v>
      </c>
      <c r="B1112" s="24">
        <f t="shared" si="68"/>
        <v>4</v>
      </c>
      <c r="C1112" s="24">
        <f t="shared" si="69"/>
        <v>2024</v>
      </c>
      <c r="D1112" s="104" t="s">
        <v>384</v>
      </c>
      <c r="E1112" s="104" t="s">
        <v>343</v>
      </c>
      <c r="J1112" s="61">
        <v>37500</v>
      </c>
      <c r="L1112" s="49">
        <f t="shared" si="70"/>
        <v>67500</v>
      </c>
      <c r="M1112" s="50">
        <f t="shared" si="71"/>
        <v>0</v>
      </c>
    </row>
    <row r="1113" spans="1:13" x14ac:dyDescent="0.25">
      <c r="A1113" s="54">
        <v>45393</v>
      </c>
      <c r="B1113" s="24">
        <f t="shared" si="68"/>
        <v>4</v>
      </c>
      <c r="C1113" s="24">
        <f t="shared" si="69"/>
        <v>2024</v>
      </c>
      <c r="D1113" s="104" t="s">
        <v>124</v>
      </c>
      <c r="E1113" s="104" t="s">
        <v>343</v>
      </c>
      <c r="F1113" s="104" t="s">
        <v>844</v>
      </c>
      <c r="K1113" s="61">
        <v>37500</v>
      </c>
      <c r="L1113" s="49">
        <f t="shared" si="70"/>
        <v>30000</v>
      </c>
      <c r="M1113" s="50">
        <f t="shared" si="71"/>
        <v>0</v>
      </c>
    </row>
    <row r="1114" spans="1:13" x14ac:dyDescent="0.25">
      <c r="A1114" s="54">
        <v>45393</v>
      </c>
      <c r="B1114" s="24">
        <f t="shared" si="68"/>
        <v>4</v>
      </c>
      <c r="C1114" s="24">
        <f t="shared" si="69"/>
        <v>2024</v>
      </c>
      <c r="D1114" s="104" t="s">
        <v>352</v>
      </c>
      <c r="E1114" s="104" t="s">
        <v>343</v>
      </c>
      <c r="F1114" s="104" t="s">
        <v>546</v>
      </c>
      <c r="J1114" s="61">
        <v>41600</v>
      </c>
      <c r="L1114" s="49">
        <f t="shared" si="70"/>
        <v>71600</v>
      </c>
      <c r="M1114" s="50">
        <f t="shared" si="71"/>
        <v>0</v>
      </c>
    </row>
    <row r="1115" spans="1:13" x14ac:dyDescent="0.25">
      <c r="A1115" s="54">
        <v>45393</v>
      </c>
      <c r="B1115" s="24">
        <f t="shared" si="68"/>
        <v>4</v>
      </c>
      <c r="C1115" s="24">
        <f t="shared" si="69"/>
        <v>2024</v>
      </c>
      <c r="D1115" s="104" t="s">
        <v>109</v>
      </c>
      <c r="E1115" s="104" t="s">
        <v>343</v>
      </c>
      <c r="F1115" s="104" t="s">
        <v>354</v>
      </c>
      <c r="K1115" s="61">
        <v>1800</v>
      </c>
      <c r="L1115" s="49">
        <f t="shared" si="70"/>
        <v>69800</v>
      </c>
      <c r="M1115" s="50">
        <f t="shared" si="71"/>
        <v>0</v>
      </c>
    </row>
    <row r="1116" spans="1:13" x14ac:dyDescent="0.25">
      <c r="A1116" s="80">
        <v>45393</v>
      </c>
      <c r="B1116" s="24">
        <f t="shared" si="68"/>
        <v>4</v>
      </c>
      <c r="C1116" s="24">
        <f t="shared" si="69"/>
        <v>2024</v>
      </c>
      <c r="D1116" s="107" t="s">
        <v>361</v>
      </c>
      <c r="E1116" s="107" t="s">
        <v>343</v>
      </c>
      <c r="F1116" s="107"/>
      <c r="G1116" s="107"/>
      <c r="H1116" s="81"/>
      <c r="I1116" s="81"/>
      <c r="J1116" s="52"/>
      <c r="K1116" s="52">
        <v>39800</v>
      </c>
      <c r="L1116" s="49">
        <f t="shared" si="70"/>
        <v>30000</v>
      </c>
      <c r="M1116" s="50">
        <f t="shared" si="71"/>
        <v>0</v>
      </c>
    </row>
    <row r="1117" spans="1:13" x14ac:dyDescent="0.25">
      <c r="A1117" s="54">
        <v>45397</v>
      </c>
      <c r="B1117" s="24">
        <f t="shared" si="68"/>
        <v>4</v>
      </c>
      <c r="C1117" s="24">
        <f t="shared" si="69"/>
        <v>2024</v>
      </c>
      <c r="D1117" s="104" t="s">
        <v>352</v>
      </c>
      <c r="E1117" s="104" t="s">
        <v>343</v>
      </c>
      <c r="F1117" s="104" t="s">
        <v>287</v>
      </c>
      <c r="J1117" s="61">
        <v>107000</v>
      </c>
      <c r="L1117" s="49">
        <f t="shared" si="70"/>
        <v>137000</v>
      </c>
      <c r="M1117" s="50">
        <f t="shared" si="71"/>
        <v>0</v>
      </c>
    </row>
    <row r="1118" spans="1:13" x14ac:dyDescent="0.25">
      <c r="A1118" s="80">
        <v>45397</v>
      </c>
      <c r="B1118" s="24">
        <f t="shared" si="68"/>
        <v>4</v>
      </c>
      <c r="C1118" s="24">
        <f t="shared" si="69"/>
        <v>2024</v>
      </c>
      <c r="D1118" s="107" t="s">
        <v>361</v>
      </c>
      <c r="E1118" s="107" t="s">
        <v>343</v>
      </c>
      <c r="F1118" s="107"/>
      <c r="G1118" s="107"/>
      <c r="H1118" s="81"/>
      <c r="I1118" s="81"/>
      <c r="J1118" s="52"/>
      <c r="K1118" s="52">
        <v>107000</v>
      </c>
      <c r="L1118" s="49">
        <f t="shared" si="70"/>
        <v>30000</v>
      </c>
      <c r="M1118" s="50">
        <f t="shared" si="71"/>
        <v>0</v>
      </c>
    </row>
    <row r="1119" spans="1:13" x14ac:dyDescent="0.25">
      <c r="A1119" s="54">
        <v>45398</v>
      </c>
      <c r="B1119" s="24">
        <f t="shared" si="68"/>
        <v>4</v>
      </c>
      <c r="C1119" s="24">
        <f t="shared" si="69"/>
        <v>2024</v>
      </c>
      <c r="D1119" s="104" t="s">
        <v>360</v>
      </c>
      <c r="E1119" s="104" t="s">
        <v>343</v>
      </c>
      <c r="K1119" s="61">
        <v>6000</v>
      </c>
      <c r="L1119" s="49">
        <f t="shared" si="70"/>
        <v>24000</v>
      </c>
      <c r="M1119" s="50">
        <f t="shared" si="71"/>
        <v>0</v>
      </c>
    </row>
    <row r="1120" spans="1:13" x14ac:dyDescent="0.25">
      <c r="A1120" s="54">
        <v>45398</v>
      </c>
      <c r="B1120" s="24">
        <f t="shared" si="68"/>
        <v>4</v>
      </c>
      <c r="C1120" s="24">
        <f t="shared" si="69"/>
        <v>2024</v>
      </c>
      <c r="D1120" s="104" t="s">
        <v>109</v>
      </c>
      <c r="E1120" s="104" t="s">
        <v>343</v>
      </c>
      <c r="K1120" s="61">
        <v>2000</v>
      </c>
      <c r="L1120" s="49">
        <f t="shared" si="70"/>
        <v>22000</v>
      </c>
      <c r="M1120" s="50">
        <f t="shared" si="71"/>
        <v>0</v>
      </c>
    </row>
    <row r="1121" spans="1:13" x14ac:dyDescent="0.25">
      <c r="A1121" s="54">
        <v>45398</v>
      </c>
      <c r="B1121" s="24">
        <f t="shared" si="68"/>
        <v>4</v>
      </c>
      <c r="C1121" s="24">
        <f t="shared" si="69"/>
        <v>2024</v>
      </c>
      <c r="D1121" s="104" t="s">
        <v>109</v>
      </c>
      <c r="E1121" s="104" t="s">
        <v>343</v>
      </c>
      <c r="F1121" s="104" t="s">
        <v>693</v>
      </c>
      <c r="K1121" s="61">
        <v>7600</v>
      </c>
      <c r="L1121" s="49">
        <f t="shared" si="70"/>
        <v>14400</v>
      </c>
      <c r="M1121" s="50">
        <f t="shared" si="71"/>
        <v>0</v>
      </c>
    </row>
    <row r="1122" spans="1:13" x14ac:dyDescent="0.25">
      <c r="A1122" s="54">
        <v>45398</v>
      </c>
      <c r="B1122" s="24">
        <f t="shared" si="68"/>
        <v>4</v>
      </c>
      <c r="C1122" s="24">
        <f t="shared" si="69"/>
        <v>2024</v>
      </c>
      <c r="D1122" s="104" t="s">
        <v>352</v>
      </c>
      <c r="E1122" s="104" t="s">
        <v>343</v>
      </c>
      <c r="F1122" s="104" t="s">
        <v>849</v>
      </c>
      <c r="J1122" s="61">
        <v>70000</v>
      </c>
      <c r="L1122" s="49">
        <f t="shared" si="70"/>
        <v>84400</v>
      </c>
      <c r="M1122" s="50">
        <f t="shared" si="71"/>
        <v>0</v>
      </c>
    </row>
    <row r="1123" spans="1:13" x14ac:dyDescent="0.25">
      <c r="A1123" s="54">
        <v>45398</v>
      </c>
      <c r="B1123" s="24">
        <f t="shared" si="68"/>
        <v>4</v>
      </c>
      <c r="C1123" s="24">
        <f t="shared" si="69"/>
        <v>2024</v>
      </c>
      <c r="D1123" s="104" t="s">
        <v>135</v>
      </c>
      <c r="E1123" s="104" t="s">
        <v>343</v>
      </c>
      <c r="F1123" s="104" t="s">
        <v>850</v>
      </c>
      <c r="K1123" s="61">
        <v>6000</v>
      </c>
      <c r="L1123" s="49">
        <f t="shared" si="70"/>
        <v>78400</v>
      </c>
      <c r="M1123" s="50">
        <f t="shared" si="71"/>
        <v>0</v>
      </c>
    </row>
    <row r="1124" spans="1:13" x14ac:dyDescent="0.25">
      <c r="A1124" s="80">
        <v>45398</v>
      </c>
      <c r="B1124" s="24">
        <f t="shared" si="68"/>
        <v>4</v>
      </c>
      <c r="C1124" s="24">
        <f t="shared" si="69"/>
        <v>2024</v>
      </c>
      <c r="D1124" s="107" t="s">
        <v>361</v>
      </c>
      <c r="E1124" s="107" t="s">
        <v>343</v>
      </c>
      <c r="F1124" s="107"/>
      <c r="G1124" s="107"/>
      <c r="H1124" s="81"/>
      <c r="I1124" s="81"/>
      <c r="J1124" s="52"/>
      <c r="K1124" s="52">
        <v>48400</v>
      </c>
      <c r="L1124" s="49">
        <f t="shared" si="70"/>
        <v>30000</v>
      </c>
      <c r="M1124" s="50">
        <f t="shared" si="71"/>
        <v>0</v>
      </c>
    </row>
    <row r="1125" spans="1:13" x14ac:dyDescent="0.25">
      <c r="A1125" s="54">
        <v>45399</v>
      </c>
      <c r="B1125" s="24">
        <f t="shared" si="68"/>
        <v>4</v>
      </c>
      <c r="C1125" s="24">
        <f t="shared" si="69"/>
        <v>2024</v>
      </c>
      <c r="D1125" s="104" t="s">
        <v>352</v>
      </c>
      <c r="E1125" s="104" t="s">
        <v>343</v>
      </c>
      <c r="F1125" s="104" t="s">
        <v>851</v>
      </c>
      <c r="J1125" s="61">
        <v>40000</v>
      </c>
      <c r="L1125" s="49">
        <f t="shared" si="70"/>
        <v>70000</v>
      </c>
      <c r="M1125" s="50">
        <f t="shared" si="71"/>
        <v>0</v>
      </c>
    </row>
    <row r="1126" spans="1:13" x14ac:dyDescent="0.25">
      <c r="A1126" s="54">
        <v>45399</v>
      </c>
      <c r="B1126" s="24">
        <f t="shared" si="68"/>
        <v>4</v>
      </c>
      <c r="C1126" s="24">
        <f t="shared" si="69"/>
        <v>2024</v>
      </c>
      <c r="D1126" s="104" t="s">
        <v>352</v>
      </c>
      <c r="E1126" s="104" t="s">
        <v>343</v>
      </c>
      <c r="F1126" s="104" t="s">
        <v>849</v>
      </c>
      <c r="J1126" s="61">
        <v>13000</v>
      </c>
      <c r="L1126" s="49">
        <f t="shared" si="70"/>
        <v>83000</v>
      </c>
      <c r="M1126" s="50">
        <f t="shared" si="71"/>
        <v>0</v>
      </c>
    </row>
    <row r="1127" spans="1:13" x14ac:dyDescent="0.25">
      <c r="A1127" s="80">
        <v>45399</v>
      </c>
      <c r="B1127" s="24">
        <f t="shared" si="68"/>
        <v>4</v>
      </c>
      <c r="C1127" s="24">
        <f t="shared" si="69"/>
        <v>2024</v>
      </c>
      <c r="D1127" s="107" t="s">
        <v>361</v>
      </c>
      <c r="E1127" s="107" t="s">
        <v>343</v>
      </c>
      <c r="F1127" s="107"/>
      <c r="G1127" s="107"/>
      <c r="H1127" s="81"/>
      <c r="I1127" s="81"/>
      <c r="J1127" s="52"/>
      <c r="K1127" s="52">
        <v>53000</v>
      </c>
      <c r="L1127" s="49">
        <f t="shared" si="70"/>
        <v>30000</v>
      </c>
      <c r="M1127" s="50">
        <f t="shared" si="71"/>
        <v>0</v>
      </c>
    </row>
    <row r="1128" spans="1:13" x14ac:dyDescent="0.25">
      <c r="A1128" s="54">
        <v>45400</v>
      </c>
      <c r="B1128" s="24">
        <f t="shared" si="68"/>
        <v>4</v>
      </c>
      <c r="C1128" s="24">
        <f t="shared" si="69"/>
        <v>2024</v>
      </c>
      <c r="D1128" s="104" t="s">
        <v>384</v>
      </c>
      <c r="E1128" s="104" t="s">
        <v>343</v>
      </c>
      <c r="J1128" s="61">
        <v>192700</v>
      </c>
      <c r="L1128" s="49">
        <f t="shared" si="70"/>
        <v>222700</v>
      </c>
      <c r="M1128" s="50">
        <f t="shared" si="71"/>
        <v>0</v>
      </c>
    </row>
    <row r="1129" spans="1:13" x14ac:dyDescent="0.25">
      <c r="A1129" s="54">
        <v>45400</v>
      </c>
      <c r="B1129" s="24">
        <f t="shared" si="68"/>
        <v>4</v>
      </c>
      <c r="C1129" s="24">
        <f t="shared" si="69"/>
        <v>2024</v>
      </c>
      <c r="D1129" s="104" t="s">
        <v>124</v>
      </c>
      <c r="E1129" s="104" t="s">
        <v>343</v>
      </c>
      <c r="F1129" s="104" t="s">
        <v>826</v>
      </c>
      <c r="K1129" s="61">
        <v>192700</v>
      </c>
      <c r="L1129" s="49">
        <f t="shared" si="70"/>
        <v>30000</v>
      </c>
      <c r="M1129" s="50">
        <f t="shared" si="71"/>
        <v>0</v>
      </c>
    </row>
    <row r="1130" spans="1:13" x14ac:dyDescent="0.25">
      <c r="A1130" s="54">
        <v>45400</v>
      </c>
      <c r="B1130" s="24">
        <f t="shared" si="68"/>
        <v>4</v>
      </c>
      <c r="C1130" s="24">
        <f t="shared" si="69"/>
        <v>2024</v>
      </c>
      <c r="D1130" s="104" t="s">
        <v>92</v>
      </c>
      <c r="E1130" s="104" t="s">
        <v>92</v>
      </c>
      <c r="K1130" s="61">
        <v>4100</v>
      </c>
      <c r="L1130" s="49">
        <f t="shared" si="70"/>
        <v>25900</v>
      </c>
      <c r="M1130" s="50">
        <f t="shared" si="71"/>
        <v>0</v>
      </c>
    </row>
    <row r="1131" spans="1:13" x14ac:dyDescent="0.25">
      <c r="A1131" s="54">
        <v>45400</v>
      </c>
      <c r="B1131" s="24">
        <f t="shared" si="68"/>
        <v>4</v>
      </c>
      <c r="C1131" s="24">
        <f t="shared" si="69"/>
        <v>2024</v>
      </c>
      <c r="D1131" s="104" t="s">
        <v>384</v>
      </c>
      <c r="E1131" s="104" t="s">
        <v>343</v>
      </c>
      <c r="J1131" s="61">
        <v>833580</v>
      </c>
      <c r="L1131" s="49">
        <f t="shared" si="70"/>
        <v>859480</v>
      </c>
      <c r="M1131" s="50">
        <f t="shared" si="71"/>
        <v>0</v>
      </c>
    </row>
    <row r="1132" spans="1:13" x14ac:dyDescent="0.25">
      <c r="A1132" s="54">
        <v>45400</v>
      </c>
      <c r="B1132" s="24">
        <f t="shared" si="68"/>
        <v>4</v>
      </c>
      <c r="C1132" s="24">
        <f t="shared" si="69"/>
        <v>2024</v>
      </c>
      <c r="D1132" s="104" t="s">
        <v>124</v>
      </c>
      <c r="E1132" s="104" t="s">
        <v>343</v>
      </c>
      <c r="G1132" s="104" t="s">
        <v>852</v>
      </c>
      <c r="K1132" s="61">
        <v>833580</v>
      </c>
      <c r="L1132" s="49">
        <f t="shared" si="70"/>
        <v>25900</v>
      </c>
      <c r="M1132" s="50">
        <f t="shared" si="71"/>
        <v>0</v>
      </c>
    </row>
    <row r="1133" spans="1:13" x14ac:dyDescent="0.25">
      <c r="A1133" s="134">
        <v>45400</v>
      </c>
      <c r="B1133" s="24">
        <f t="shared" si="68"/>
        <v>4</v>
      </c>
      <c r="C1133" s="24">
        <f t="shared" si="69"/>
        <v>2024</v>
      </c>
      <c r="D1133" s="135" t="s">
        <v>384</v>
      </c>
      <c r="E1133" s="135" t="s">
        <v>343</v>
      </c>
      <c r="F1133" s="135"/>
      <c r="G1133" s="135"/>
      <c r="H1133" s="136"/>
      <c r="I1133" s="136"/>
      <c r="J1133" s="137">
        <v>4100</v>
      </c>
      <c r="L1133" s="49">
        <f t="shared" si="70"/>
        <v>30000</v>
      </c>
      <c r="M1133" s="50">
        <f t="shared" si="71"/>
        <v>0</v>
      </c>
    </row>
    <row r="1134" spans="1:13" x14ac:dyDescent="0.25">
      <c r="A1134" s="54">
        <v>45401</v>
      </c>
      <c r="B1134" s="24">
        <f t="shared" si="68"/>
        <v>4</v>
      </c>
      <c r="C1134" s="24">
        <f t="shared" si="69"/>
        <v>2024</v>
      </c>
      <c r="D1134" s="104" t="s">
        <v>352</v>
      </c>
      <c r="E1134" s="104" t="s">
        <v>343</v>
      </c>
      <c r="F1134" s="104" t="s">
        <v>772</v>
      </c>
      <c r="J1134" s="61">
        <v>40000</v>
      </c>
      <c r="L1134" s="49">
        <f t="shared" si="70"/>
        <v>70000</v>
      </c>
      <c r="M1134" s="50">
        <f t="shared" si="71"/>
        <v>0</v>
      </c>
    </row>
    <row r="1135" spans="1:13" x14ac:dyDescent="0.25">
      <c r="A1135" s="54">
        <v>45401</v>
      </c>
      <c r="B1135" s="24">
        <f t="shared" si="68"/>
        <v>4</v>
      </c>
      <c r="C1135" s="24">
        <f t="shared" si="69"/>
        <v>2024</v>
      </c>
      <c r="D1135" s="104" t="s">
        <v>352</v>
      </c>
      <c r="E1135" s="104" t="s">
        <v>343</v>
      </c>
      <c r="F1135" s="104" t="s">
        <v>853</v>
      </c>
      <c r="J1135" s="61">
        <v>50000</v>
      </c>
      <c r="L1135" s="49">
        <f t="shared" si="70"/>
        <v>120000</v>
      </c>
      <c r="M1135" s="50">
        <f t="shared" si="71"/>
        <v>0</v>
      </c>
    </row>
    <row r="1136" spans="1:13" x14ac:dyDescent="0.25">
      <c r="A1136" s="54">
        <v>45401</v>
      </c>
      <c r="B1136" s="24">
        <f t="shared" si="68"/>
        <v>4</v>
      </c>
      <c r="C1136" s="24">
        <f t="shared" si="69"/>
        <v>2024</v>
      </c>
      <c r="D1136" s="104" t="s">
        <v>109</v>
      </c>
      <c r="E1136" s="104" t="s">
        <v>343</v>
      </c>
      <c r="F1136" s="104" t="s">
        <v>354</v>
      </c>
      <c r="K1136" s="61">
        <v>4500</v>
      </c>
      <c r="L1136" s="49">
        <f t="shared" si="70"/>
        <v>115500</v>
      </c>
      <c r="M1136" s="50">
        <f t="shared" si="71"/>
        <v>0</v>
      </c>
    </row>
    <row r="1137" spans="1:13" x14ac:dyDescent="0.25">
      <c r="A1137" s="54">
        <v>45401</v>
      </c>
      <c r="B1137" s="24">
        <f t="shared" si="68"/>
        <v>4</v>
      </c>
      <c r="C1137" s="24">
        <f t="shared" si="69"/>
        <v>2024</v>
      </c>
      <c r="D1137" s="104" t="s">
        <v>109</v>
      </c>
      <c r="E1137" s="104" t="s">
        <v>343</v>
      </c>
      <c r="F1137" s="104" t="s">
        <v>854</v>
      </c>
      <c r="K1137" s="61">
        <v>60000</v>
      </c>
      <c r="L1137" s="49">
        <f t="shared" si="70"/>
        <v>55500</v>
      </c>
      <c r="M1137" s="50">
        <f t="shared" si="71"/>
        <v>0</v>
      </c>
    </row>
    <row r="1138" spans="1:13" x14ac:dyDescent="0.25">
      <c r="A1138" s="54">
        <v>45401</v>
      </c>
      <c r="B1138" s="24">
        <f t="shared" si="68"/>
        <v>4</v>
      </c>
      <c r="C1138" s="24">
        <f t="shared" si="69"/>
        <v>2024</v>
      </c>
      <c r="D1138" s="104" t="s">
        <v>384</v>
      </c>
      <c r="E1138" s="104" t="s">
        <v>343</v>
      </c>
      <c r="J1138" s="61">
        <v>14800</v>
      </c>
      <c r="L1138" s="49">
        <f t="shared" si="70"/>
        <v>70300</v>
      </c>
      <c r="M1138" s="50">
        <f t="shared" si="71"/>
        <v>0</v>
      </c>
    </row>
    <row r="1139" spans="1:13" x14ac:dyDescent="0.25">
      <c r="A1139" s="54">
        <v>45401</v>
      </c>
      <c r="B1139" s="24">
        <f t="shared" si="68"/>
        <v>4</v>
      </c>
      <c r="C1139" s="24">
        <f t="shared" si="69"/>
        <v>2024</v>
      </c>
      <c r="D1139" s="104" t="s">
        <v>109</v>
      </c>
      <c r="E1139" s="104" t="s">
        <v>343</v>
      </c>
      <c r="F1139" s="104" t="s">
        <v>854</v>
      </c>
      <c r="K1139" s="61">
        <v>14800</v>
      </c>
      <c r="L1139" s="49">
        <f t="shared" si="70"/>
        <v>55500</v>
      </c>
      <c r="M1139" s="50">
        <f t="shared" si="71"/>
        <v>0</v>
      </c>
    </row>
    <row r="1140" spans="1:13" x14ac:dyDescent="0.25">
      <c r="A1140" s="54">
        <v>45401</v>
      </c>
      <c r="B1140" s="24">
        <f t="shared" si="68"/>
        <v>4</v>
      </c>
      <c r="C1140" s="24">
        <f t="shared" si="69"/>
        <v>2024</v>
      </c>
      <c r="D1140" s="104" t="s">
        <v>360</v>
      </c>
      <c r="E1140" s="104" t="s">
        <v>343</v>
      </c>
      <c r="K1140" s="61">
        <v>5000</v>
      </c>
      <c r="L1140" s="49">
        <f t="shared" si="70"/>
        <v>50500</v>
      </c>
      <c r="M1140" s="50">
        <f t="shared" si="71"/>
        <v>0</v>
      </c>
    </row>
    <row r="1141" spans="1:13" x14ac:dyDescent="0.25">
      <c r="A1141" s="54">
        <v>45401</v>
      </c>
      <c r="B1141" s="24">
        <f t="shared" si="68"/>
        <v>4</v>
      </c>
      <c r="C1141" s="24">
        <f t="shared" si="69"/>
        <v>2024</v>
      </c>
      <c r="D1141" s="104" t="s">
        <v>352</v>
      </c>
      <c r="E1141" s="104" t="s">
        <v>343</v>
      </c>
      <c r="F1141" s="104" t="s">
        <v>456</v>
      </c>
      <c r="J1141" s="61">
        <v>10000</v>
      </c>
      <c r="L1141" s="49">
        <f t="shared" si="70"/>
        <v>60500</v>
      </c>
      <c r="M1141" s="50">
        <f t="shared" si="71"/>
        <v>0</v>
      </c>
    </row>
    <row r="1142" spans="1:13" x14ac:dyDescent="0.25">
      <c r="A1142" s="54">
        <v>45401</v>
      </c>
      <c r="B1142" s="24">
        <f t="shared" si="68"/>
        <v>4</v>
      </c>
      <c r="C1142" s="24">
        <f t="shared" si="69"/>
        <v>2024</v>
      </c>
      <c r="D1142" s="104" t="s">
        <v>109</v>
      </c>
      <c r="E1142" s="104" t="s">
        <v>343</v>
      </c>
      <c r="K1142" s="61">
        <v>10000</v>
      </c>
      <c r="L1142" s="49">
        <f t="shared" si="70"/>
        <v>50500</v>
      </c>
      <c r="M1142" s="50">
        <f t="shared" si="71"/>
        <v>0</v>
      </c>
    </row>
    <row r="1143" spans="1:13" x14ac:dyDescent="0.25">
      <c r="A1143" s="54">
        <v>45401</v>
      </c>
      <c r="B1143" s="24">
        <f t="shared" si="68"/>
        <v>4</v>
      </c>
      <c r="C1143" s="24">
        <f t="shared" si="69"/>
        <v>2024</v>
      </c>
      <c r="D1143" s="104" t="s">
        <v>352</v>
      </c>
      <c r="E1143" s="104" t="s">
        <v>343</v>
      </c>
      <c r="F1143" s="104" t="s">
        <v>449</v>
      </c>
      <c r="J1143" s="61">
        <v>40000</v>
      </c>
      <c r="L1143" s="49">
        <f t="shared" si="70"/>
        <v>90500</v>
      </c>
      <c r="M1143" s="50">
        <f t="shared" si="71"/>
        <v>0</v>
      </c>
    </row>
    <row r="1144" spans="1:13" x14ac:dyDescent="0.25">
      <c r="A1144" s="54">
        <v>45401</v>
      </c>
      <c r="B1144" s="24">
        <f t="shared" si="68"/>
        <v>4</v>
      </c>
      <c r="C1144" s="24">
        <f t="shared" si="69"/>
        <v>2024</v>
      </c>
      <c r="D1144" s="104" t="s">
        <v>124</v>
      </c>
      <c r="E1144" s="104" t="s">
        <v>343</v>
      </c>
      <c r="F1144" s="104" t="s">
        <v>858</v>
      </c>
      <c r="K1144" s="61">
        <v>10000</v>
      </c>
      <c r="L1144" s="49">
        <f t="shared" si="70"/>
        <v>80500</v>
      </c>
      <c r="M1144" s="50">
        <f t="shared" si="71"/>
        <v>0</v>
      </c>
    </row>
    <row r="1145" spans="1:13" x14ac:dyDescent="0.25">
      <c r="A1145" s="80">
        <v>45401</v>
      </c>
      <c r="B1145" s="24">
        <f t="shared" si="68"/>
        <v>4</v>
      </c>
      <c r="C1145" s="24">
        <f t="shared" si="69"/>
        <v>2024</v>
      </c>
      <c r="D1145" s="107" t="s">
        <v>122</v>
      </c>
      <c r="E1145" s="107" t="s">
        <v>93</v>
      </c>
      <c r="F1145" s="107"/>
      <c r="G1145" s="107"/>
      <c r="H1145" s="81"/>
      <c r="I1145" s="81"/>
      <c r="J1145" s="52"/>
      <c r="K1145" s="52">
        <v>50500</v>
      </c>
      <c r="L1145" s="49">
        <f t="shared" si="70"/>
        <v>30000</v>
      </c>
      <c r="M1145" s="50">
        <f t="shared" si="71"/>
        <v>0</v>
      </c>
    </row>
    <row r="1146" spans="1:13" x14ac:dyDescent="0.25">
      <c r="A1146" s="54">
        <v>45402</v>
      </c>
      <c r="B1146" s="24">
        <f t="shared" si="68"/>
        <v>4</v>
      </c>
      <c r="C1146" s="24">
        <f t="shared" si="69"/>
        <v>2024</v>
      </c>
      <c r="D1146" s="104" t="s">
        <v>384</v>
      </c>
      <c r="E1146" s="104" t="s">
        <v>343</v>
      </c>
      <c r="J1146" s="61">
        <v>150000</v>
      </c>
      <c r="L1146" s="49">
        <f t="shared" si="70"/>
        <v>180000</v>
      </c>
      <c r="M1146" s="50">
        <f t="shared" si="71"/>
        <v>0</v>
      </c>
    </row>
    <row r="1147" spans="1:13" x14ac:dyDescent="0.25">
      <c r="A1147" s="54">
        <v>45402</v>
      </c>
      <c r="B1147" s="24">
        <f t="shared" si="68"/>
        <v>4</v>
      </c>
      <c r="C1147" s="24">
        <f t="shared" si="69"/>
        <v>2024</v>
      </c>
      <c r="D1147" s="104" t="s">
        <v>501</v>
      </c>
      <c r="E1147" s="104" t="s">
        <v>343</v>
      </c>
      <c r="F1147" s="104" t="s">
        <v>655</v>
      </c>
      <c r="K1147" s="61">
        <v>150000</v>
      </c>
      <c r="L1147" s="49">
        <f t="shared" si="70"/>
        <v>30000</v>
      </c>
      <c r="M1147" s="50">
        <f t="shared" si="71"/>
        <v>0</v>
      </c>
    </row>
    <row r="1148" spans="1:13" x14ac:dyDescent="0.25">
      <c r="A1148" s="54">
        <v>45405</v>
      </c>
      <c r="B1148" s="24">
        <f t="shared" si="68"/>
        <v>4</v>
      </c>
      <c r="C1148" s="24">
        <f t="shared" si="69"/>
        <v>2024</v>
      </c>
      <c r="D1148" s="104" t="s">
        <v>352</v>
      </c>
      <c r="E1148" s="104" t="s">
        <v>343</v>
      </c>
      <c r="F1148" s="104" t="s">
        <v>608</v>
      </c>
      <c r="J1148" s="61">
        <v>148000</v>
      </c>
      <c r="L1148" s="49">
        <f t="shared" si="70"/>
        <v>178000</v>
      </c>
      <c r="M1148" s="50">
        <f t="shared" si="71"/>
        <v>0</v>
      </c>
    </row>
    <row r="1149" spans="1:13" x14ac:dyDescent="0.25">
      <c r="A1149" s="54">
        <v>45405</v>
      </c>
      <c r="B1149" s="24">
        <f t="shared" si="68"/>
        <v>4</v>
      </c>
      <c r="C1149" s="24">
        <f t="shared" si="69"/>
        <v>2024</v>
      </c>
      <c r="D1149" s="104" t="s">
        <v>110</v>
      </c>
      <c r="E1149" s="104" t="s">
        <v>343</v>
      </c>
      <c r="F1149" s="104" t="s">
        <v>862</v>
      </c>
      <c r="J1149" s="61">
        <v>3000</v>
      </c>
      <c r="L1149" s="49">
        <f t="shared" si="70"/>
        <v>181000</v>
      </c>
      <c r="M1149" s="50">
        <f t="shared" si="71"/>
        <v>0</v>
      </c>
    </row>
    <row r="1150" spans="1:13" x14ac:dyDescent="0.25">
      <c r="A1150" s="54">
        <v>45405</v>
      </c>
      <c r="B1150" s="24">
        <f t="shared" si="68"/>
        <v>4</v>
      </c>
      <c r="C1150" s="24">
        <f t="shared" si="69"/>
        <v>2024</v>
      </c>
      <c r="D1150" s="104" t="s">
        <v>109</v>
      </c>
      <c r="E1150" s="104" t="s">
        <v>343</v>
      </c>
      <c r="K1150" s="61">
        <v>800</v>
      </c>
      <c r="L1150" s="49">
        <f t="shared" si="70"/>
        <v>180200</v>
      </c>
      <c r="M1150" s="50">
        <f t="shared" si="71"/>
        <v>0</v>
      </c>
    </row>
    <row r="1151" spans="1:13" x14ac:dyDescent="0.25">
      <c r="A1151" s="54">
        <v>45405</v>
      </c>
      <c r="B1151" s="24">
        <f t="shared" si="68"/>
        <v>4</v>
      </c>
      <c r="C1151" s="24">
        <f t="shared" si="69"/>
        <v>2024</v>
      </c>
      <c r="D1151" s="104" t="s">
        <v>352</v>
      </c>
      <c r="E1151" s="104" t="s">
        <v>343</v>
      </c>
      <c r="F1151" s="104" t="s">
        <v>863</v>
      </c>
      <c r="J1151" s="61">
        <v>80000</v>
      </c>
      <c r="L1151" s="49">
        <f t="shared" si="70"/>
        <v>260200</v>
      </c>
      <c r="M1151" s="50">
        <f t="shared" si="71"/>
        <v>0</v>
      </c>
    </row>
    <row r="1152" spans="1:13" x14ac:dyDescent="0.25">
      <c r="A1152" s="54">
        <v>45405</v>
      </c>
      <c r="B1152" s="24">
        <f t="shared" si="68"/>
        <v>4</v>
      </c>
      <c r="C1152" s="24">
        <f t="shared" si="69"/>
        <v>2024</v>
      </c>
      <c r="D1152" s="104" t="s">
        <v>92</v>
      </c>
      <c r="E1152" s="104" t="s">
        <v>92</v>
      </c>
      <c r="F1152" s="104" t="s">
        <v>864</v>
      </c>
      <c r="K1152" s="61">
        <v>103000</v>
      </c>
      <c r="L1152" s="49">
        <f t="shared" si="70"/>
        <v>157200</v>
      </c>
      <c r="M1152" s="50">
        <f t="shared" si="71"/>
        <v>0</v>
      </c>
    </row>
    <row r="1153" spans="1:13" x14ac:dyDescent="0.25">
      <c r="A1153" s="54">
        <v>45405</v>
      </c>
      <c r="B1153" s="24">
        <f t="shared" si="68"/>
        <v>4</v>
      </c>
      <c r="C1153" s="24">
        <f t="shared" si="69"/>
        <v>2024</v>
      </c>
      <c r="D1153" s="104" t="s">
        <v>352</v>
      </c>
      <c r="E1153" s="104" t="s">
        <v>343</v>
      </c>
      <c r="F1153" s="104" t="s">
        <v>456</v>
      </c>
      <c r="J1153" s="61">
        <v>10000</v>
      </c>
      <c r="L1153" s="49">
        <f t="shared" si="70"/>
        <v>167200</v>
      </c>
      <c r="M1153" s="50">
        <f t="shared" si="71"/>
        <v>0</v>
      </c>
    </row>
    <row r="1154" spans="1:13" x14ac:dyDescent="0.25">
      <c r="A1154" s="80">
        <v>45405</v>
      </c>
      <c r="B1154" s="24">
        <f t="shared" si="68"/>
        <v>4</v>
      </c>
      <c r="C1154" s="24">
        <f t="shared" si="69"/>
        <v>2024</v>
      </c>
      <c r="D1154" s="107" t="s">
        <v>122</v>
      </c>
      <c r="E1154" s="107" t="s">
        <v>343</v>
      </c>
      <c r="F1154" s="107"/>
      <c r="G1154" s="107"/>
      <c r="H1154" s="81"/>
      <c r="I1154" s="81"/>
      <c r="J1154" s="52"/>
      <c r="K1154" s="52">
        <v>137200</v>
      </c>
      <c r="L1154" s="49">
        <f t="shared" si="70"/>
        <v>30000</v>
      </c>
      <c r="M1154" s="50">
        <f t="shared" si="71"/>
        <v>0</v>
      </c>
    </row>
    <row r="1155" spans="1:13" x14ac:dyDescent="0.25">
      <c r="A1155" s="54">
        <v>45406</v>
      </c>
      <c r="B1155" s="24">
        <f t="shared" ref="B1155:B1218" si="72">MONTH(A1155)</f>
        <v>4</v>
      </c>
      <c r="C1155" s="24">
        <f t="shared" ref="C1155:C1218" si="73">YEAR(A1155)</f>
        <v>2024</v>
      </c>
      <c r="D1155" s="104" t="s">
        <v>384</v>
      </c>
      <c r="E1155" s="104" t="s">
        <v>343</v>
      </c>
      <c r="J1155" s="61">
        <v>5000</v>
      </c>
      <c r="L1155" s="49">
        <f t="shared" si="70"/>
        <v>35000</v>
      </c>
      <c r="M1155" s="50">
        <f t="shared" si="71"/>
        <v>0</v>
      </c>
    </row>
    <row r="1156" spans="1:13" x14ac:dyDescent="0.25">
      <c r="A1156" s="54">
        <v>45406</v>
      </c>
      <c r="B1156" s="24">
        <f t="shared" si="72"/>
        <v>4</v>
      </c>
      <c r="C1156" s="24">
        <f t="shared" si="73"/>
        <v>2024</v>
      </c>
      <c r="D1156" s="104" t="s">
        <v>360</v>
      </c>
      <c r="E1156" s="104" t="s">
        <v>343</v>
      </c>
      <c r="F1156" s="104" t="s">
        <v>865</v>
      </c>
      <c r="K1156" s="61">
        <v>5000</v>
      </c>
      <c r="L1156" s="49">
        <f t="shared" ref="L1156:L1219" si="74">IF((L1155+M1155+J1156-K1156)&gt;0,(L1155+M1155+J1156-K1156),0)</f>
        <v>30000</v>
      </c>
      <c r="M1156" s="50">
        <f t="shared" ref="M1156:M1219" si="75">IF((L1155+M1155+J1156-K1156)&lt;0,(L1155+M1155+J1156-K1156),0)</f>
        <v>0</v>
      </c>
    </row>
    <row r="1157" spans="1:13" x14ac:dyDescent="0.25">
      <c r="A1157" s="54">
        <v>45406</v>
      </c>
      <c r="B1157" s="24">
        <f t="shared" si="72"/>
        <v>4</v>
      </c>
      <c r="C1157" s="24">
        <f t="shared" si="73"/>
        <v>2024</v>
      </c>
      <c r="D1157" s="104" t="s">
        <v>109</v>
      </c>
      <c r="E1157" s="104" t="s">
        <v>343</v>
      </c>
      <c r="K1157" s="61">
        <v>2900</v>
      </c>
      <c r="L1157" s="49">
        <f t="shared" si="74"/>
        <v>27100</v>
      </c>
      <c r="M1157" s="50">
        <f t="shared" si="75"/>
        <v>0</v>
      </c>
    </row>
    <row r="1158" spans="1:13" x14ac:dyDescent="0.25">
      <c r="A1158" s="54">
        <v>45406</v>
      </c>
      <c r="B1158" s="24">
        <f t="shared" si="72"/>
        <v>4</v>
      </c>
      <c r="C1158" s="24">
        <f t="shared" si="73"/>
        <v>2024</v>
      </c>
      <c r="D1158" s="104" t="s">
        <v>109</v>
      </c>
      <c r="E1158" s="104" t="s">
        <v>343</v>
      </c>
      <c r="F1158" s="104" t="s">
        <v>204</v>
      </c>
      <c r="K1158" s="61">
        <v>6600</v>
      </c>
      <c r="L1158" s="49">
        <f t="shared" si="74"/>
        <v>20500</v>
      </c>
      <c r="M1158" s="50">
        <f t="shared" si="75"/>
        <v>0</v>
      </c>
    </row>
    <row r="1159" spans="1:13" x14ac:dyDescent="0.25">
      <c r="A1159" s="134">
        <v>45406</v>
      </c>
      <c r="B1159" s="24">
        <f t="shared" si="72"/>
        <v>4</v>
      </c>
      <c r="C1159" s="24">
        <f t="shared" si="73"/>
        <v>2024</v>
      </c>
      <c r="D1159" s="135" t="s">
        <v>384</v>
      </c>
      <c r="E1159" s="135" t="s">
        <v>343</v>
      </c>
      <c r="F1159" s="135"/>
      <c r="G1159" s="135"/>
      <c r="H1159" s="136"/>
      <c r="I1159" s="136"/>
      <c r="J1159" s="137">
        <v>9500</v>
      </c>
      <c r="L1159" s="49">
        <f t="shared" si="74"/>
        <v>30000</v>
      </c>
      <c r="M1159" s="50">
        <f t="shared" si="75"/>
        <v>0</v>
      </c>
    </row>
    <row r="1160" spans="1:13" x14ac:dyDescent="0.25">
      <c r="A1160" s="54">
        <v>45407</v>
      </c>
      <c r="B1160" s="24">
        <f t="shared" si="72"/>
        <v>4</v>
      </c>
      <c r="C1160" s="24">
        <f t="shared" si="73"/>
        <v>2024</v>
      </c>
      <c r="D1160" s="104" t="s">
        <v>109</v>
      </c>
      <c r="E1160" s="104" t="s">
        <v>343</v>
      </c>
      <c r="F1160" s="104" t="s">
        <v>354</v>
      </c>
      <c r="K1160" s="61">
        <v>3600</v>
      </c>
      <c r="L1160" s="49">
        <f t="shared" si="74"/>
        <v>26400</v>
      </c>
      <c r="M1160" s="50">
        <f t="shared" si="75"/>
        <v>0</v>
      </c>
    </row>
    <row r="1161" spans="1:13" x14ac:dyDescent="0.25">
      <c r="A1161" s="134">
        <v>45407</v>
      </c>
      <c r="B1161" s="24">
        <f t="shared" si="72"/>
        <v>4</v>
      </c>
      <c r="C1161" s="24">
        <f t="shared" si="73"/>
        <v>2024</v>
      </c>
      <c r="D1161" s="135" t="s">
        <v>384</v>
      </c>
      <c r="E1161" s="135" t="s">
        <v>343</v>
      </c>
      <c r="F1161" s="135"/>
      <c r="G1161" s="135"/>
      <c r="H1161" s="136"/>
      <c r="I1161" s="136"/>
      <c r="J1161" s="137">
        <v>3600</v>
      </c>
      <c r="L1161" s="49">
        <f t="shared" si="74"/>
        <v>30000</v>
      </c>
      <c r="M1161" s="50">
        <f t="shared" si="75"/>
        <v>0</v>
      </c>
    </row>
    <row r="1162" spans="1:13" x14ac:dyDescent="0.25">
      <c r="A1162" s="54">
        <v>45408</v>
      </c>
      <c r="B1162" s="24">
        <f t="shared" si="72"/>
        <v>4</v>
      </c>
      <c r="C1162" s="24">
        <f t="shared" si="73"/>
        <v>2024</v>
      </c>
      <c r="D1162" s="104" t="s">
        <v>360</v>
      </c>
      <c r="E1162" s="104" t="s">
        <v>343</v>
      </c>
      <c r="K1162" s="61">
        <v>6000</v>
      </c>
      <c r="L1162" s="49">
        <f t="shared" si="74"/>
        <v>24000</v>
      </c>
      <c r="M1162" s="50">
        <f t="shared" si="75"/>
        <v>0</v>
      </c>
    </row>
    <row r="1163" spans="1:13" x14ac:dyDescent="0.25">
      <c r="A1163" s="54">
        <v>45408</v>
      </c>
      <c r="B1163" s="24">
        <f t="shared" si="72"/>
        <v>4</v>
      </c>
      <c r="C1163" s="24">
        <f t="shared" si="73"/>
        <v>2024</v>
      </c>
      <c r="D1163" s="104" t="s">
        <v>352</v>
      </c>
      <c r="E1163" s="104" t="s">
        <v>343</v>
      </c>
      <c r="F1163" s="104" t="s">
        <v>869</v>
      </c>
      <c r="J1163" s="61">
        <v>200000</v>
      </c>
      <c r="L1163" s="49">
        <f t="shared" si="74"/>
        <v>224000</v>
      </c>
      <c r="M1163" s="50">
        <f t="shared" si="75"/>
        <v>0</v>
      </c>
    </row>
    <row r="1164" spans="1:13" x14ac:dyDescent="0.25">
      <c r="A1164" s="54">
        <v>45408</v>
      </c>
      <c r="B1164" s="24">
        <f t="shared" si="72"/>
        <v>4</v>
      </c>
      <c r="C1164" s="24">
        <f t="shared" si="73"/>
        <v>2024</v>
      </c>
      <c r="D1164" s="104" t="s">
        <v>110</v>
      </c>
      <c r="E1164" s="104" t="s">
        <v>343</v>
      </c>
      <c r="F1164" s="104" t="s">
        <v>870</v>
      </c>
      <c r="J1164" s="61">
        <v>2000</v>
      </c>
      <c r="L1164" s="49">
        <f t="shared" si="74"/>
        <v>226000</v>
      </c>
      <c r="M1164" s="50">
        <f t="shared" si="75"/>
        <v>0</v>
      </c>
    </row>
    <row r="1165" spans="1:13" x14ac:dyDescent="0.25">
      <c r="A1165" s="80">
        <v>45408</v>
      </c>
      <c r="B1165" s="24">
        <f t="shared" si="72"/>
        <v>4</v>
      </c>
      <c r="C1165" s="24">
        <f t="shared" si="73"/>
        <v>2024</v>
      </c>
      <c r="D1165" s="107" t="s">
        <v>122</v>
      </c>
      <c r="E1165" s="107" t="s">
        <v>343</v>
      </c>
      <c r="F1165" s="107"/>
      <c r="G1165" s="107"/>
      <c r="H1165" s="81"/>
      <c r="I1165" s="81"/>
      <c r="J1165" s="52"/>
      <c r="K1165" s="52">
        <v>196000</v>
      </c>
      <c r="L1165" s="49">
        <f t="shared" si="74"/>
        <v>30000</v>
      </c>
      <c r="M1165" s="50">
        <f t="shared" si="75"/>
        <v>0</v>
      </c>
    </row>
    <row r="1166" spans="1:13" x14ac:dyDescent="0.25">
      <c r="A1166" s="54">
        <v>45409</v>
      </c>
      <c r="B1166" s="24">
        <f t="shared" si="72"/>
        <v>4</v>
      </c>
      <c r="C1166" s="24">
        <f t="shared" si="73"/>
        <v>2024</v>
      </c>
      <c r="D1166" s="104" t="s">
        <v>384</v>
      </c>
      <c r="E1166" s="104" t="s">
        <v>343</v>
      </c>
      <c r="J1166" s="61">
        <v>150000</v>
      </c>
      <c r="L1166" s="49">
        <f t="shared" si="74"/>
        <v>180000</v>
      </c>
      <c r="M1166" s="50">
        <f t="shared" si="75"/>
        <v>0</v>
      </c>
    </row>
    <row r="1167" spans="1:13" x14ac:dyDescent="0.25">
      <c r="A1167" s="54">
        <v>45409</v>
      </c>
      <c r="B1167" s="24">
        <f t="shared" si="72"/>
        <v>4</v>
      </c>
      <c r="C1167" s="24">
        <f t="shared" si="73"/>
        <v>2024</v>
      </c>
      <c r="D1167" s="104" t="s">
        <v>501</v>
      </c>
      <c r="E1167" s="104" t="s">
        <v>343</v>
      </c>
      <c r="F1167" s="104" t="s">
        <v>655</v>
      </c>
      <c r="K1167" s="61">
        <v>150000</v>
      </c>
      <c r="L1167" s="49">
        <f t="shared" si="74"/>
        <v>30000</v>
      </c>
      <c r="M1167" s="50">
        <f t="shared" si="75"/>
        <v>0</v>
      </c>
    </row>
    <row r="1168" spans="1:13" x14ac:dyDescent="0.25">
      <c r="A1168" s="54">
        <v>45409</v>
      </c>
      <c r="B1168" s="24">
        <f t="shared" si="72"/>
        <v>4</v>
      </c>
      <c r="C1168" s="24">
        <f t="shared" si="73"/>
        <v>2024</v>
      </c>
      <c r="D1168" s="104" t="s">
        <v>352</v>
      </c>
      <c r="E1168" s="104" t="s">
        <v>343</v>
      </c>
      <c r="F1168" s="104" t="s">
        <v>871</v>
      </c>
      <c r="J1168" s="61">
        <v>214000</v>
      </c>
      <c r="L1168" s="49">
        <f t="shared" si="74"/>
        <v>244000</v>
      </c>
      <c r="M1168" s="50">
        <f t="shared" si="75"/>
        <v>0</v>
      </c>
    </row>
    <row r="1169" spans="1:15" x14ac:dyDescent="0.25">
      <c r="A1169" s="80">
        <v>45409</v>
      </c>
      <c r="B1169" s="24">
        <f t="shared" si="72"/>
        <v>4</v>
      </c>
      <c r="C1169" s="24">
        <f t="shared" si="73"/>
        <v>2024</v>
      </c>
      <c r="D1169" s="107" t="s">
        <v>384</v>
      </c>
      <c r="E1169" s="107" t="s">
        <v>93</v>
      </c>
      <c r="F1169" s="107"/>
      <c r="G1169" s="107"/>
      <c r="H1169" s="81"/>
      <c r="I1169" s="81"/>
      <c r="J1169" s="52"/>
      <c r="K1169" s="52">
        <v>214000</v>
      </c>
      <c r="L1169" s="49">
        <f t="shared" si="74"/>
        <v>30000</v>
      </c>
      <c r="M1169" s="50">
        <f t="shared" si="75"/>
        <v>0</v>
      </c>
    </row>
    <row r="1170" spans="1:15" x14ac:dyDescent="0.25">
      <c r="A1170" s="54">
        <v>45411</v>
      </c>
      <c r="B1170" s="24">
        <f t="shared" si="72"/>
        <v>4</v>
      </c>
      <c r="C1170" s="24">
        <f t="shared" si="73"/>
        <v>2024</v>
      </c>
      <c r="D1170" s="104" t="s">
        <v>352</v>
      </c>
      <c r="E1170" s="104" t="s">
        <v>93</v>
      </c>
      <c r="F1170" s="104" t="s">
        <v>872</v>
      </c>
      <c r="J1170" s="61">
        <v>130000</v>
      </c>
      <c r="L1170" s="49">
        <f t="shared" si="74"/>
        <v>160000</v>
      </c>
      <c r="M1170" s="50">
        <f t="shared" si="75"/>
        <v>0</v>
      </c>
    </row>
    <row r="1171" spans="1:15" x14ac:dyDescent="0.25">
      <c r="A1171" s="54">
        <v>45411</v>
      </c>
      <c r="B1171" s="24">
        <f t="shared" si="72"/>
        <v>4</v>
      </c>
      <c r="C1171" s="24">
        <f t="shared" si="73"/>
        <v>2024</v>
      </c>
      <c r="D1171" s="104" t="s">
        <v>109</v>
      </c>
      <c r="E1171" s="104" t="s">
        <v>343</v>
      </c>
      <c r="K1171" s="61">
        <v>5000</v>
      </c>
      <c r="L1171" s="49">
        <f t="shared" si="74"/>
        <v>155000</v>
      </c>
      <c r="M1171" s="50">
        <f t="shared" si="75"/>
        <v>0</v>
      </c>
    </row>
    <row r="1172" spans="1:15" x14ac:dyDescent="0.25">
      <c r="A1172" s="54">
        <v>45411</v>
      </c>
      <c r="B1172" s="24">
        <f t="shared" si="72"/>
        <v>4</v>
      </c>
      <c r="C1172" s="24">
        <f t="shared" si="73"/>
        <v>2024</v>
      </c>
      <c r="D1172" s="104" t="s">
        <v>352</v>
      </c>
      <c r="E1172" s="104" t="s">
        <v>343</v>
      </c>
      <c r="F1172" s="104" t="s">
        <v>873</v>
      </c>
      <c r="J1172" s="61">
        <v>243200</v>
      </c>
      <c r="L1172" s="49">
        <f t="shared" si="74"/>
        <v>398200</v>
      </c>
      <c r="M1172" s="50">
        <f t="shared" si="75"/>
        <v>0</v>
      </c>
    </row>
    <row r="1173" spans="1:15" x14ac:dyDescent="0.25">
      <c r="A1173" s="54">
        <v>45411</v>
      </c>
      <c r="B1173" s="24">
        <f t="shared" si="72"/>
        <v>4</v>
      </c>
      <c r="C1173" s="24">
        <f t="shared" si="73"/>
        <v>2024</v>
      </c>
      <c r="D1173" s="104" t="s">
        <v>352</v>
      </c>
      <c r="E1173" s="104" t="s">
        <v>343</v>
      </c>
      <c r="F1173" s="104" t="s">
        <v>456</v>
      </c>
      <c r="J1173" s="61">
        <v>10000</v>
      </c>
      <c r="L1173" s="49">
        <f t="shared" si="74"/>
        <v>408200</v>
      </c>
      <c r="M1173" s="50">
        <f t="shared" si="75"/>
        <v>0</v>
      </c>
    </row>
    <row r="1174" spans="1:15" x14ac:dyDescent="0.25">
      <c r="A1174" s="54">
        <v>45411</v>
      </c>
      <c r="B1174" s="24">
        <f t="shared" si="72"/>
        <v>4</v>
      </c>
      <c r="C1174" s="24">
        <f t="shared" si="73"/>
        <v>2024</v>
      </c>
      <c r="D1174" s="104" t="s">
        <v>109</v>
      </c>
      <c r="E1174" s="104" t="s">
        <v>343</v>
      </c>
      <c r="K1174" s="61">
        <v>3300</v>
      </c>
      <c r="L1174" s="49">
        <f t="shared" si="74"/>
        <v>404900</v>
      </c>
      <c r="M1174" s="50">
        <f t="shared" si="75"/>
        <v>0</v>
      </c>
    </row>
    <row r="1175" spans="1:15" x14ac:dyDescent="0.25">
      <c r="A1175" s="80">
        <v>45411</v>
      </c>
      <c r="B1175" s="24">
        <f t="shared" si="72"/>
        <v>4</v>
      </c>
      <c r="C1175" s="24">
        <f t="shared" si="73"/>
        <v>2024</v>
      </c>
      <c r="D1175" s="107" t="s">
        <v>122</v>
      </c>
      <c r="E1175" s="107" t="s">
        <v>343</v>
      </c>
      <c r="F1175" s="107"/>
      <c r="G1175" s="107"/>
      <c r="H1175" s="81"/>
      <c r="I1175" s="81"/>
      <c r="J1175" s="52"/>
      <c r="K1175" s="52">
        <v>374900</v>
      </c>
      <c r="L1175" s="49">
        <f t="shared" si="74"/>
        <v>30000</v>
      </c>
      <c r="M1175" s="50">
        <f t="shared" si="75"/>
        <v>0</v>
      </c>
    </row>
    <row r="1176" spans="1:15" x14ac:dyDescent="0.25">
      <c r="A1176" s="54">
        <v>45412</v>
      </c>
      <c r="B1176" s="24">
        <f t="shared" si="72"/>
        <v>4</v>
      </c>
      <c r="C1176" s="24">
        <f t="shared" si="73"/>
        <v>2024</v>
      </c>
      <c r="D1176" s="104" t="s">
        <v>384</v>
      </c>
      <c r="E1176" s="104" t="s">
        <v>343</v>
      </c>
      <c r="J1176" s="61">
        <v>170000</v>
      </c>
      <c r="L1176" s="49">
        <f t="shared" si="74"/>
        <v>200000</v>
      </c>
      <c r="M1176" s="50">
        <f t="shared" si="75"/>
        <v>0</v>
      </c>
    </row>
    <row r="1177" spans="1:15" x14ac:dyDescent="0.25">
      <c r="A1177" s="54">
        <v>45412</v>
      </c>
      <c r="B1177" s="24">
        <f t="shared" si="72"/>
        <v>4</v>
      </c>
      <c r="C1177" s="24">
        <f t="shared" si="73"/>
        <v>2024</v>
      </c>
      <c r="D1177" s="104" t="s">
        <v>124</v>
      </c>
      <c r="E1177" s="104" t="s">
        <v>343</v>
      </c>
      <c r="F1177" s="104" t="s">
        <v>359</v>
      </c>
      <c r="K1177" s="61">
        <v>170000</v>
      </c>
      <c r="L1177" s="49">
        <f t="shared" si="74"/>
        <v>30000</v>
      </c>
      <c r="M1177" s="50">
        <f t="shared" si="75"/>
        <v>0</v>
      </c>
    </row>
    <row r="1178" spans="1:15" x14ac:dyDescent="0.25">
      <c r="A1178" s="54">
        <v>45412</v>
      </c>
      <c r="B1178" s="24">
        <f t="shared" si="72"/>
        <v>4</v>
      </c>
      <c r="C1178" s="24">
        <f t="shared" si="73"/>
        <v>2024</v>
      </c>
      <c r="D1178" s="104" t="s">
        <v>352</v>
      </c>
      <c r="E1178" s="104" t="s">
        <v>343</v>
      </c>
      <c r="F1178" s="104" t="s">
        <v>875</v>
      </c>
      <c r="J1178" s="61">
        <v>20000</v>
      </c>
      <c r="L1178" s="49">
        <f t="shared" si="74"/>
        <v>50000</v>
      </c>
      <c r="M1178" s="50">
        <f t="shared" si="75"/>
        <v>0</v>
      </c>
    </row>
    <row r="1179" spans="1:15" x14ac:dyDescent="0.25">
      <c r="A1179" s="54">
        <v>45412</v>
      </c>
      <c r="B1179" s="24">
        <f t="shared" si="72"/>
        <v>4</v>
      </c>
      <c r="C1179" s="24">
        <f t="shared" si="73"/>
        <v>2024</v>
      </c>
      <c r="D1179" s="104" t="s">
        <v>360</v>
      </c>
      <c r="E1179" s="104" t="s">
        <v>343</v>
      </c>
      <c r="K1179" s="61">
        <v>6000</v>
      </c>
      <c r="L1179" s="49">
        <f t="shared" si="74"/>
        <v>44000</v>
      </c>
      <c r="M1179" s="50">
        <f t="shared" si="75"/>
        <v>0</v>
      </c>
    </row>
    <row r="1180" spans="1:15" x14ac:dyDescent="0.25">
      <c r="A1180" s="54">
        <v>45412</v>
      </c>
      <c r="B1180" s="24">
        <f t="shared" si="72"/>
        <v>4</v>
      </c>
      <c r="C1180" s="24">
        <f t="shared" si="73"/>
        <v>2024</v>
      </c>
      <c r="D1180" s="104" t="s">
        <v>28</v>
      </c>
      <c r="E1180" s="104" t="s">
        <v>343</v>
      </c>
      <c r="K1180" s="61">
        <v>5000</v>
      </c>
      <c r="L1180" s="49">
        <f t="shared" si="74"/>
        <v>39000</v>
      </c>
      <c r="M1180" s="50">
        <f t="shared" si="75"/>
        <v>0</v>
      </c>
    </row>
    <row r="1181" spans="1:15" x14ac:dyDescent="0.25">
      <c r="A1181" s="54">
        <v>45412</v>
      </c>
      <c r="B1181" s="24">
        <f t="shared" si="72"/>
        <v>4</v>
      </c>
      <c r="C1181" s="24">
        <f t="shared" si="73"/>
        <v>2024</v>
      </c>
      <c r="D1181" s="104" t="s">
        <v>384</v>
      </c>
      <c r="E1181" s="104" t="s">
        <v>343</v>
      </c>
      <c r="J1181" s="61">
        <v>55000</v>
      </c>
      <c r="L1181" s="49">
        <f t="shared" si="74"/>
        <v>94000</v>
      </c>
      <c r="M1181" s="50">
        <f t="shared" si="75"/>
        <v>0</v>
      </c>
    </row>
    <row r="1182" spans="1:15" x14ac:dyDescent="0.25">
      <c r="A1182" s="54">
        <v>45412</v>
      </c>
      <c r="B1182" s="24">
        <f t="shared" si="72"/>
        <v>4</v>
      </c>
      <c r="C1182" s="24">
        <f t="shared" si="73"/>
        <v>2024</v>
      </c>
      <c r="D1182" s="104" t="s">
        <v>124</v>
      </c>
      <c r="E1182" s="104" t="s">
        <v>343</v>
      </c>
      <c r="G1182" s="104" t="s">
        <v>125</v>
      </c>
      <c r="K1182" s="61">
        <v>55000</v>
      </c>
      <c r="L1182" s="49">
        <f t="shared" si="74"/>
        <v>39000</v>
      </c>
      <c r="M1182" s="50">
        <f t="shared" si="75"/>
        <v>0</v>
      </c>
      <c r="O1182" s="27" t="s">
        <v>957</v>
      </c>
    </row>
    <row r="1183" spans="1:15" x14ac:dyDescent="0.25">
      <c r="A1183" s="54">
        <v>45412</v>
      </c>
      <c r="B1183" s="24">
        <f t="shared" si="72"/>
        <v>4</v>
      </c>
      <c r="C1183" s="24">
        <f t="shared" si="73"/>
        <v>2024</v>
      </c>
      <c r="D1183" s="104" t="s">
        <v>352</v>
      </c>
      <c r="E1183" s="104" t="s">
        <v>343</v>
      </c>
      <c r="F1183" s="104" t="s">
        <v>456</v>
      </c>
      <c r="J1183" s="61">
        <v>10000</v>
      </c>
      <c r="L1183" s="49">
        <f t="shared" si="74"/>
        <v>49000</v>
      </c>
      <c r="M1183" s="50">
        <f t="shared" si="75"/>
        <v>0</v>
      </c>
    </row>
    <row r="1184" spans="1:15" x14ac:dyDescent="0.25">
      <c r="A1184" s="80">
        <v>45412</v>
      </c>
      <c r="B1184" s="24">
        <f t="shared" si="72"/>
        <v>4</v>
      </c>
      <c r="C1184" s="24">
        <f t="shared" si="73"/>
        <v>2024</v>
      </c>
      <c r="D1184" s="107" t="s">
        <v>361</v>
      </c>
      <c r="E1184" s="107" t="s">
        <v>343</v>
      </c>
      <c r="F1184" s="107"/>
      <c r="G1184" s="107"/>
      <c r="H1184" s="81"/>
      <c r="I1184" s="81"/>
      <c r="J1184" s="52"/>
      <c r="K1184" s="52">
        <v>19000</v>
      </c>
      <c r="L1184" s="49">
        <f t="shared" si="74"/>
        <v>30000</v>
      </c>
      <c r="M1184" s="50">
        <f t="shared" si="75"/>
        <v>0</v>
      </c>
    </row>
    <row r="1185" spans="1:15" x14ac:dyDescent="0.25">
      <c r="A1185" s="54">
        <v>45414</v>
      </c>
      <c r="B1185" s="24">
        <f t="shared" si="72"/>
        <v>5</v>
      </c>
      <c r="C1185" s="24">
        <f t="shared" si="73"/>
        <v>2024</v>
      </c>
      <c r="D1185" s="104" t="s">
        <v>109</v>
      </c>
      <c r="E1185" s="104" t="s">
        <v>343</v>
      </c>
      <c r="K1185" s="61">
        <v>6300</v>
      </c>
      <c r="L1185" s="49">
        <f t="shared" si="74"/>
        <v>23700</v>
      </c>
      <c r="M1185" s="50">
        <f t="shared" si="75"/>
        <v>0</v>
      </c>
    </row>
    <row r="1186" spans="1:15" x14ac:dyDescent="0.25">
      <c r="A1186" s="54">
        <v>45414</v>
      </c>
      <c r="B1186" s="24">
        <f t="shared" si="72"/>
        <v>5</v>
      </c>
      <c r="C1186" s="24">
        <f t="shared" si="73"/>
        <v>2024</v>
      </c>
      <c r="D1186" s="104" t="s">
        <v>352</v>
      </c>
      <c r="E1186" s="104" t="s">
        <v>343</v>
      </c>
      <c r="F1186" s="104" t="s">
        <v>373</v>
      </c>
      <c r="J1186" s="61">
        <v>83700</v>
      </c>
      <c r="L1186" s="49">
        <f t="shared" si="74"/>
        <v>107400</v>
      </c>
      <c r="M1186" s="50">
        <f t="shared" si="75"/>
        <v>0</v>
      </c>
    </row>
    <row r="1187" spans="1:15" x14ac:dyDescent="0.25">
      <c r="A1187" s="80">
        <v>45414</v>
      </c>
      <c r="B1187" s="24">
        <f t="shared" si="72"/>
        <v>5</v>
      </c>
      <c r="C1187" s="24">
        <f t="shared" si="73"/>
        <v>2024</v>
      </c>
      <c r="D1187" s="107" t="s">
        <v>122</v>
      </c>
      <c r="E1187" s="107" t="s">
        <v>343</v>
      </c>
      <c r="F1187" s="107"/>
      <c r="G1187" s="107"/>
      <c r="H1187" s="81"/>
      <c r="I1187" s="81"/>
      <c r="J1187" s="52"/>
      <c r="K1187" s="52">
        <v>77400</v>
      </c>
      <c r="L1187" s="49">
        <f t="shared" si="74"/>
        <v>30000</v>
      </c>
      <c r="M1187" s="50">
        <f t="shared" si="75"/>
        <v>0</v>
      </c>
    </row>
    <row r="1188" spans="1:15" x14ac:dyDescent="0.25">
      <c r="A1188" s="54">
        <v>45415</v>
      </c>
      <c r="B1188" s="24">
        <f t="shared" si="72"/>
        <v>5</v>
      </c>
      <c r="C1188" s="24">
        <f t="shared" si="73"/>
        <v>2024</v>
      </c>
      <c r="D1188" s="104" t="s">
        <v>352</v>
      </c>
      <c r="E1188" s="104" t="s">
        <v>343</v>
      </c>
      <c r="F1188" s="104" t="s">
        <v>456</v>
      </c>
      <c r="J1188" s="61">
        <v>10000</v>
      </c>
      <c r="L1188" s="49">
        <f t="shared" si="74"/>
        <v>40000</v>
      </c>
      <c r="M1188" s="50">
        <f t="shared" si="75"/>
        <v>0</v>
      </c>
    </row>
    <row r="1189" spans="1:15" x14ac:dyDescent="0.25">
      <c r="A1189" s="54">
        <v>45415</v>
      </c>
      <c r="B1189" s="24">
        <f t="shared" si="72"/>
        <v>5</v>
      </c>
      <c r="C1189" s="24">
        <f t="shared" si="73"/>
        <v>2024</v>
      </c>
      <c r="D1189" s="104" t="s">
        <v>352</v>
      </c>
      <c r="E1189" s="104" t="s">
        <v>343</v>
      </c>
      <c r="F1189" s="104" t="s">
        <v>878</v>
      </c>
      <c r="J1189" s="61">
        <v>200000</v>
      </c>
      <c r="L1189" s="49">
        <f t="shared" si="74"/>
        <v>240000</v>
      </c>
      <c r="M1189" s="50">
        <f t="shared" si="75"/>
        <v>0</v>
      </c>
    </row>
    <row r="1190" spans="1:15" x14ac:dyDescent="0.25">
      <c r="A1190" s="80">
        <v>45415</v>
      </c>
      <c r="B1190" s="24">
        <f t="shared" si="72"/>
        <v>5</v>
      </c>
      <c r="C1190" s="24">
        <f t="shared" si="73"/>
        <v>2024</v>
      </c>
      <c r="D1190" s="107" t="s">
        <v>122</v>
      </c>
      <c r="E1190" s="107" t="s">
        <v>343</v>
      </c>
      <c r="F1190" s="107"/>
      <c r="G1190" s="107"/>
      <c r="H1190" s="81"/>
      <c r="I1190" s="81"/>
      <c r="J1190" s="52"/>
      <c r="K1190" s="52">
        <v>210000</v>
      </c>
      <c r="L1190" s="49">
        <f t="shared" si="74"/>
        <v>30000</v>
      </c>
      <c r="M1190" s="50">
        <f t="shared" si="75"/>
        <v>0</v>
      </c>
    </row>
    <row r="1191" spans="1:15" x14ac:dyDescent="0.25">
      <c r="A1191" s="54">
        <v>45418</v>
      </c>
      <c r="B1191" s="24">
        <f t="shared" si="72"/>
        <v>5</v>
      </c>
      <c r="C1191" s="24">
        <f t="shared" si="73"/>
        <v>2024</v>
      </c>
      <c r="D1191" s="104" t="s">
        <v>109</v>
      </c>
      <c r="E1191" s="104" t="s">
        <v>343</v>
      </c>
      <c r="F1191" s="104" t="s">
        <v>574</v>
      </c>
      <c r="K1191" s="61">
        <v>18500</v>
      </c>
      <c r="L1191" s="49">
        <f t="shared" si="74"/>
        <v>11500</v>
      </c>
      <c r="M1191" s="50">
        <f t="shared" si="75"/>
        <v>0</v>
      </c>
    </row>
    <row r="1192" spans="1:15" x14ac:dyDescent="0.25">
      <c r="A1192" s="54">
        <v>45418</v>
      </c>
      <c r="B1192" s="24">
        <f t="shared" si="72"/>
        <v>5</v>
      </c>
      <c r="C1192" s="24">
        <f t="shared" si="73"/>
        <v>2024</v>
      </c>
      <c r="D1192" s="104" t="s">
        <v>352</v>
      </c>
      <c r="E1192" s="104" t="s">
        <v>343</v>
      </c>
      <c r="F1192" s="104" t="s">
        <v>735</v>
      </c>
      <c r="J1192" s="61">
        <v>181500</v>
      </c>
      <c r="L1192" s="49">
        <f t="shared" si="74"/>
        <v>193000</v>
      </c>
      <c r="M1192" s="50">
        <f t="shared" si="75"/>
        <v>0</v>
      </c>
    </row>
    <row r="1193" spans="1:15" x14ac:dyDescent="0.25">
      <c r="A1193" s="54">
        <v>45418</v>
      </c>
      <c r="B1193" s="24">
        <f t="shared" si="72"/>
        <v>5</v>
      </c>
      <c r="C1193" s="24">
        <f t="shared" si="73"/>
        <v>2024</v>
      </c>
      <c r="D1193" s="104" t="s">
        <v>352</v>
      </c>
      <c r="E1193" s="104" t="s">
        <v>343</v>
      </c>
      <c r="F1193" s="104" t="s">
        <v>880</v>
      </c>
      <c r="J1193" s="61">
        <v>184200</v>
      </c>
      <c r="L1193" s="49">
        <f t="shared" si="74"/>
        <v>377200</v>
      </c>
      <c r="M1193" s="50">
        <f t="shared" si="75"/>
        <v>0</v>
      </c>
    </row>
    <row r="1194" spans="1:15" x14ac:dyDescent="0.25">
      <c r="A1194" s="54">
        <v>45418</v>
      </c>
      <c r="B1194" s="24">
        <f t="shared" si="72"/>
        <v>5</v>
      </c>
      <c r="C1194" s="24">
        <f t="shared" si="73"/>
        <v>2024</v>
      </c>
      <c r="D1194" s="104" t="s">
        <v>384</v>
      </c>
      <c r="E1194" s="104" t="s">
        <v>343</v>
      </c>
      <c r="J1194" s="61">
        <v>112665.77</v>
      </c>
      <c r="L1194" s="49">
        <f t="shared" si="74"/>
        <v>489865.77</v>
      </c>
      <c r="M1194" s="50">
        <f t="shared" si="75"/>
        <v>0</v>
      </c>
    </row>
    <row r="1195" spans="1:15" x14ac:dyDescent="0.25">
      <c r="A1195" s="54">
        <v>45418</v>
      </c>
      <c r="B1195" s="24">
        <f t="shared" si="72"/>
        <v>5</v>
      </c>
      <c r="C1195" s="24">
        <f t="shared" si="73"/>
        <v>2024</v>
      </c>
      <c r="D1195" s="104" t="s">
        <v>148</v>
      </c>
      <c r="E1195" s="104" t="s">
        <v>343</v>
      </c>
      <c r="K1195" s="61">
        <v>112665.77</v>
      </c>
      <c r="L1195" s="49">
        <f t="shared" si="74"/>
        <v>377200</v>
      </c>
      <c r="M1195" s="50">
        <f t="shared" si="75"/>
        <v>0</v>
      </c>
    </row>
    <row r="1196" spans="1:15" x14ac:dyDescent="0.25">
      <c r="A1196" s="54">
        <v>45418</v>
      </c>
      <c r="B1196" s="24">
        <f t="shared" si="72"/>
        <v>5</v>
      </c>
      <c r="C1196" s="24">
        <f t="shared" si="73"/>
        <v>2024</v>
      </c>
      <c r="D1196" s="104" t="s">
        <v>109</v>
      </c>
      <c r="E1196" s="104" t="s">
        <v>343</v>
      </c>
      <c r="K1196" s="61">
        <v>1500</v>
      </c>
      <c r="L1196" s="49">
        <f t="shared" si="74"/>
        <v>375700</v>
      </c>
      <c r="M1196" s="50">
        <f t="shared" si="75"/>
        <v>0</v>
      </c>
    </row>
    <row r="1197" spans="1:15" x14ac:dyDescent="0.25">
      <c r="A1197" s="54">
        <v>45418</v>
      </c>
      <c r="B1197" s="24">
        <f t="shared" si="72"/>
        <v>5</v>
      </c>
      <c r="C1197" s="24">
        <f t="shared" si="73"/>
        <v>2024</v>
      </c>
      <c r="D1197" s="104" t="s">
        <v>124</v>
      </c>
      <c r="E1197" s="104" t="s">
        <v>343</v>
      </c>
      <c r="F1197" s="104" t="s">
        <v>882</v>
      </c>
      <c r="K1197" s="61">
        <v>86000</v>
      </c>
      <c r="L1197" s="49">
        <f t="shared" si="74"/>
        <v>289700</v>
      </c>
      <c r="M1197" s="50">
        <f t="shared" si="75"/>
        <v>0</v>
      </c>
    </row>
    <row r="1198" spans="1:15" x14ac:dyDescent="0.25">
      <c r="A1198" s="54">
        <v>45418</v>
      </c>
      <c r="B1198" s="24">
        <f t="shared" si="72"/>
        <v>5</v>
      </c>
      <c r="C1198" s="24">
        <f t="shared" si="73"/>
        <v>2024</v>
      </c>
      <c r="D1198" s="104" t="s">
        <v>124</v>
      </c>
      <c r="E1198" s="104" t="s">
        <v>343</v>
      </c>
      <c r="F1198" s="104" t="s">
        <v>829</v>
      </c>
      <c r="K1198" s="61">
        <v>123000</v>
      </c>
      <c r="L1198" s="49">
        <f t="shared" si="74"/>
        <v>166700</v>
      </c>
      <c r="M1198" s="50">
        <f t="shared" si="75"/>
        <v>0</v>
      </c>
      <c r="O1198" s="27" t="s">
        <v>957</v>
      </c>
    </row>
    <row r="1199" spans="1:15" x14ac:dyDescent="0.25">
      <c r="A1199" s="54">
        <v>45418</v>
      </c>
      <c r="B1199" s="24">
        <f t="shared" si="72"/>
        <v>5</v>
      </c>
      <c r="C1199" s="24">
        <f t="shared" si="73"/>
        <v>2024</v>
      </c>
      <c r="D1199" s="104" t="s">
        <v>123</v>
      </c>
      <c r="E1199" s="104" t="s">
        <v>343</v>
      </c>
      <c r="J1199" s="61">
        <v>8000</v>
      </c>
      <c r="L1199" s="49">
        <f t="shared" si="74"/>
        <v>174700</v>
      </c>
      <c r="M1199" s="50">
        <f t="shared" si="75"/>
        <v>0</v>
      </c>
    </row>
    <row r="1200" spans="1:15" x14ac:dyDescent="0.25">
      <c r="A1200" s="80">
        <v>45418</v>
      </c>
      <c r="B1200" s="24">
        <f t="shared" si="72"/>
        <v>5</v>
      </c>
      <c r="C1200" s="24">
        <f t="shared" si="73"/>
        <v>2024</v>
      </c>
      <c r="D1200" s="107" t="s">
        <v>361</v>
      </c>
      <c r="E1200" s="107" t="s">
        <v>343</v>
      </c>
      <c r="F1200" s="107"/>
      <c r="G1200" s="107"/>
      <c r="H1200" s="81"/>
      <c r="I1200" s="81"/>
      <c r="J1200" s="52"/>
      <c r="K1200" s="52">
        <v>144700</v>
      </c>
      <c r="L1200" s="49">
        <f t="shared" si="74"/>
        <v>30000</v>
      </c>
      <c r="M1200" s="50">
        <f t="shared" si="75"/>
        <v>0</v>
      </c>
    </row>
    <row r="1201" spans="1:15" x14ac:dyDescent="0.25">
      <c r="A1201" s="54">
        <v>45420</v>
      </c>
      <c r="B1201" s="24">
        <f t="shared" si="72"/>
        <v>5</v>
      </c>
      <c r="C1201" s="24">
        <f t="shared" si="73"/>
        <v>2024</v>
      </c>
      <c r="D1201" s="104" t="s">
        <v>352</v>
      </c>
      <c r="E1201" s="104" t="s">
        <v>343</v>
      </c>
      <c r="F1201" s="104" t="s">
        <v>885</v>
      </c>
      <c r="J1201" s="61">
        <v>23000</v>
      </c>
      <c r="L1201" s="49">
        <f t="shared" si="74"/>
        <v>53000</v>
      </c>
      <c r="M1201" s="50">
        <f t="shared" si="75"/>
        <v>0</v>
      </c>
    </row>
    <row r="1202" spans="1:15" x14ac:dyDescent="0.25">
      <c r="A1202" s="54">
        <v>45420</v>
      </c>
      <c r="B1202" s="24">
        <f t="shared" si="72"/>
        <v>5</v>
      </c>
      <c r="C1202" s="24">
        <f t="shared" si="73"/>
        <v>2024</v>
      </c>
      <c r="D1202" s="104" t="s">
        <v>352</v>
      </c>
      <c r="E1202" s="104" t="s">
        <v>343</v>
      </c>
      <c r="F1202" s="104" t="s">
        <v>681</v>
      </c>
      <c r="J1202" s="61">
        <v>100000</v>
      </c>
      <c r="L1202" s="49">
        <f t="shared" si="74"/>
        <v>153000</v>
      </c>
      <c r="M1202" s="50">
        <f t="shared" si="75"/>
        <v>0</v>
      </c>
    </row>
    <row r="1203" spans="1:15" x14ac:dyDescent="0.25">
      <c r="A1203" s="54">
        <v>45420</v>
      </c>
      <c r="B1203" s="24">
        <f t="shared" si="72"/>
        <v>5</v>
      </c>
      <c r="C1203" s="24">
        <f t="shared" si="73"/>
        <v>2024</v>
      </c>
      <c r="D1203" s="104" t="s">
        <v>352</v>
      </c>
      <c r="E1203" s="104" t="s">
        <v>343</v>
      </c>
      <c r="F1203" s="104" t="s">
        <v>886</v>
      </c>
      <c r="J1203" s="61">
        <v>100000</v>
      </c>
      <c r="L1203" s="49">
        <f t="shared" si="74"/>
        <v>253000</v>
      </c>
      <c r="M1203" s="50">
        <f t="shared" si="75"/>
        <v>0</v>
      </c>
    </row>
    <row r="1204" spans="1:15" x14ac:dyDescent="0.25">
      <c r="A1204" s="54">
        <v>45420</v>
      </c>
      <c r="B1204" s="24">
        <f t="shared" si="72"/>
        <v>5</v>
      </c>
      <c r="C1204" s="24">
        <f t="shared" si="73"/>
        <v>2024</v>
      </c>
      <c r="D1204" s="104" t="s">
        <v>124</v>
      </c>
      <c r="E1204" s="104" t="s">
        <v>343</v>
      </c>
      <c r="F1204" s="104" t="s">
        <v>103</v>
      </c>
      <c r="K1204" s="61">
        <v>38346</v>
      </c>
      <c r="L1204" s="49">
        <f t="shared" si="74"/>
        <v>214654</v>
      </c>
      <c r="M1204" s="50">
        <f t="shared" si="75"/>
        <v>0</v>
      </c>
      <c r="O1204" s="27" t="s">
        <v>957</v>
      </c>
    </row>
    <row r="1205" spans="1:15" x14ac:dyDescent="0.25">
      <c r="A1205" s="80">
        <v>45420</v>
      </c>
      <c r="B1205" s="24">
        <f t="shared" si="72"/>
        <v>5</v>
      </c>
      <c r="C1205" s="24">
        <f t="shared" si="73"/>
        <v>2024</v>
      </c>
      <c r="D1205" s="107" t="s">
        <v>361</v>
      </c>
      <c r="E1205" s="107" t="s">
        <v>343</v>
      </c>
      <c r="F1205" s="107"/>
      <c r="G1205" s="107"/>
      <c r="H1205" s="81"/>
      <c r="I1205" s="81"/>
      <c r="J1205" s="52"/>
      <c r="K1205" s="52">
        <v>184654</v>
      </c>
      <c r="L1205" s="49">
        <f t="shared" si="74"/>
        <v>30000</v>
      </c>
      <c r="M1205" s="50">
        <f t="shared" si="75"/>
        <v>0</v>
      </c>
    </row>
    <row r="1206" spans="1:15" x14ac:dyDescent="0.25">
      <c r="A1206" s="54">
        <v>45421</v>
      </c>
      <c r="B1206" s="24">
        <f t="shared" si="72"/>
        <v>5</v>
      </c>
      <c r="C1206" s="24">
        <f t="shared" si="73"/>
        <v>2024</v>
      </c>
      <c r="D1206" s="104" t="s">
        <v>384</v>
      </c>
      <c r="E1206" s="104" t="s">
        <v>343</v>
      </c>
      <c r="J1206" s="61">
        <v>46000</v>
      </c>
      <c r="L1206" s="49">
        <f t="shared" si="74"/>
        <v>76000</v>
      </c>
      <c r="M1206" s="50">
        <f t="shared" si="75"/>
        <v>0</v>
      </c>
    </row>
    <row r="1207" spans="1:15" x14ac:dyDescent="0.25">
      <c r="A1207" s="54">
        <v>45421</v>
      </c>
      <c r="B1207" s="24">
        <f t="shared" si="72"/>
        <v>5</v>
      </c>
      <c r="C1207" s="24">
        <f t="shared" si="73"/>
        <v>2024</v>
      </c>
      <c r="D1207" s="104" t="s">
        <v>124</v>
      </c>
      <c r="E1207" s="104" t="s">
        <v>343</v>
      </c>
      <c r="F1207" s="104" t="s">
        <v>887</v>
      </c>
      <c r="K1207" s="61">
        <v>46000</v>
      </c>
      <c r="L1207" s="49">
        <f t="shared" si="74"/>
        <v>30000</v>
      </c>
      <c r="M1207" s="50">
        <f t="shared" si="75"/>
        <v>0</v>
      </c>
    </row>
    <row r="1208" spans="1:15" x14ac:dyDescent="0.25">
      <c r="A1208" s="54">
        <v>45421</v>
      </c>
      <c r="B1208" s="24">
        <f t="shared" si="72"/>
        <v>5</v>
      </c>
      <c r="C1208" s="24">
        <f t="shared" si="73"/>
        <v>2024</v>
      </c>
      <c r="D1208" s="104" t="s">
        <v>109</v>
      </c>
      <c r="E1208" s="104" t="s">
        <v>343</v>
      </c>
      <c r="F1208" s="104" t="s">
        <v>354</v>
      </c>
      <c r="K1208" s="61">
        <v>3600</v>
      </c>
      <c r="L1208" s="49">
        <f t="shared" si="74"/>
        <v>26400</v>
      </c>
      <c r="M1208" s="50">
        <f t="shared" si="75"/>
        <v>0</v>
      </c>
    </row>
    <row r="1209" spans="1:15" x14ac:dyDescent="0.25">
      <c r="A1209" s="54">
        <v>45421</v>
      </c>
      <c r="B1209" s="24">
        <f t="shared" si="72"/>
        <v>5</v>
      </c>
      <c r="C1209" s="24">
        <f t="shared" si="73"/>
        <v>2024</v>
      </c>
      <c r="D1209" s="104" t="s">
        <v>352</v>
      </c>
      <c r="E1209" s="104" t="s">
        <v>343</v>
      </c>
      <c r="F1209" s="104" t="s">
        <v>888</v>
      </c>
      <c r="J1209" s="61">
        <v>250000</v>
      </c>
      <c r="L1209" s="49">
        <f t="shared" si="74"/>
        <v>276400</v>
      </c>
      <c r="M1209" s="50">
        <f t="shared" si="75"/>
        <v>0</v>
      </c>
    </row>
    <row r="1210" spans="1:15" x14ac:dyDescent="0.25">
      <c r="A1210" s="80">
        <v>45421</v>
      </c>
      <c r="B1210" s="24">
        <f t="shared" si="72"/>
        <v>5</v>
      </c>
      <c r="C1210" s="24">
        <f t="shared" si="73"/>
        <v>2024</v>
      </c>
      <c r="D1210" s="107" t="s">
        <v>361</v>
      </c>
      <c r="E1210" s="107" t="s">
        <v>343</v>
      </c>
      <c r="F1210" s="107"/>
      <c r="G1210" s="107"/>
      <c r="H1210" s="81"/>
      <c r="I1210" s="81"/>
      <c r="J1210" s="52"/>
      <c r="K1210" s="52">
        <v>246400</v>
      </c>
      <c r="L1210" s="49">
        <f t="shared" si="74"/>
        <v>30000</v>
      </c>
      <c r="M1210" s="50">
        <f t="shared" si="75"/>
        <v>0</v>
      </c>
    </row>
    <row r="1211" spans="1:15" x14ac:dyDescent="0.25">
      <c r="A1211" s="54">
        <v>45422</v>
      </c>
      <c r="B1211" s="24">
        <f t="shared" si="72"/>
        <v>5</v>
      </c>
      <c r="C1211" s="24">
        <f t="shared" si="73"/>
        <v>2024</v>
      </c>
      <c r="D1211" s="104" t="s">
        <v>352</v>
      </c>
      <c r="E1211" s="104" t="s">
        <v>343</v>
      </c>
      <c r="F1211" s="104" t="s">
        <v>890</v>
      </c>
      <c r="J1211" s="61">
        <v>500300</v>
      </c>
      <c r="L1211" s="49">
        <f t="shared" si="74"/>
        <v>530300</v>
      </c>
      <c r="M1211" s="50">
        <f t="shared" si="75"/>
        <v>0</v>
      </c>
    </row>
    <row r="1212" spans="1:15" x14ac:dyDescent="0.25">
      <c r="A1212" s="54">
        <v>45422</v>
      </c>
      <c r="B1212" s="24">
        <f t="shared" si="72"/>
        <v>5</v>
      </c>
      <c r="C1212" s="24">
        <f t="shared" si="73"/>
        <v>2024</v>
      </c>
      <c r="D1212" s="104" t="s">
        <v>92</v>
      </c>
      <c r="E1212" s="104" t="s">
        <v>92</v>
      </c>
      <c r="F1212" s="104" t="s">
        <v>891</v>
      </c>
      <c r="K1212" s="61">
        <v>286300</v>
      </c>
      <c r="L1212" s="49">
        <f t="shared" si="74"/>
        <v>244000</v>
      </c>
      <c r="M1212" s="50">
        <f t="shared" si="75"/>
        <v>0</v>
      </c>
    </row>
    <row r="1213" spans="1:15" x14ac:dyDescent="0.25">
      <c r="A1213" s="54">
        <v>45422</v>
      </c>
      <c r="B1213" s="24">
        <f t="shared" si="72"/>
        <v>5</v>
      </c>
      <c r="C1213" s="24">
        <f t="shared" si="73"/>
        <v>2024</v>
      </c>
      <c r="D1213" s="104" t="s">
        <v>89</v>
      </c>
      <c r="E1213" s="104" t="s">
        <v>343</v>
      </c>
      <c r="F1213" s="104" t="s">
        <v>892</v>
      </c>
      <c r="J1213" s="61">
        <v>223700</v>
      </c>
      <c r="L1213" s="49">
        <f t="shared" si="74"/>
        <v>467700</v>
      </c>
      <c r="M1213" s="50">
        <f t="shared" si="75"/>
        <v>0</v>
      </c>
    </row>
    <row r="1214" spans="1:15" x14ac:dyDescent="0.25">
      <c r="A1214" s="54">
        <v>45422</v>
      </c>
      <c r="B1214" s="24">
        <f t="shared" si="72"/>
        <v>5</v>
      </c>
      <c r="C1214" s="24">
        <f t="shared" si="73"/>
        <v>2024</v>
      </c>
      <c r="D1214" s="104" t="s">
        <v>360</v>
      </c>
      <c r="E1214" s="104" t="s">
        <v>343</v>
      </c>
      <c r="K1214" s="61">
        <v>6000</v>
      </c>
      <c r="L1214" s="49">
        <f t="shared" si="74"/>
        <v>461700</v>
      </c>
      <c r="M1214" s="50">
        <f t="shared" si="75"/>
        <v>0</v>
      </c>
    </row>
    <row r="1215" spans="1:15" x14ac:dyDescent="0.25">
      <c r="A1215" s="80">
        <v>45422</v>
      </c>
      <c r="B1215" s="24">
        <f t="shared" si="72"/>
        <v>5</v>
      </c>
      <c r="C1215" s="24">
        <f t="shared" si="73"/>
        <v>2024</v>
      </c>
      <c r="D1215" s="107" t="s">
        <v>361</v>
      </c>
      <c r="E1215" s="107" t="s">
        <v>343</v>
      </c>
      <c r="F1215" s="107"/>
      <c r="G1215" s="107"/>
      <c r="H1215" s="81"/>
      <c r="I1215" s="81"/>
      <c r="J1215" s="52"/>
      <c r="K1215" s="52">
        <v>431700</v>
      </c>
      <c r="L1215" s="49">
        <f t="shared" si="74"/>
        <v>30000</v>
      </c>
      <c r="M1215" s="50">
        <f t="shared" si="75"/>
        <v>0</v>
      </c>
    </row>
    <row r="1216" spans="1:15" x14ac:dyDescent="0.25">
      <c r="A1216" s="54">
        <v>45423</v>
      </c>
      <c r="B1216" s="24">
        <f t="shared" si="72"/>
        <v>5</v>
      </c>
      <c r="C1216" s="24">
        <f t="shared" si="73"/>
        <v>2024</v>
      </c>
      <c r="D1216" s="104" t="s">
        <v>352</v>
      </c>
      <c r="E1216" s="104" t="s">
        <v>343</v>
      </c>
      <c r="F1216" s="104" t="s">
        <v>893</v>
      </c>
      <c r="J1216" s="61">
        <v>100000</v>
      </c>
      <c r="L1216" s="49">
        <f t="shared" si="74"/>
        <v>130000</v>
      </c>
      <c r="M1216" s="50">
        <f t="shared" si="75"/>
        <v>0</v>
      </c>
    </row>
    <row r="1217" spans="1:13" x14ac:dyDescent="0.25">
      <c r="A1217" s="54">
        <v>45423</v>
      </c>
      <c r="B1217" s="24">
        <f t="shared" si="72"/>
        <v>5</v>
      </c>
      <c r="C1217" s="24">
        <f t="shared" si="73"/>
        <v>2024</v>
      </c>
      <c r="D1217" s="104" t="s">
        <v>384</v>
      </c>
      <c r="E1217" s="104" t="s">
        <v>343</v>
      </c>
      <c r="J1217" s="61">
        <v>50000</v>
      </c>
      <c r="L1217" s="49">
        <f t="shared" si="74"/>
        <v>180000</v>
      </c>
      <c r="M1217" s="50">
        <f t="shared" si="75"/>
        <v>0</v>
      </c>
    </row>
    <row r="1218" spans="1:13" x14ac:dyDescent="0.25">
      <c r="A1218" s="54">
        <v>45423</v>
      </c>
      <c r="B1218" s="24">
        <f t="shared" si="72"/>
        <v>5</v>
      </c>
      <c r="C1218" s="24">
        <f t="shared" si="73"/>
        <v>2024</v>
      </c>
      <c r="D1218" s="104" t="s">
        <v>501</v>
      </c>
      <c r="E1218" s="104" t="s">
        <v>343</v>
      </c>
      <c r="F1218" s="104" t="s">
        <v>655</v>
      </c>
      <c r="K1218" s="61">
        <v>150000</v>
      </c>
      <c r="L1218" s="49">
        <f t="shared" si="74"/>
        <v>30000</v>
      </c>
      <c r="M1218" s="50">
        <f t="shared" si="75"/>
        <v>0</v>
      </c>
    </row>
    <row r="1219" spans="1:13" x14ac:dyDescent="0.25">
      <c r="A1219" s="54">
        <v>45425</v>
      </c>
      <c r="B1219" s="24">
        <f t="shared" ref="B1219:B1282" si="76">MONTH(A1219)</f>
        <v>5</v>
      </c>
      <c r="C1219" s="24">
        <f t="shared" ref="C1219:C1282" si="77">YEAR(A1219)</f>
        <v>2024</v>
      </c>
      <c r="D1219" s="104" t="s">
        <v>360</v>
      </c>
      <c r="E1219" s="104" t="s">
        <v>343</v>
      </c>
      <c r="K1219" s="61">
        <v>6000</v>
      </c>
      <c r="L1219" s="49">
        <f t="shared" si="74"/>
        <v>24000</v>
      </c>
      <c r="M1219" s="50">
        <f t="shared" si="75"/>
        <v>0</v>
      </c>
    </row>
    <row r="1220" spans="1:13" x14ac:dyDescent="0.25">
      <c r="A1220" s="54">
        <v>45425</v>
      </c>
      <c r="B1220" s="24">
        <f t="shared" si="76"/>
        <v>5</v>
      </c>
      <c r="C1220" s="24">
        <f t="shared" si="77"/>
        <v>2024</v>
      </c>
      <c r="D1220" s="104" t="s">
        <v>352</v>
      </c>
      <c r="E1220" s="104" t="s">
        <v>343</v>
      </c>
      <c r="F1220" s="104" t="s">
        <v>456</v>
      </c>
      <c r="J1220" s="61">
        <v>10000</v>
      </c>
      <c r="L1220" s="49">
        <f t="shared" ref="L1220:L1283" si="78">IF((L1219+M1219+J1220-K1220)&gt;0,(L1219+M1219+J1220-K1220),0)</f>
        <v>34000</v>
      </c>
      <c r="M1220" s="50">
        <f t="shared" ref="M1220:M1283" si="79">IF((L1219+M1219+J1220-K1220)&lt;0,(L1219+M1219+J1220-K1220),0)</f>
        <v>0</v>
      </c>
    </row>
    <row r="1221" spans="1:13" x14ac:dyDescent="0.25">
      <c r="A1221" s="54">
        <v>45425</v>
      </c>
      <c r="B1221" s="24">
        <f t="shared" si="76"/>
        <v>5</v>
      </c>
      <c r="C1221" s="24">
        <f t="shared" si="77"/>
        <v>2024</v>
      </c>
      <c r="D1221" s="104" t="s">
        <v>360</v>
      </c>
      <c r="E1221" s="104" t="s">
        <v>343</v>
      </c>
      <c r="K1221" s="61">
        <v>9000</v>
      </c>
      <c r="L1221" s="49">
        <f t="shared" si="78"/>
        <v>25000</v>
      </c>
      <c r="M1221" s="50">
        <f t="shared" si="79"/>
        <v>0</v>
      </c>
    </row>
    <row r="1222" spans="1:13" x14ac:dyDescent="0.25">
      <c r="A1222" s="134">
        <v>45425</v>
      </c>
      <c r="B1222" s="24">
        <f t="shared" si="76"/>
        <v>5</v>
      </c>
      <c r="C1222" s="24">
        <f t="shared" si="77"/>
        <v>2024</v>
      </c>
      <c r="D1222" s="135" t="s">
        <v>384</v>
      </c>
      <c r="E1222" s="135" t="s">
        <v>343</v>
      </c>
      <c r="F1222" s="135"/>
      <c r="G1222" s="135"/>
      <c r="H1222" s="136"/>
      <c r="I1222" s="136"/>
      <c r="J1222" s="137">
        <v>5000</v>
      </c>
      <c r="L1222" s="49">
        <f t="shared" si="78"/>
        <v>30000</v>
      </c>
      <c r="M1222" s="50">
        <f t="shared" si="79"/>
        <v>0</v>
      </c>
    </row>
    <row r="1223" spans="1:13" x14ac:dyDescent="0.25">
      <c r="A1223" s="54">
        <v>45426</v>
      </c>
      <c r="B1223" s="24">
        <f t="shared" si="76"/>
        <v>5</v>
      </c>
      <c r="C1223" s="24">
        <f t="shared" si="77"/>
        <v>2024</v>
      </c>
      <c r="D1223" s="104" t="s">
        <v>109</v>
      </c>
      <c r="E1223" s="104" t="s">
        <v>343</v>
      </c>
      <c r="K1223" s="61">
        <v>3000</v>
      </c>
      <c r="L1223" s="49">
        <f t="shared" si="78"/>
        <v>27000</v>
      </c>
      <c r="M1223" s="50">
        <f t="shared" si="79"/>
        <v>0</v>
      </c>
    </row>
    <row r="1224" spans="1:13" x14ac:dyDescent="0.25">
      <c r="A1224" s="134">
        <v>45426</v>
      </c>
      <c r="B1224" s="24">
        <f t="shared" si="76"/>
        <v>5</v>
      </c>
      <c r="C1224" s="24">
        <f t="shared" si="77"/>
        <v>2024</v>
      </c>
      <c r="D1224" s="135" t="s">
        <v>384</v>
      </c>
      <c r="E1224" s="135" t="s">
        <v>343</v>
      </c>
      <c r="F1224" s="135"/>
      <c r="G1224" s="135"/>
      <c r="H1224" s="136"/>
      <c r="I1224" s="136"/>
      <c r="J1224" s="137">
        <v>3000</v>
      </c>
      <c r="L1224" s="49">
        <f t="shared" si="78"/>
        <v>30000</v>
      </c>
      <c r="M1224" s="50">
        <f t="shared" si="79"/>
        <v>0</v>
      </c>
    </row>
    <row r="1225" spans="1:13" x14ac:dyDescent="0.25">
      <c r="A1225" s="54">
        <v>45427</v>
      </c>
      <c r="B1225" s="24">
        <f t="shared" si="76"/>
        <v>5</v>
      </c>
      <c r="C1225" s="24">
        <f t="shared" si="77"/>
        <v>2024</v>
      </c>
      <c r="D1225" s="104" t="s">
        <v>360</v>
      </c>
      <c r="E1225" s="104" t="s">
        <v>343</v>
      </c>
      <c r="K1225" s="61">
        <v>10000</v>
      </c>
      <c r="L1225" s="49">
        <f t="shared" si="78"/>
        <v>20000</v>
      </c>
      <c r="M1225" s="50">
        <f t="shared" si="79"/>
        <v>0</v>
      </c>
    </row>
    <row r="1226" spans="1:13" x14ac:dyDescent="0.25">
      <c r="A1226" s="54">
        <v>45427</v>
      </c>
      <c r="B1226" s="24">
        <f t="shared" si="76"/>
        <v>5</v>
      </c>
      <c r="C1226" s="24">
        <f t="shared" si="77"/>
        <v>2024</v>
      </c>
      <c r="D1226" s="104" t="s">
        <v>352</v>
      </c>
      <c r="E1226" s="104" t="s">
        <v>343</v>
      </c>
      <c r="F1226" s="104" t="s">
        <v>498</v>
      </c>
      <c r="J1226" s="61">
        <v>130800</v>
      </c>
      <c r="L1226" s="49">
        <f t="shared" si="78"/>
        <v>150800</v>
      </c>
      <c r="M1226" s="50">
        <f t="shared" si="79"/>
        <v>0</v>
      </c>
    </row>
    <row r="1227" spans="1:13" x14ac:dyDescent="0.25">
      <c r="A1227" s="54">
        <v>45792</v>
      </c>
      <c r="B1227" s="24">
        <f t="shared" si="76"/>
        <v>5</v>
      </c>
      <c r="C1227" s="24">
        <f t="shared" si="77"/>
        <v>2025</v>
      </c>
      <c r="D1227" s="104" t="s">
        <v>360</v>
      </c>
      <c r="E1227" s="104" t="s">
        <v>343</v>
      </c>
      <c r="K1227" s="61">
        <v>16000</v>
      </c>
      <c r="L1227" s="49">
        <f t="shared" si="78"/>
        <v>134800</v>
      </c>
      <c r="M1227" s="50">
        <f t="shared" si="79"/>
        <v>0</v>
      </c>
    </row>
    <row r="1228" spans="1:13" x14ac:dyDescent="0.25">
      <c r="A1228" s="80">
        <v>45427</v>
      </c>
      <c r="B1228" s="24">
        <f t="shared" si="76"/>
        <v>5</v>
      </c>
      <c r="C1228" s="24">
        <f t="shared" si="77"/>
        <v>2024</v>
      </c>
      <c r="D1228" s="107" t="s">
        <v>361</v>
      </c>
      <c r="E1228" s="107" t="s">
        <v>343</v>
      </c>
      <c r="F1228" s="107"/>
      <c r="G1228" s="107"/>
      <c r="H1228" s="81"/>
      <c r="I1228" s="81"/>
      <c r="J1228" s="52"/>
      <c r="K1228" s="52">
        <v>104800</v>
      </c>
      <c r="L1228" s="49">
        <f t="shared" si="78"/>
        <v>30000</v>
      </c>
      <c r="M1228" s="50">
        <f t="shared" si="79"/>
        <v>0</v>
      </c>
    </row>
    <row r="1229" spans="1:13" x14ac:dyDescent="0.25">
      <c r="A1229" s="54">
        <v>45428</v>
      </c>
      <c r="B1229" s="24">
        <f t="shared" si="76"/>
        <v>5</v>
      </c>
      <c r="C1229" s="24">
        <f t="shared" si="77"/>
        <v>2024</v>
      </c>
      <c r="D1229" s="104" t="s">
        <v>352</v>
      </c>
      <c r="E1229" s="104" t="s">
        <v>343</v>
      </c>
      <c r="F1229" s="104" t="s">
        <v>880</v>
      </c>
      <c r="J1229" s="61">
        <v>18000</v>
      </c>
      <c r="L1229" s="49">
        <f t="shared" si="78"/>
        <v>48000</v>
      </c>
      <c r="M1229" s="50">
        <f t="shared" si="79"/>
        <v>0</v>
      </c>
    </row>
    <row r="1230" spans="1:13" x14ac:dyDescent="0.25">
      <c r="A1230" s="54">
        <v>45428</v>
      </c>
      <c r="B1230" s="24">
        <f t="shared" si="76"/>
        <v>5</v>
      </c>
      <c r="C1230" s="24">
        <f t="shared" si="77"/>
        <v>2024</v>
      </c>
      <c r="D1230" s="104" t="s">
        <v>109</v>
      </c>
      <c r="E1230" s="104" t="s">
        <v>343</v>
      </c>
      <c r="F1230" s="104" t="s">
        <v>354</v>
      </c>
      <c r="K1230" s="61">
        <v>1800</v>
      </c>
      <c r="L1230" s="49">
        <f t="shared" si="78"/>
        <v>46200</v>
      </c>
      <c r="M1230" s="50">
        <f t="shared" si="79"/>
        <v>0</v>
      </c>
    </row>
    <row r="1231" spans="1:13" x14ac:dyDescent="0.25">
      <c r="A1231" s="54">
        <v>45428</v>
      </c>
      <c r="B1231" s="24">
        <f t="shared" si="76"/>
        <v>5</v>
      </c>
      <c r="C1231" s="24">
        <f t="shared" si="77"/>
        <v>2024</v>
      </c>
      <c r="D1231" s="104" t="s">
        <v>352</v>
      </c>
      <c r="E1231" s="104" t="s">
        <v>343</v>
      </c>
      <c r="F1231" s="104" t="s">
        <v>878</v>
      </c>
      <c r="J1231" s="61">
        <v>3000</v>
      </c>
      <c r="L1231" s="49">
        <f t="shared" si="78"/>
        <v>49200</v>
      </c>
      <c r="M1231" s="50">
        <f t="shared" si="79"/>
        <v>0</v>
      </c>
    </row>
    <row r="1232" spans="1:13" x14ac:dyDescent="0.25">
      <c r="A1232" s="54">
        <v>45428</v>
      </c>
      <c r="B1232" s="24">
        <f t="shared" si="76"/>
        <v>5</v>
      </c>
      <c r="C1232" s="24">
        <f t="shared" si="77"/>
        <v>2024</v>
      </c>
      <c r="D1232" s="104" t="s">
        <v>352</v>
      </c>
      <c r="E1232" s="104" t="s">
        <v>343</v>
      </c>
      <c r="F1232" s="104" t="s">
        <v>753</v>
      </c>
      <c r="J1232" s="61">
        <v>70000</v>
      </c>
      <c r="L1232" s="49">
        <f t="shared" si="78"/>
        <v>119200</v>
      </c>
      <c r="M1232" s="50">
        <f t="shared" si="79"/>
        <v>0</v>
      </c>
    </row>
    <row r="1233" spans="1:13" x14ac:dyDescent="0.25">
      <c r="A1233" s="54">
        <v>45428</v>
      </c>
      <c r="B1233" s="24">
        <f t="shared" si="76"/>
        <v>5</v>
      </c>
      <c r="C1233" s="24">
        <f t="shared" si="77"/>
        <v>2024</v>
      </c>
      <c r="D1233" s="104" t="s">
        <v>352</v>
      </c>
      <c r="E1233" s="104" t="s">
        <v>343</v>
      </c>
      <c r="F1233" s="104" t="s">
        <v>769</v>
      </c>
      <c r="J1233" s="61">
        <v>190000</v>
      </c>
      <c r="L1233" s="49">
        <f t="shared" si="78"/>
        <v>309200</v>
      </c>
      <c r="M1233" s="50">
        <f t="shared" si="79"/>
        <v>0</v>
      </c>
    </row>
    <row r="1234" spans="1:13" x14ac:dyDescent="0.25">
      <c r="A1234" s="54">
        <v>45428</v>
      </c>
      <c r="B1234" s="24">
        <f t="shared" si="76"/>
        <v>5</v>
      </c>
      <c r="C1234" s="24">
        <f t="shared" si="77"/>
        <v>2024</v>
      </c>
      <c r="D1234" s="104" t="s">
        <v>352</v>
      </c>
      <c r="E1234" s="104" t="s">
        <v>343</v>
      </c>
      <c r="F1234" s="104" t="s">
        <v>902</v>
      </c>
      <c r="J1234" s="61">
        <v>200000</v>
      </c>
      <c r="L1234" s="49">
        <f t="shared" si="78"/>
        <v>509200</v>
      </c>
      <c r="M1234" s="50">
        <f t="shared" si="79"/>
        <v>0</v>
      </c>
    </row>
    <row r="1235" spans="1:13" x14ac:dyDescent="0.25">
      <c r="A1235" s="54">
        <v>45428</v>
      </c>
      <c r="B1235" s="24">
        <f t="shared" si="76"/>
        <v>5</v>
      </c>
      <c r="C1235" s="24">
        <f t="shared" si="77"/>
        <v>2024</v>
      </c>
      <c r="D1235" s="104" t="s">
        <v>109</v>
      </c>
      <c r="E1235" s="104" t="s">
        <v>343</v>
      </c>
      <c r="K1235" s="61">
        <v>4000</v>
      </c>
      <c r="L1235" s="49">
        <f t="shared" si="78"/>
        <v>505200</v>
      </c>
      <c r="M1235" s="50">
        <f t="shared" si="79"/>
        <v>0</v>
      </c>
    </row>
    <row r="1236" spans="1:13" x14ac:dyDescent="0.25">
      <c r="A1236" s="80">
        <v>45428</v>
      </c>
      <c r="B1236" s="24">
        <f t="shared" si="76"/>
        <v>5</v>
      </c>
      <c r="C1236" s="24">
        <f t="shared" si="77"/>
        <v>2024</v>
      </c>
      <c r="D1236" s="107" t="s">
        <v>122</v>
      </c>
      <c r="E1236" s="107" t="s">
        <v>343</v>
      </c>
      <c r="F1236" s="107"/>
      <c r="G1236" s="107"/>
      <c r="H1236" s="81"/>
      <c r="I1236" s="81"/>
      <c r="J1236" s="52"/>
      <c r="K1236" s="52">
        <v>475200</v>
      </c>
      <c r="L1236" s="49">
        <f t="shared" si="78"/>
        <v>30000</v>
      </c>
      <c r="M1236" s="50">
        <f t="shared" si="79"/>
        <v>0</v>
      </c>
    </row>
    <row r="1237" spans="1:13" x14ac:dyDescent="0.25">
      <c r="A1237" s="54">
        <v>45429</v>
      </c>
      <c r="B1237" s="24">
        <f t="shared" si="76"/>
        <v>5</v>
      </c>
      <c r="C1237" s="24">
        <f t="shared" si="77"/>
        <v>2024</v>
      </c>
      <c r="D1237" s="104" t="s">
        <v>352</v>
      </c>
      <c r="E1237" s="104" t="s">
        <v>343</v>
      </c>
      <c r="F1237" s="104" t="s">
        <v>265</v>
      </c>
      <c r="J1237" s="61">
        <v>20000</v>
      </c>
      <c r="L1237" s="49">
        <f t="shared" si="78"/>
        <v>50000</v>
      </c>
      <c r="M1237" s="50">
        <f t="shared" si="79"/>
        <v>0</v>
      </c>
    </row>
    <row r="1238" spans="1:13" x14ac:dyDescent="0.25">
      <c r="A1238" s="54">
        <v>45429</v>
      </c>
      <c r="B1238" s="24">
        <f t="shared" si="76"/>
        <v>5</v>
      </c>
      <c r="C1238" s="24">
        <f t="shared" si="77"/>
        <v>2024</v>
      </c>
      <c r="D1238" s="104" t="s">
        <v>352</v>
      </c>
      <c r="E1238" s="104" t="s">
        <v>343</v>
      </c>
      <c r="F1238" s="104" t="s">
        <v>430</v>
      </c>
      <c r="J1238" s="61">
        <v>58000</v>
      </c>
      <c r="L1238" s="49">
        <f t="shared" si="78"/>
        <v>108000</v>
      </c>
      <c r="M1238" s="50">
        <f t="shared" si="79"/>
        <v>0</v>
      </c>
    </row>
    <row r="1239" spans="1:13" x14ac:dyDescent="0.25">
      <c r="A1239" s="54">
        <v>45429</v>
      </c>
      <c r="B1239" s="24">
        <f t="shared" si="76"/>
        <v>5</v>
      </c>
      <c r="C1239" s="24">
        <f t="shared" si="77"/>
        <v>2024</v>
      </c>
      <c r="D1239" s="104" t="s">
        <v>352</v>
      </c>
      <c r="E1239" s="104" t="s">
        <v>343</v>
      </c>
      <c r="F1239" s="104" t="s">
        <v>905</v>
      </c>
      <c r="J1239" s="61">
        <v>181500</v>
      </c>
      <c r="L1239" s="49">
        <f t="shared" si="78"/>
        <v>289500</v>
      </c>
      <c r="M1239" s="50">
        <f t="shared" si="79"/>
        <v>0</v>
      </c>
    </row>
    <row r="1240" spans="1:13" x14ac:dyDescent="0.25">
      <c r="A1240" s="54">
        <v>45429</v>
      </c>
      <c r="B1240" s="24">
        <f t="shared" si="76"/>
        <v>5</v>
      </c>
      <c r="C1240" s="24">
        <f t="shared" si="77"/>
        <v>2024</v>
      </c>
      <c r="D1240" s="104" t="s">
        <v>135</v>
      </c>
      <c r="E1240" s="104" t="s">
        <v>343</v>
      </c>
      <c r="F1240" s="104" t="s">
        <v>906</v>
      </c>
      <c r="K1240" s="61">
        <v>200</v>
      </c>
      <c r="L1240" s="49">
        <f t="shared" si="78"/>
        <v>289300</v>
      </c>
      <c r="M1240" s="50">
        <f t="shared" si="79"/>
        <v>0</v>
      </c>
    </row>
    <row r="1241" spans="1:13" x14ac:dyDescent="0.25">
      <c r="A1241" s="66">
        <v>45429</v>
      </c>
      <c r="B1241" s="24">
        <f t="shared" si="76"/>
        <v>5</v>
      </c>
      <c r="C1241" s="24">
        <f t="shared" si="77"/>
        <v>2024</v>
      </c>
      <c r="D1241" s="109" t="s">
        <v>501</v>
      </c>
      <c r="E1241" s="109" t="s">
        <v>343</v>
      </c>
      <c r="F1241" s="109" t="s">
        <v>821</v>
      </c>
      <c r="G1241" s="109"/>
      <c r="H1241" s="14"/>
      <c r="I1241" s="14"/>
      <c r="J1241" s="118"/>
      <c r="K1241" s="118">
        <v>130000</v>
      </c>
      <c r="L1241" s="49">
        <f t="shared" si="78"/>
        <v>159300</v>
      </c>
      <c r="M1241" s="50">
        <f t="shared" si="79"/>
        <v>0</v>
      </c>
    </row>
    <row r="1242" spans="1:13" x14ac:dyDescent="0.25">
      <c r="A1242" s="80">
        <v>45429</v>
      </c>
      <c r="B1242" s="24">
        <f t="shared" si="76"/>
        <v>5</v>
      </c>
      <c r="C1242" s="24">
        <f t="shared" si="77"/>
        <v>2024</v>
      </c>
      <c r="D1242" s="107" t="s">
        <v>122</v>
      </c>
      <c r="E1242" s="107" t="s">
        <v>343</v>
      </c>
      <c r="F1242" s="107"/>
      <c r="G1242" s="107"/>
      <c r="H1242" s="81"/>
      <c r="I1242" s="81"/>
      <c r="J1242" s="52"/>
      <c r="K1242" s="52">
        <v>129300</v>
      </c>
      <c r="L1242" s="49">
        <f t="shared" si="78"/>
        <v>30000</v>
      </c>
      <c r="M1242" s="50">
        <f t="shared" si="79"/>
        <v>0</v>
      </c>
    </row>
    <row r="1243" spans="1:13" x14ac:dyDescent="0.25">
      <c r="A1243" s="54">
        <v>45430</v>
      </c>
      <c r="B1243" s="24">
        <f t="shared" si="76"/>
        <v>5</v>
      </c>
      <c r="C1243" s="24">
        <f t="shared" si="77"/>
        <v>2024</v>
      </c>
      <c r="D1243" s="104" t="s">
        <v>384</v>
      </c>
      <c r="E1243" s="104" t="s">
        <v>343</v>
      </c>
      <c r="J1243" s="61">
        <v>150000</v>
      </c>
      <c r="L1243" s="49">
        <f t="shared" si="78"/>
        <v>180000</v>
      </c>
      <c r="M1243" s="50">
        <f t="shared" si="79"/>
        <v>0</v>
      </c>
    </row>
    <row r="1244" spans="1:13" x14ac:dyDescent="0.25">
      <c r="A1244" s="54">
        <v>45430</v>
      </c>
      <c r="B1244" s="24">
        <f t="shared" si="76"/>
        <v>5</v>
      </c>
      <c r="C1244" s="24">
        <f t="shared" si="77"/>
        <v>2024</v>
      </c>
      <c r="D1244" s="104" t="s">
        <v>501</v>
      </c>
      <c r="E1244" s="104" t="s">
        <v>343</v>
      </c>
      <c r="F1244" s="104" t="s">
        <v>655</v>
      </c>
      <c r="K1244" s="61">
        <v>150000</v>
      </c>
      <c r="L1244" s="49">
        <f t="shared" si="78"/>
        <v>30000</v>
      </c>
      <c r="M1244" s="50">
        <f t="shared" si="79"/>
        <v>0</v>
      </c>
    </row>
    <row r="1245" spans="1:13" x14ac:dyDescent="0.25">
      <c r="A1245" s="54">
        <v>45432</v>
      </c>
      <c r="B1245" s="24">
        <f t="shared" si="76"/>
        <v>5</v>
      </c>
      <c r="C1245" s="24">
        <f t="shared" si="77"/>
        <v>2024</v>
      </c>
      <c r="D1245" s="104" t="s">
        <v>352</v>
      </c>
      <c r="E1245" s="104" t="s">
        <v>343</v>
      </c>
      <c r="F1245" s="104" t="s">
        <v>456</v>
      </c>
      <c r="J1245" s="61">
        <v>10000</v>
      </c>
      <c r="L1245" s="49">
        <f t="shared" si="78"/>
        <v>40000</v>
      </c>
      <c r="M1245" s="50">
        <f t="shared" si="79"/>
        <v>0</v>
      </c>
    </row>
    <row r="1246" spans="1:13" x14ac:dyDescent="0.25">
      <c r="A1246" s="80">
        <v>45432</v>
      </c>
      <c r="B1246" s="24">
        <f t="shared" si="76"/>
        <v>5</v>
      </c>
      <c r="C1246" s="24">
        <f t="shared" si="77"/>
        <v>2024</v>
      </c>
      <c r="D1246" s="107" t="s">
        <v>122</v>
      </c>
      <c r="E1246" s="107" t="s">
        <v>93</v>
      </c>
      <c r="F1246" s="107"/>
      <c r="G1246" s="107"/>
      <c r="H1246" s="81"/>
      <c r="I1246" s="81"/>
      <c r="J1246" s="52"/>
      <c r="K1246" s="52">
        <v>10000</v>
      </c>
      <c r="L1246" s="49">
        <f t="shared" si="78"/>
        <v>30000</v>
      </c>
      <c r="M1246" s="50">
        <f t="shared" si="79"/>
        <v>0</v>
      </c>
    </row>
    <row r="1247" spans="1:13" x14ac:dyDescent="0.25">
      <c r="A1247" s="54">
        <v>45433</v>
      </c>
      <c r="B1247" s="24">
        <f t="shared" si="76"/>
        <v>5</v>
      </c>
      <c r="C1247" s="24">
        <f t="shared" si="77"/>
        <v>2024</v>
      </c>
      <c r="D1247" s="104" t="s">
        <v>352</v>
      </c>
      <c r="E1247" s="104" t="s">
        <v>343</v>
      </c>
      <c r="F1247" s="104" t="s">
        <v>909</v>
      </c>
      <c r="J1247" s="61">
        <v>97000</v>
      </c>
      <c r="L1247" s="49">
        <f t="shared" si="78"/>
        <v>127000</v>
      </c>
      <c r="M1247" s="50">
        <f t="shared" si="79"/>
        <v>0</v>
      </c>
    </row>
    <row r="1248" spans="1:13" x14ac:dyDescent="0.25">
      <c r="A1248" s="54">
        <v>45433</v>
      </c>
      <c r="B1248" s="24">
        <f t="shared" si="76"/>
        <v>5</v>
      </c>
      <c r="C1248" s="24">
        <f t="shared" si="77"/>
        <v>2024</v>
      </c>
      <c r="D1248" s="104" t="s">
        <v>352</v>
      </c>
      <c r="E1248" s="104" t="s">
        <v>343</v>
      </c>
      <c r="F1248" s="104" t="s">
        <v>910</v>
      </c>
      <c r="J1248" s="61">
        <v>300000</v>
      </c>
      <c r="L1248" s="49">
        <f t="shared" si="78"/>
        <v>427000</v>
      </c>
      <c r="M1248" s="50">
        <f t="shared" si="79"/>
        <v>0</v>
      </c>
    </row>
    <row r="1249" spans="1:15" x14ac:dyDescent="0.25">
      <c r="A1249" s="54">
        <v>45433</v>
      </c>
      <c r="B1249" s="24">
        <f t="shared" si="76"/>
        <v>5</v>
      </c>
      <c r="C1249" s="24">
        <f t="shared" si="77"/>
        <v>2024</v>
      </c>
      <c r="D1249" s="104" t="s">
        <v>384</v>
      </c>
      <c r="E1249" s="104" t="s">
        <v>343</v>
      </c>
      <c r="F1249" s="104" t="s">
        <v>911</v>
      </c>
      <c r="J1249" s="61">
        <v>2640000</v>
      </c>
      <c r="L1249" s="49">
        <f t="shared" si="78"/>
        <v>3067000</v>
      </c>
      <c r="M1249" s="50">
        <f t="shared" si="79"/>
        <v>0</v>
      </c>
    </row>
    <row r="1250" spans="1:15" x14ac:dyDescent="0.25">
      <c r="A1250" s="54">
        <v>45433</v>
      </c>
      <c r="B1250" s="24">
        <f t="shared" si="76"/>
        <v>5</v>
      </c>
      <c r="C1250" s="24">
        <f t="shared" si="77"/>
        <v>2024</v>
      </c>
      <c r="D1250" s="104" t="s">
        <v>124</v>
      </c>
      <c r="E1250" s="104" t="s">
        <v>343</v>
      </c>
      <c r="F1250" s="104" t="s">
        <v>665</v>
      </c>
      <c r="K1250" s="61">
        <v>2640000</v>
      </c>
      <c r="L1250" s="49">
        <f t="shared" si="78"/>
        <v>427000</v>
      </c>
      <c r="M1250" s="50">
        <f t="shared" si="79"/>
        <v>0</v>
      </c>
      <c r="O1250" s="27" t="s">
        <v>957</v>
      </c>
    </row>
    <row r="1251" spans="1:15" x14ac:dyDescent="0.25">
      <c r="A1251" s="66">
        <v>45433</v>
      </c>
      <c r="B1251" s="24">
        <f t="shared" si="76"/>
        <v>5</v>
      </c>
      <c r="C1251" s="24">
        <f t="shared" si="77"/>
        <v>2024</v>
      </c>
      <c r="D1251" s="109" t="s">
        <v>109</v>
      </c>
      <c r="E1251" s="109" t="s">
        <v>343</v>
      </c>
      <c r="F1251" s="109"/>
      <c r="G1251" s="109"/>
      <c r="H1251" s="14"/>
      <c r="I1251" s="14"/>
      <c r="J1251" s="118"/>
      <c r="K1251" s="118">
        <v>4000</v>
      </c>
      <c r="L1251" s="49">
        <f t="shared" si="78"/>
        <v>423000</v>
      </c>
      <c r="M1251" s="50">
        <f t="shared" si="79"/>
        <v>0</v>
      </c>
    </row>
    <row r="1252" spans="1:15" x14ac:dyDescent="0.25">
      <c r="A1252" s="80">
        <v>45433</v>
      </c>
      <c r="B1252" s="24">
        <f t="shared" si="76"/>
        <v>5</v>
      </c>
      <c r="C1252" s="24">
        <f t="shared" si="77"/>
        <v>2024</v>
      </c>
      <c r="D1252" s="107" t="s">
        <v>122</v>
      </c>
      <c r="E1252" s="107" t="s">
        <v>343</v>
      </c>
      <c r="F1252" s="107"/>
      <c r="G1252" s="107"/>
      <c r="H1252" s="81"/>
      <c r="I1252" s="81"/>
      <c r="J1252" s="52"/>
      <c r="K1252" s="52">
        <v>393000</v>
      </c>
      <c r="L1252" s="49">
        <f t="shared" si="78"/>
        <v>30000</v>
      </c>
      <c r="M1252" s="50">
        <f t="shared" si="79"/>
        <v>0</v>
      </c>
    </row>
    <row r="1253" spans="1:15" x14ac:dyDescent="0.25">
      <c r="A1253" s="54">
        <v>45434</v>
      </c>
      <c r="B1253" s="24">
        <f t="shared" si="76"/>
        <v>5</v>
      </c>
      <c r="C1253" s="24">
        <f t="shared" si="77"/>
        <v>2024</v>
      </c>
      <c r="D1253" s="104" t="s">
        <v>109</v>
      </c>
      <c r="E1253" s="104" t="s">
        <v>343</v>
      </c>
      <c r="F1253" s="104" t="s">
        <v>204</v>
      </c>
      <c r="K1253" s="61">
        <v>6600</v>
      </c>
      <c r="L1253" s="49">
        <f t="shared" si="78"/>
        <v>23400</v>
      </c>
      <c r="M1253" s="50">
        <f t="shared" si="79"/>
        <v>0</v>
      </c>
    </row>
    <row r="1254" spans="1:15" x14ac:dyDescent="0.25">
      <c r="A1254" s="134">
        <v>45434</v>
      </c>
      <c r="B1254" s="24">
        <f t="shared" si="76"/>
        <v>5</v>
      </c>
      <c r="C1254" s="24">
        <f t="shared" si="77"/>
        <v>2024</v>
      </c>
      <c r="D1254" s="135" t="s">
        <v>384</v>
      </c>
      <c r="E1254" s="135" t="s">
        <v>343</v>
      </c>
      <c r="F1254" s="135"/>
      <c r="G1254" s="135"/>
      <c r="H1254" s="136"/>
      <c r="I1254" s="136"/>
      <c r="J1254" s="137">
        <v>6600</v>
      </c>
      <c r="K1254" s="137"/>
      <c r="L1254" s="49">
        <f t="shared" si="78"/>
        <v>30000</v>
      </c>
      <c r="M1254" s="50">
        <f t="shared" si="79"/>
        <v>0</v>
      </c>
    </row>
    <row r="1255" spans="1:15" x14ac:dyDescent="0.25">
      <c r="A1255" s="54">
        <v>45435</v>
      </c>
      <c r="B1255" s="24">
        <f t="shared" si="76"/>
        <v>5</v>
      </c>
      <c r="C1255" s="24">
        <f t="shared" si="77"/>
        <v>2024</v>
      </c>
      <c r="D1255" s="104" t="s">
        <v>352</v>
      </c>
      <c r="E1255" s="104" t="s">
        <v>343</v>
      </c>
      <c r="F1255" s="104" t="s">
        <v>912</v>
      </c>
      <c r="J1255" s="61">
        <v>145000</v>
      </c>
      <c r="L1255" s="49">
        <f t="shared" si="78"/>
        <v>175000</v>
      </c>
      <c r="M1255" s="50">
        <f t="shared" si="79"/>
        <v>0</v>
      </c>
    </row>
    <row r="1256" spans="1:15" x14ac:dyDescent="0.25">
      <c r="A1256" s="54">
        <v>45435</v>
      </c>
      <c r="B1256" s="24">
        <f t="shared" si="76"/>
        <v>5</v>
      </c>
      <c r="C1256" s="24">
        <f t="shared" si="77"/>
        <v>2024</v>
      </c>
      <c r="D1256" s="104" t="s">
        <v>352</v>
      </c>
      <c r="E1256" s="104" t="s">
        <v>343</v>
      </c>
      <c r="F1256" s="104" t="s">
        <v>456</v>
      </c>
      <c r="J1256" s="61">
        <v>10000</v>
      </c>
      <c r="L1256" s="49">
        <f t="shared" si="78"/>
        <v>185000</v>
      </c>
      <c r="M1256" s="50">
        <f t="shared" si="79"/>
        <v>0</v>
      </c>
    </row>
    <row r="1257" spans="1:15" x14ac:dyDescent="0.25">
      <c r="A1257" s="54">
        <v>45435</v>
      </c>
      <c r="B1257" s="24">
        <f t="shared" si="76"/>
        <v>5</v>
      </c>
      <c r="C1257" s="24">
        <f t="shared" si="77"/>
        <v>2024</v>
      </c>
      <c r="D1257" s="104" t="s">
        <v>92</v>
      </c>
      <c r="E1257" s="104" t="s">
        <v>92</v>
      </c>
      <c r="F1257" s="104" t="s">
        <v>913</v>
      </c>
      <c r="K1257" s="61">
        <v>127000</v>
      </c>
      <c r="L1257" s="49">
        <f t="shared" si="78"/>
        <v>58000</v>
      </c>
      <c r="M1257" s="50">
        <f t="shared" si="79"/>
        <v>0</v>
      </c>
    </row>
    <row r="1258" spans="1:15" x14ac:dyDescent="0.25">
      <c r="A1258" s="54">
        <v>45435</v>
      </c>
      <c r="B1258" s="24">
        <f t="shared" si="76"/>
        <v>5</v>
      </c>
      <c r="C1258" s="24">
        <f t="shared" si="77"/>
        <v>2024</v>
      </c>
      <c r="D1258" s="104" t="s">
        <v>360</v>
      </c>
      <c r="E1258" s="104" t="s">
        <v>343</v>
      </c>
      <c r="K1258" s="61">
        <v>7000</v>
      </c>
      <c r="L1258" s="49">
        <f t="shared" si="78"/>
        <v>51000</v>
      </c>
      <c r="M1258" s="50">
        <f t="shared" si="79"/>
        <v>0</v>
      </c>
    </row>
    <row r="1259" spans="1:15" x14ac:dyDescent="0.25">
      <c r="A1259" s="54">
        <v>45435</v>
      </c>
      <c r="B1259" s="24">
        <f t="shared" si="76"/>
        <v>5</v>
      </c>
      <c r="C1259" s="24">
        <f t="shared" si="77"/>
        <v>2024</v>
      </c>
      <c r="D1259" s="104" t="s">
        <v>109</v>
      </c>
      <c r="E1259" s="104" t="s">
        <v>343</v>
      </c>
      <c r="F1259" s="104" t="s">
        <v>616</v>
      </c>
      <c r="K1259" s="61">
        <v>3800</v>
      </c>
      <c r="L1259" s="49">
        <f t="shared" si="78"/>
        <v>47200</v>
      </c>
      <c r="M1259" s="50">
        <f t="shared" si="79"/>
        <v>0</v>
      </c>
    </row>
    <row r="1260" spans="1:15" x14ac:dyDescent="0.25">
      <c r="A1260" s="80">
        <v>45435</v>
      </c>
      <c r="B1260" s="24">
        <f t="shared" si="76"/>
        <v>5</v>
      </c>
      <c r="C1260" s="24">
        <f t="shared" si="77"/>
        <v>2024</v>
      </c>
      <c r="D1260" s="107" t="s">
        <v>122</v>
      </c>
      <c r="E1260" s="107" t="s">
        <v>343</v>
      </c>
      <c r="F1260" s="107"/>
      <c r="G1260" s="107"/>
      <c r="H1260" s="81"/>
      <c r="I1260" s="81"/>
      <c r="J1260" s="52"/>
      <c r="K1260" s="52">
        <v>17200</v>
      </c>
      <c r="L1260" s="49">
        <f t="shared" si="78"/>
        <v>30000</v>
      </c>
      <c r="M1260" s="50">
        <f t="shared" si="79"/>
        <v>0</v>
      </c>
    </row>
    <row r="1261" spans="1:15" x14ac:dyDescent="0.25">
      <c r="A1261" s="54">
        <v>45436</v>
      </c>
      <c r="B1261" s="24">
        <f t="shared" si="76"/>
        <v>5</v>
      </c>
      <c r="C1261" s="24">
        <f t="shared" si="77"/>
        <v>2024</v>
      </c>
      <c r="D1261" s="104" t="s">
        <v>352</v>
      </c>
      <c r="E1261" s="104" t="s">
        <v>343</v>
      </c>
      <c r="F1261" s="104" t="s">
        <v>915</v>
      </c>
      <c r="J1261" s="61">
        <v>60000</v>
      </c>
      <c r="L1261" s="49">
        <f t="shared" si="78"/>
        <v>90000</v>
      </c>
      <c r="M1261" s="50">
        <f t="shared" si="79"/>
        <v>0</v>
      </c>
    </row>
    <row r="1262" spans="1:15" x14ac:dyDescent="0.25">
      <c r="A1262" s="54">
        <v>45436</v>
      </c>
      <c r="B1262" s="24">
        <f t="shared" si="76"/>
        <v>5</v>
      </c>
      <c r="C1262" s="24">
        <f t="shared" si="77"/>
        <v>2024</v>
      </c>
      <c r="D1262" s="104" t="s">
        <v>109</v>
      </c>
      <c r="E1262" s="104" t="s">
        <v>343</v>
      </c>
      <c r="K1262" s="61">
        <v>7000</v>
      </c>
      <c r="L1262" s="49">
        <f t="shared" si="78"/>
        <v>83000</v>
      </c>
      <c r="M1262" s="50">
        <f t="shared" si="79"/>
        <v>0</v>
      </c>
    </row>
    <row r="1263" spans="1:15" x14ac:dyDescent="0.25">
      <c r="A1263" s="54">
        <v>45436</v>
      </c>
      <c r="B1263" s="24">
        <f t="shared" si="76"/>
        <v>5</v>
      </c>
      <c r="C1263" s="24">
        <f t="shared" si="77"/>
        <v>2024</v>
      </c>
      <c r="D1263" s="104" t="s">
        <v>360</v>
      </c>
      <c r="E1263" s="104" t="s">
        <v>343</v>
      </c>
      <c r="F1263" s="104" t="s">
        <v>169</v>
      </c>
      <c r="K1263" s="61">
        <v>30000</v>
      </c>
      <c r="L1263" s="49">
        <f t="shared" si="78"/>
        <v>53000</v>
      </c>
      <c r="M1263" s="50">
        <f t="shared" si="79"/>
        <v>0</v>
      </c>
    </row>
    <row r="1264" spans="1:15" x14ac:dyDescent="0.25">
      <c r="A1264" s="54">
        <v>45436</v>
      </c>
      <c r="B1264" s="24">
        <f t="shared" si="76"/>
        <v>5</v>
      </c>
      <c r="C1264" s="24">
        <f t="shared" si="77"/>
        <v>2024</v>
      </c>
      <c r="D1264" s="104" t="s">
        <v>384</v>
      </c>
      <c r="E1264" s="104" t="s">
        <v>343</v>
      </c>
      <c r="J1264" s="61">
        <v>7000</v>
      </c>
      <c r="L1264" s="49">
        <f t="shared" si="78"/>
        <v>60000</v>
      </c>
      <c r="M1264" s="50">
        <f t="shared" si="79"/>
        <v>0</v>
      </c>
    </row>
    <row r="1265" spans="1:13" x14ac:dyDescent="0.25">
      <c r="A1265" s="54">
        <v>45436</v>
      </c>
      <c r="B1265" s="24">
        <f t="shared" si="76"/>
        <v>5</v>
      </c>
      <c r="C1265" s="24">
        <f t="shared" si="77"/>
        <v>2024</v>
      </c>
      <c r="D1265" s="104" t="s">
        <v>444</v>
      </c>
      <c r="E1265" s="104" t="s">
        <v>343</v>
      </c>
      <c r="K1265" s="61">
        <v>30000</v>
      </c>
      <c r="L1265" s="49">
        <f t="shared" si="78"/>
        <v>30000</v>
      </c>
      <c r="M1265" s="50">
        <f t="shared" si="79"/>
        <v>0</v>
      </c>
    </row>
    <row r="1266" spans="1:13" x14ac:dyDescent="0.25">
      <c r="A1266" s="54">
        <v>45439</v>
      </c>
      <c r="B1266" s="24">
        <f t="shared" si="76"/>
        <v>5</v>
      </c>
      <c r="C1266" s="24">
        <f t="shared" si="77"/>
        <v>2024</v>
      </c>
      <c r="D1266" s="104" t="s">
        <v>352</v>
      </c>
      <c r="E1266" s="104" t="s">
        <v>343</v>
      </c>
      <c r="F1266" s="104" t="s">
        <v>921</v>
      </c>
      <c r="J1266" s="61">
        <v>51000</v>
      </c>
      <c r="L1266" s="49">
        <f t="shared" si="78"/>
        <v>81000</v>
      </c>
      <c r="M1266" s="50">
        <f t="shared" si="79"/>
        <v>0</v>
      </c>
    </row>
    <row r="1267" spans="1:13" x14ac:dyDescent="0.25">
      <c r="A1267" s="54">
        <v>45439</v>
      </c>
      <c r="B1267" s="24">
        <f t="shared" si="76"/>
        <v>5</v>
      </c>
      <c r="C1267" s="24">
        <f t="shared" si="77"/>
        <v>2024</v>
      </c>
      <c r="D1267" s="104" t="s">
        <v>352</v>
      </c>
      <c r="E1267" s="104" t="s">
        <v>343</v>
      </c>
      <c r="F1267" s="104" t="s">
        <v>917</v>
      </c>
      <c r="J1267" s="61">
        <v>253000</v>
      </c>
      <c r="L1267" s="49">
        <f t="shared" si="78"/>
        <v>334000</v>
      </c>
      <c r="M1267" s="50">
        <f t="shared" si="79"/>
        <v>0</v>
      </c>
    </row>
    <row r="1268" spans="1:13" x14ac:dyDescent="0.25">
      <c r="A1268" s="80">
        <v>45439</v>
      </c>
      <c r="B1268" s="24">
        <f t="shared" si="76"/>
        <v>5</v>
      </c>
      <c r="C1268" s="24">
        <f t="shared" si="77"/>
        <v>2024</v>
      </c>
      <c r="D1268" s="107" t="s">
        <v>122</v>
      </c>
      <c r="E1268" s="107" t="s">
        <v>343</v>
      </c>
      <c r="F1268" s="107"/>
      <c r="G1268" s="107"/>
      <c r="H1268" s="81"/>
      <c r="I1268" s="81"/>
      <c r="J1268" s="52"/>
      <c r="K1268" s="52">
        <v>304000</v>
      </c>
      <c r="L1268" s="49">
        <f t="shared" si="78"/>
        <v>30000</v>
      </c>
      <c r="M1268" s="50">
        <f t="shared" si="79"/>
        <v>0</v>
      </c>
    </row>
    <row r="1269" spans="1:13" x14ac:dyDescent="0.25">
      <c r="A1269" s="54">
        <v>45440</v>
      </c>
      <c r="B1269" s="24">
        <f t="shared" si="76"/>
        <v>5</v>
      </c>
      <c r="C1269" s="24">
        <f t="shared" si="77"/>
        <v>2024</v>
      </c>
      <c r="D1269" s="104" t="s">
        <v>352</v>
      </c>
      <c r="E1269" s="104" t="s">
        <v>343</v>
      </c>
      <c r="F1269" s="104" t="s">
        <v>923</v>
      </c>
      <c r="J1269" s="61">
        <v>40000</v>
      </c>
      <c r="L1269" s="49">
        <f t="shared" si="78"/>
        <v>70000</v>
      </c>
      <c r="M1269" s="50">
        <f t="shared" si="79"/>
        <v>0</v>
      </c>
    </row>
    <row r="1270" spans="1:13" x14ac:dyDescent="0.25">
      <c r="A1270" s="54">
        <v>45440</v>
      </c>
      <c r="B1270" s="24">
        <f t="shared" si="76"/>
        <v>5</v>
      </c>
      <c r="C1270" s="24">
        <f t="shared" si="77"/>
        <v>2024</v>
      </c>
      <c r="D1270" s="104" t="s">
        <v>109</v>
      </c>
      <c r="E1270" s="104" t="s">
        <v>93</v>
      </c>
      <c r="K1270" s="61">
        <v>1800</v>
      </c>
      <c r="L1270" s="49">
        <f t="shared" si="78"/>
        <v>68200</v>
      </c>
      <c r="M1270" s="50">
        <f t="shared" si="79"/>
        <v>0</v>
      </c>
    </row>
    <row r="1271" spans="1:13" x14ac:dyDescent="0.25">
      <c r="A1271" s="80">
        <v>45440</v>
      </c>
      <c r="B1271" s="24">
        <f t="shared" si="76"/>
        <v>5</v>
      </c>
      <c r="C1271" s="24">
        <f t="shared" si="77"/>
        <v>2024</v>
      </c>
      <c r="D1271" s="107" t="s">
        <v>122</v>
      </c>
      <c r="E1271" s="107" t="s">
        <v>93</v>
      </c>
      <c r="F1271" s="107"/>
      <c r="G1271" s="107"/>
      <c r="H1271" s="81"/>
      <c r="I1271" s="81"/>
      <c r="J1271" s="52"/>
      <c r="K1271" s="52">
        <v>38200</v>
      </c>
      <c r="L1271" s="49">
        <f t="shared" si="78"/>
        <v>30000</v>
      </c>
      <c r="M1271" s="50">
        <f t="shared" si="79"/>
        <v>0</v>
      </c>
    </row>
    <row r="1272" spans="1:13" x14ac:dyDescent="0.25">
      <c r="A1272" s="54">
        <v>45441</v>
      </c>
      <c r="B1272" s="24">
        <f t="shared" si="76"/>
        <v>5</v>
      </c>
      <c r="C1272" s="24">
        <f t="shared" si="77"/>
        <v>2024</v>
      </c>
      <c r="D1272" s="104" t="s">
        <v>352</v>
      </c>
      <c r="E1272" s="104" t="s">
        <v>343</v>
      </c>
      <c r="F1272" s="104" t="s">
        <v>161</v>
      </c>
      <c r="J1272" s="61">
        <v>215700</v>
      </c>
      <c r="L1272" s="49">
        <f t="shared" si="78"/>
        <v>245700</v>
      </c>
      <c r="M1272" s="50">
        <f t="shared" si="79"/>
        <v>0</v>
      </c>
    </row>
    <row r="1273" spans="1:13" x14ac:dyDescent="0.25">
      <c r="A1273" s="54">
        <v>45441</v>
      </c>
      <c r="B1273" s="24">
        <f t="shared" si="76"/>
        <v>5</v>
      </c>
      <c r="C1273" s="24">
        <f t="shared" si="77"/>
        <v>2024</v>
      </c>
      <c r="D1273" s="104" t="s">
        <v>28</v>
      </c>
      <c r="E1273" s="104" t="s">
        <v>343</v>
      </c>
      <c r="K1273" s="61">
        <v>5000</v>
      </c>
      <c r="L1273" s="49">
        <f t="shared" si="78"/>
        <v>240700</v>
      </c>
      <c r="M1273" s="50">
        <f t="shared" si="79"/>
        <v>0</v>
      </c>
    </row>
    <row r="1274" spans="1:13" x14ac:dyDescent="0.25">
      <c r="A1274" s="54">
        <v>45441</v>
      </c>
      <c r="B1274" s="24">
        <f t="shared" si="76"/>
        <v>5</v>
      </c>
      <c r="C1274" s="24">
        <f t="shared" si="77"/>
        <v>2024</v>
      </c>
      <c r="D1274" s="104" t="s">
        <v>360</v>
      </c>
      <c r="E1274" s="104" t="s">
        <v>343</v>
      </c>
      <c r="K1274" s="61">
        <v>6000</v>
      </c>
      <c r="L1274" s="49">
        <f t="shared" si="78"/>
        <v>234700</v>
      </c>
      <c r="M1274" s="50">
        <f t="shared" si="79"/>
        <v>0</v>
      </c>
    </row>
    <row r="1275" spans="1:13" x14ac:dyDescent="0.25">
      <c r="A1275" s="80">
        <v>45441</v>
      </c>
      <c r="B1275" s="24">
        <f t="shared" si="76"/>
        <v>5</v>
      </c>
      <c r="C1275" s="24">
        <f t="shared" si="77"/>
        <v>2024</v>
      </c>
      <c r="D1275" s="107" t="s">
        <v>122</v>
      </c>
      <c r="E1275" s="107" t="s">
        <v>343</v>
      </c>
      <c r="F1275" s="107"/>
      <c r="G1275" s="107"/>
      <c r="H1275" s="81"/>
      <c r="I1275" s="81"/>
      <c r="J1275" s="52"/>
      <c r="K1275" s="52">
        <v>204700</v>
      </c>
      <c r="L1275" s="49">
        <f t="shared" si="78"/>
        <v>30000</v>
      </c>
      <c r="M1275" s="50">
        <f t="shared" si="79"/>
        <v>0</v>
      </c>
    </row>
    <row r="1276" spans="1:13" x14ac:dyDescent="0.25">
      <c r="A1276" s="54">
        <v>45442</v>
      </c>
      <c r="B1276" s="24">
        <f t="shared" si="76"/>
        <v>5</v>
      </c>
      <c r="C1276" s="24">
        <f t="shared" si="77"/>
        <v>2024</v>
      </c>
      <c r="D1276" s="104" t="s">
        <v>109</v>
      </c>
      <c r="E1276" s="104" t="s">
        <v>343</v>
      </c>
      <c r="F1276" s="104" t="s">
        <v>354</v>
      </c>
      <c r="K1276" s="61">
        <v>3800</v>
      </c>
      <c r="L1276" s="49">
        <f t="shared" si="78"/>
        <v>26200</v>
      </c>
      <c r="M1276" s="50">
        <f t="shared" si="79"/>
        <v>0</v>
      </c>
    </row>
    <row r="1277" spans="1:13" x14ac:dyDescent="0.25">
      <c r="A1277" s="134">
        <v>45442</v>
      </c>
      <c r="B1277" s="24">
        <f t="shared" si="76"/>
        <v>5</v>
      </c>
      <c r="C1277" s="24">
        <f t="shared" si="77"/>
        <v>2024</v>
      </c>
      <c r="D1277" s="135" t="s">
        <v>384</v>
      </c>
      <c r="E1277" s="135" t="s">
        <v>343</v>
      </c>
      <c r="F1277" s="135"/>
      <c r="G1277" s="135"/>
      <c r="H1277" s="136"/>
      <c r="I1277" s="136"/>
      <c r="J1277" s="137">
        <v>3800</v>
      </c>
      <c r="L1277" s="49">
        <f t="shared" si="78"/>
        <v>30000</v>
      </c>
      <c r="M1277" s="50">
        <f t="shared" si="79"/>
        <v>0</v>
      </c>
    </row>
    <row r="1278" spans="1:13" x14ac:dyDescent="0.25">
      <c r="A1278" s="54">
        <v>45443</v>
      </c>
      <c r="B1278" s="24">
        <f t="shared" si="76"/>
        <v>5</v>
      </c>
      <c r="C1278" s="24">
        <f t="shared" si="77"/>
        <v>2024</v>
      </c>
      <c r="D1278" s="104" t="s">
        <v>360</v>
      </c>
      <c r="E1278" s="104" t="s">
        <v>343</v>
      </c>
      <c r="K1278" s="61">
        <v>6000</v>
      </c>
      <c r="L1278" s="49">
        <f t="shared" si="78"/>
        <v>24000</v>
      </c>
      <c r="M1278" s="50">
        <f t="shared" si="79"/>
        <v>0</v>
      </c>
    </row>
    <row r="1279" spans="1:13" x14ac:dyDescent="0.25">
      <c r="A1279" s="134">
        <v>45443</v>
      </c>
      <c r="B1279" s="24">
        <f t="shared" si="76"/>
        <v>5</v>
      </c>
      <c r="C1279" s="24">
        <f t="shared" si="77"/>
        <v>2024</v>
      </c>
      <c r="D1279" s="135" t="s">
        <v>384</v>
      </c>
      <c r="E1279" s="135" t="s">
        <v>343</v>
      </c>
      <c r="F1279" s="135"/>
      <c r="G1279" s="135"/>
      <c r="H1279" s="136"/>
      <c r="I1279" s="136"/>
      <c r="J1279" s="137">
        <v>6000</v>
      </c>
      <c r="L1279" s="49">
        <f t="shared" si="78"/>
        <v>30000</v>
      </c>
      <c r="M1279" s="50">
        <f t="shared" si="79"/>
        <v>0</v>
      </c>
    </row>
    <row r="1280" spans="1:13" x14ac:dyDescent="0.25">
      <c r="A1280" s="54">
        <v>45444</v>
      </c>
      <c r="B1280" s="24">
        <f t="shared" si="76"/>
        <v>6</v>
      </c>
      <c r="C1280" s="24">
        <f t="shared" si="77"/>
        <v>2024</v>
      </c>
      <c r="D1280" s="104" t="s">
        <v>109</v>
      </c>
      <c r="E1280" s="104" t="s">
        <v>343</v>
      </c>
      <c r="K1280" s="61">
        <v>4000</v>
      </c>
      <c r="L1280" s="49">
        <f t="shared" si="78"/>
        <v>26000</v>
      </c>
      <c r="M1280" s="50">
        <f t="shared" si="79"/>
        <v>0</v>
      </c>
    </row>
    <row r="1281" spans="1:13" x14ac:dyDescent="0.25">
      <c r="A1281" s="54">
        <v>45444</v>
      </c>
      <c r="B1281" s="24">
        <f t="shared" si="76"/>
        <v>6</v>
      </c>
      <c r="C1281" s="24">
        <f t="shared" si="77"/>
        <v>2024</v>
      </c>
      <c r="D1281" s="104" t="s">
        <v>384</v>
      </c>
      <c r="E1281" s="104" t="s">
        <v>343</v>
      </c>
      <c r="J1281" s="61">
        <v>4000</v>
      </c>
      <c r="L1281" s="49">
        <f t="shared" si="78"/>
        <v>30000</v>
      </c>
      <c r="M1281" s="50">
        <f t="shared" si="79"/>
        <v>0</v>
      </c>
    </row>
    <row r="1282" spans="1:13" x14ac:dyDescent="0.25">
      <c r="A1282" s="54">
        <v>45446</v>
      </c>
      <c r="B1282" s="24">
        <f t="shared" si="76"/>
        <v>6</v>
      </c>
      <c r="C1282" s="24">
        <f t="shared" si="77"/>
        <v>2024</v>
      </c>
      <c r="D1282" s="104" t="s">
        <v>352</v>
      </c>
      <c r="E1282" s="104" t="s">
        <v>343</v>
      </c>
      <c r="J1282" s="61">
        <v>51000</v>
      </c>
      <c r="L1282" s="49">
        <f t="shared" si="78"/>
        <v>81000</v>
      </c>
      <c r="M1282" s="50">
        <f t="shared" si="79"/>
        <v>0</v>
      </c>
    </row>
    <row r="1283" spans="1:13" x14ac:dyDescent="0.25">
      <c r="A1283" s="54">
        <v>45446</v>
      </c>
      <c r="B1283" s="24">
        <f t="shared" ref="B1283:B1346" si="80">MONTH(A1283)</f>
        <v>6</v>
      </c>
      <c r="C1283" s="24">
        <f t="shared" ref="C1283:C1346" si="81">YEAR(A1283)</f>
        <v>2024</v>
      </c>
      <c r="D1283" s="104" t="s">
        <v>109</v>
      </c>
      <c r="E1283" s="104" t="s">
        <v>343</v>
      </c>
      <c r="K1283" s="61">
        <v>1500</v>
      </c>
      <c r="L1283" s="49">
        <f t="shared" si="78"/>
        <v>79500</v>
      </c>
      <c r="M1283" s="50">
        <f t="shared" si="79"/>
        <v>0</v>
      </c>
    </row>
    <row r="1284" spans="1:13" x14ac:dyDescent="0.25">
      <c r="A1284" s="54">
        <v>45446</v>
      </c>
      <c r="B1284" s="24">
        <f t="shared" si="80"/>
        <v>6</v>
      </c>
      <c r="C1284" s="24">
        <f t="shared" si="81"/>
        <v>2024</v>
      </c>
      <c r="D1284" s="104" t="s">
        <v>109</v>
      </c>
      <c r="E1284" s="104" t="s">
        <v>343</v>
      </c>
      <c r="F1284" s="104" t="s">
        <v>693</v>
      </c>
      <c r="K1284" s="61">
        <v>3000</v>
      </c>
      <c r="L1284" s="49">
        <f t="shared" ref="L1284:L1347" si="82">IF((L1283+M1283+J1284-K1284)&gt;0,(L1283+M1283+J1284-K1284),0)</f>
        <v>76500</v>
      </c>
      <c r="M1284" s="50">
        <f t="shared" ref="M1284:M1347" si="83">IF((L1283+M1283+J1284-K1284)&lt;0,(L1283+M1283+J1284-K1284),0)</f>
        <v>0</v>
      </c>
    </row>
    <row r="1285" spans="1:13" x14ac:dyDescent="0.25">
      <c r="A1285" s="66">
        <v>45446</v>
      </c>
      <c r="B1285" s="24">
        <f t="shared" si="80"/>
        <v>6</v>
      </c>
      <c r="C1285" s="24">
        <f t="shared" si="81"/>
        <v>2024</v>
      </c>
      <c r="D1285" s="109" t="s">
        <v>384</v>
      </c>
      <c r="E1285" s="109" t="s">
        <v>343</v>
      </c>
      <c r="F1285" s="109"/>
      <c r="G1285" s="109"/>
      <c r="H1285" s="14"/>
      <c r="I1285" s="14"/>
      <c r="J1285" s="118">
        <v>150000</v>
      </c>
      <c r="K1285" s="118"/>
      <c r="L1285" s="49">
        <f t="shared" si="82"/>
        <v>226500</v>
      </c>
      <c r="M1285" s="50">
        <f t="shared" si="83"/>
        <v>0</v>
      </c>
    </row>
    <row r="1286" spans="1:13" x14ac:dyDescent="0.25">
      <c r="A1286" s="54">
        <v>45446</v>
      </c>
      <c r="B1286" s="24">
        <f t="shared" si="80"/>
        <v>6</v>
      </c>
      <c r="C1286" s="24">
        <f t="shared" si="81"/>
        <v>2024</v>
      </c>
      <c r="D1286" s="104" t="s">
        <v>501</v>
      </c>
      <c r="E1286" s="104" t="s">
        <v>343</v>
      </c>
      <c r="F1286" s="104" t="s">
        <v>655</v>
      </c>
      <c r="K1286" s="61">
        <v>150000</v>
      </c>
      <c r="L1286" s="49">
        <f t="shared" si="82"/>
        <v>76500</v>
      </c>
      <c r="M1286" s="50">
        <f t="shared" si="83"/>
        <v>0</v>
      </c>
    </row>
    <row r="1287" spans="1:13" x14ac:dyDescent="0.25">
      <c r="A1287" s="80">
        <v>45446</v>
      </c>
      <c r="B1287" s="24">
        <f t="shared" si="80"/>
        <v>6</v>
      </c>
      <c r="C1287" s="24">
        <f t="shared" si="81"/>
        <v>2024</v>
      </c>
      <c r="D1287" s="107" t="s">
        <v>122</v>
      </c>
      <c r="E1287" s="107" t="s">
        <v>343</v>
      </c>
      <c r="F1287" s="107"/>
      <c r="G1287" s="107"/>
      <c r="H1287" s="81"/>
      <c r="I1287" s="81"/>
      <c r="J1287" s="52"/>
      <c r="K1287" s="52">
        <v>46500</v>
      </c>
      <c r="L1287" s="49">
        <f t="shared" si="82"/>
        <v>30000</v>
      </c>
      <c r="M1287" s="50">
        <f t="shared" si="83"/>
        <v>0</v>
      </c>
    </row>
    <row r="1288" spans="1:13" x14ac:dyDescent="0.25">
      <c r="A1288" s="54">
        <v>45447</v>
      </c>
      <c r="B1288" s="24">
        <f t="shared" si="80"/>
        <v>6</v>
      </c>
      <c r="C1288" s="24">
        <f t="shared" si="81"/>
        <v>2024</v>
      </c>
      <c r="D1288" s="104" t="s">
        <v>384</v>
      </c>
      <c r="E1288" s="104" t="s">
        <v>343</v>
      </c>
      <c r="J1288" s="61">
        <v>29500</v>
      </c>
      <c r="L1288" s="49">
        <f t="shared" si="82"/>
        <v>59500</v>
      </c>
      <c r="M1288" s="50">
        <f t="shared" si="83"/>
        <v>0</v>
      </c>
    </row>
    <row r="1289" spans="1:13" x14ac:dyDescent="0.25">
      <c r="A1289" s="54">
        <v>45447</v>
      </c>
      <c r="B1289" s="24">
        <f t="shared" si="80"/>
        <v>6</v>
      </c>
      <c r="C1289" s="24">
        <f t="shared" si="81"/>
        <v>2024</v>
      </c>
      <c r="D1289" s="104" t="s">
        <v>502</v>
      </c>
      <c r="E1289" s="104" t="s">
        <v>343</v>
      </c>
      <c r="F1289" s="104" t="s">
        <v>931</v>
      </c>
      <c r="K1289" s="61">
        <v>29500</v>
      </c>
      <c r="L1289" s="49">
        <f t="shared" si="82"/>
        <v>30000</v>
      </c>
      <c r="M1289" s="50">
        <f t="shared" si="83"/>
        <v>0</v>
      </c>
    </row>
    <row r="1290" spans="1:13" x14ac:dyDescent="0.25">
      <c r="A1290" s="54">
        <v>45447</v>
      </c>
      <c r="B1290" s="24">
        <f t="shared" si="80"/>
        <v>6</v>
      </c>
      <c r="C1290" s="24">
        <f t="shared" si="81"/>
        <v>2024</v>
      </c>
      <c r="D1290" s="104" t="s">
        <v>384</v>
      </c>
      <c r="E1290" s="104" t="s">
        <v>343</v>
      </c>
      <c r="J1290" s="61">
        <v>31500</v>
      </c>
      <c r="L1290" s="49">
        <f t="shared" si="82"/>
        <v>61500</v>
      </c>
      <c r="M1290" s="50">
        <f t="shared" si="83"/>
        <v>0</v>
      </c>
    </row>
    <row r="1291" spans="1:13" x14ac:dyDescent="0.25">
      <c r="A1291" s="54">
        <v>45447</v>
      </c>
      <c r="B1291" s="24">
        <f t="shared" si="80"/>
        <v>6</v>
      </c>
      <c r="C1291" s="24">
        <f t="shared" si="81"/>
        <v>2024</v>
      </c>
      <c r="D1291" s="104" t="s">
        <v>124</v>
      </c>
      <c r="E1291" s="104" t="s">
        <v>343</v>
      </c>
      <c r="F1291" s="104" t="s">
        <v>717</v>
      </c>
      <c r="K1291" s="61">
        <v>31500</v>
      </c>
      <c r="L1291" s="49">
        <f t="shared" si="82"/>
        <v>30000</v>
      </c>
      <c r="M1291" s="50">
        <f t="shared" si="83"/>
        <v>0</v>
      </c>
    </row>
    <row r="1292" spans="1:13" x14ac:dyDescent="0.25">
      <c r="A1292" s="54">
        <v>45447</v>
      </c>
      <c r="B1292" s="24">
        <f t="shared" si="80"/>
        <v>6</v>
      </c>
      <c r="C1292" s="24">
        <f t="shared" si="81"/>
        <v>2024</v>
      </c>
      <c r="D1292" s="104" t="s">
        <v>352</v>
      </c>
      <c r="E1292" s="104" t="s">
        <v>343</v>
      </c>
      <c r="F1292" s="104" t="s">
        <v>932</v>
      </c>
      <c r="J1292" s="61">
        <v>105000</v>
      </c>
      <c r="L1292" s="49">
        <f t="shared" si="82"/>
        <v>135000</v>
      </c>
      <c r="M1292" s="50">
        <f t="shared" si="83"/>
        <v>0</v>
      </c>
    </row>
    <row r="1293" spans="1:13" x14ac:dyDescent="0.25">
      <c r="A1293" s="54">
        <v>45447</v>
      </c>
      <c r="B1293" s="24">
        <f t="shared" si="80"/>
        <v>6</v>
      </c>
      <c r="C1293" s="24">
        <f t="shared" si="81"/>
        <v>2024</v>
      </c>
      <c r="D1293" s="104" t="s">
        <v>135</v>
      </c>
      <c r="E1293" s="104" t="s">
        <v>343</v>
      </c>
      <c r="K1293" s="61">
        <v>300</v>
      </c>
      <c r="L1293" s="49">
        <f t="shared" si="82"/>
        <v>134700</v>
      </c>
      <c r="M1293" s="50">
        <f t="shared" si="83"/>
        <v>0</v>
      </c>
    </row>
    <row r="1294" spans="1:13" x14ac:dyDescent="0.25">
      <c r="A1294" s="66">
        <v>45447</v>
      </c>
      <c r="B1294" s="24">
        <f t="shared" si="80"/>
        <v>6</v>
      </c>
      <c r="C1294" s="24">
        <f t="shared" si="81"/>
        <v>2024</v>
      </c>
      <c r="D1294" s="109" t="s">
        <v>352</v>
      </c>
      <c r="E1294" s="109" t="s">
        <v>343</v>
      </c>
      <c r="F1294" s="109" t="s">
        <v>933</v>
      </c>
      <c r="G1294" s="109"/>
      <c r="H1294" s="14"/>
      <c r="I1294" s="14"/>
      <c r="J1294" s="118">
        <v>243000</v>
      </c>
      <c r="K1294" s="118"/>
      <c r="L1294" s="49">
        <f t="shared" si="82"/>
        <v>377700</v>
      </c>
      <c r="M1294" s="50">
        <f t="shared" si="83"/>
        <v>0</v>
      </c>
    </row>
    <row r="1295" spans="1:13" x14ac:dyDescent="0.25">
      <c r="A1295" s="66">
        <v>45447</v>
      </c>
      <c r="B1295" s="24">
        <f t="shared" si="80"/>
        <v>6</v>
      </c>
      <c r="C1295" s="24">
        <f t="shared" si="81"/>
        <v>2024</v>
      </c>
      <c r="D1295" s="109" t="s">
        <v>92</v>
      </c>
      <c r="E1295" s="109" t="s">
        <v>92</v>
      </c>
      <c r="F1295" s="109" t="s">
        <v>934</v>
      </c>
      <c r="G1295" s="109"/>
      <c r="H1295" s="14"/>
      <c r="I1295" s="14"/>
      <c r="J1295" s="118"/>
      <c r="K1295" s="118">
        <v>90000</v>
      </c>
      <c r="L1295" s="49">
        <f t="shared" si="82"/>
        <v>287700</v>
      </c>
      <c r="M1295" s="50">
        <f t="shared" si="83"/>
        <v>0</v>
      </c>
    </row>
    <row r="1296" spans="1:13" x14ac:dyDescent="0.25">
      <c r="A1296" s="80">
        <v>45447</v>
      </c>
      <c r="B1296" s="24">
        <f t="shared" si="80"/>
        <v>6</v>
      </c>
      <c r="C1296" s="24">
        <f t="shared" si="81"/>
        <v>2024</v>
      </c>
      <c r="D1296" s="107" t="s">
        <v>361</v>
      </c>
      <c r="E1296" s="107" t="s">
        <v>343</v>
      </c>
      <c r="F1296" s="107"/>
      <c r="G1296" s="107"/>
      <c r="H1296" s="81"/>
      <c r="I1296" s="81"/>
      <c r="J1296" s="52"/>
      <c r="K1296" s="52">
        <v>257700</v>
      </c>
      <c r="L1296" s="49">
        <f t="shared" si="82"/>
        <v>30000</v>
      </c>
      <c r="M1296" s="50">
        <f t="shared" si="83"/>
        <v>0</v>
      </c>
    </row>
    <row r="1297" spans="1:13" x14ac:dyDescent="0.25">
      <c r="A1297" s="54">
        <v>45448</v>
      </c>
      <c r="B1297" s="24">
        <f t="shared" si="80"/>
        <v>6</v>
      </c>
      <c r="C1297" s="24">
        <f t="shared" si="81"/>
        <v>2024</v>
      </c>
      <c r="D1297" s="104" t="s">
        <v>352</v>
      </c>
      <c r="E1297" s="104" t="s">
        <v>343</v>
      </c>
      <c r="F1297" s="104" t="s">
        <v>937</v>
      </c>
      <c r="J1297" s="61">
        <v>185000</v>
      </c>
      <c r="L1297" s="49">
        <f t="shared" si="82"/>
        <v>215000</v>
      </c>
      <c r="M1297" s="50">
        <f t="shared" si="83"/>
        <v>0</v>
      </c>
    </row>
    <row r="1298" spans="1:13" x14ac:dyDescent="0.25">
      <c r="A1298" s="54">
        <v>45448</v>
      </c>
      <c r="B1298" s="24">
        <f t="shared" si="80"/>
        <v>6</v>
      </c>
      <c r="C1298" s="24">
        <f t="shared" si="81"/>
        <v>2024</v>
      </c>
      <c r="D1298" s="104" t="s">
        <v>109</v>
      </c>
      <c r="E1298" s="104" t="s">
        <v>343</v>
      </c>
      <c r="F1298" s="104" t="s">
        <v>145</v>
      </c>
      <c r="K1298" s="61">
        <v>96000</v>
      </c>
      <c r="L1298" s="49">
        <f t="shared" si="82"/>
        <v>119000</v>
      </c>
      <c r="M1298" s="50">
        <f t="shared" si="83"/>
        <v>0</v>
      </c>
    </row>
    <row r="1299" spans="1:13" x14ac:dyDescent="0.25">
      <c r="A1299" s="54">
        <v>45448</v>
      </c>
      <c r="B1299" s="24">
        <f t="shared" si="80"/>
        <v>6</v>
      </c>
      <c r="C1299" s="24">
        <f t="shared" si="81"/>
        <v>2024</v>
      </c>
      <c r="D1299" s="104" t="s">
        <v>352</v>
      </c>
      <c r="E1299" s="104" t="s">
        <v>343</v>
      </c>
      <c r="F1299" s="104" t="s">
        <v>938</v>
      </c>
      <c r="J1299" s="61">
        <v>200000</v>
      </c>
      <c r="L1299" s="49">
        <f t="shared" si="82"/>
        <v>319000</v>
      </c>
      <c r="M1299" s="50">
        <f t="shared" si="83"/>
        <v>0</v>
      </c>
    </row>
    <row r="1300" spans="1:13" x14ac:dyDescent="0.25">
      <c r="A1300" s="54">
        <v>45448</v>
      </c>
      <c r="B1300" s="24">
        <f t="shared" si="80"/>
        <v>6</v>
      </c>
      <c r="C1300" s="24">
        <f t="shared" si="81"/>
        <v>2024</v>
      </c>
      <c r="D1300" s="104" t="s">
        <v>352</v>
      </c>
      <c r="E1300" s="104" t="s">
        <v>343</v>
      </c>
      <c r="F1300" s="104" t="s">
        <v>940</v>
      </c>
      <c r="J1300" s="61">
        <v>42000</v>
      </c>
      <c r="L1300" s="49">
        <f t="shared" si="82"/>
        <v>361000</v>
      </c>
      <c r="M1300" s="50">
        <f t="shared" si="83"/>
        <v>0</v>
      </c>
    </row>
    <row r="1301" spans="1:13" x14ac:dyDescent="0.25">
      <c r="A1301" s="54">
        <v>45448</v>
      </c>
      <c r="B1301" s="24">
        <f t="shared" si="80"/>
        <v>6</v>
      </c>
      <c r="C1301" s="24">
        <f t="shared" si="81"/>
        <v>2024</v>
      </c>
      <c r="D1301" s="104" t="s">
        <v>352</v>
      </c>
      <c r="E1301" s="104" t="s">
        <v>343</v>
      </c>
      <c r="F1301" s="104" t="s">
        <v>754</v>
      </c>
      <c r="J1301" s="61">
        <v>225300</v>
      </c>
      <c r="L1301" s="49">
        <f t="shared" si="82"/>
        <v>586300</v>
      </c>
      <c r="M1301" s="50">
        <f t="shared" si="83"/>
        <v>0</v>
      </c>
    </row>
    <row r="1302" spans="1:13" x14ac:dyDescent="0.25">
      <c r="A1302" s="54">
        <v>45448</v>
      </c>
      <c r="B1302" s="24">
        <f t="shared" si="80"/>
        <v>6</v>
      </c>
      <c r="C1302" s="24">
        <f t="shared" si="81"/>
        <v>2024</v>
      </c>
      <c r="D1302" s="104" t="s">
        <v>352</v>
      </c>
      <c r="E1302" s="104" t="s">
        <v>343</v>
      </c>
      <c r="F1302" s="104" t="s">
        <v>941</v>
      </c>
      <c r="J1302" s="61">
        <v>20000</v>
      </c>
      <c r="L1302" s="49">
        <f t="shared" si="82"/>
        <v>606300</v>
      </c>
      <c r="M1302" s="50">
        <f t="shared" si="83"/>
        <v>0</v>
      </c>
    </row>
    <row r="1303" spans="1:13" x14ac:dyDescent="0.25">
      <c r="A1303" s="54">
        <v>45448</v>
      </c>
      <c r="B1303" s="24">
        <f t="shared" si="80"/>
        <v>6</v>
      </c>
      <c r="C1303" s="24">
        <f t="shared" si="81"/>
        <v>2024</v>
      </c>
      <c r="D1303" s="104" t="s">
        <v>109</v>
      </c>
      <c r="E1303" s="104" t="s">
        <v>343</v>
      </c>
      <c r="K1303" s="61">
        <v>7000</v>
      </c>
      <c r="L1303" s="49">
        <f t="shared" si="82"/>
        <v>599300</v>
      </c>
      <c r="M1303" s="50">
        <f t="shared" si="83"/>
        <v>0</v>
      </c>
    </row>
    <row r="1304" spans="1:13" x14ac:dyDescent="0.25">
      <c r="A1304" s="80">
        <v>45448</v>
      </c>
      <c r="B1304" s="24">
        <f t="shared" si="80"/>
        <v>6</v>
      </c>
      <c r="C1304" s="24">
        <f t="shared" si="81"/>
        <v>2024</v>
      </c>
      <c r="D1304" s="107" t="s">
        <v>361</v>
      </c>
      <c r="E1304" s="107" t="s">
        <v>343</v>
      </c>
      <c r="F1304" s="107"/>
      <c r="G1304" s="107"/>
      <c r="H1304" s="81"/>
      <c r="I1304" s="81"/>
      <c r="J1304" s="52"/>
      <c r="K1304" s="52">
        <v>569300</v>
      </c>
      <c r="L1304" s="49">
        <f t="shared" si="82"/>
        <v>30000</v>
      </c>
      <c r="M1304" s="50">
        <f t="shared" si="83"/>
        <v>0</v>
      </c>
    </row>
    <row r="1305" spans="1:13" x14ac:dyDescent="0.25">
      <c r="A1305" s="54">
        <v>45449</v>
      </c>
      <c r="B1305" s="24">
        <f t="shared" si="80"/>
        <v>6</v>
      </c>
      <c r="C1305" s="24">
        <f t="shared" si="81"/>
        <v>2024</v>
      </c>
      <c r="D1305" s="104" t="s">
        <v>384</v>
      </c>
      <c r="E1305" s="104" t="s">
        <v>343</v>
      </c>
      <c r="J1305" s="61">
        <v>119000</v>
      </c>
      <c r="L1305" s="49">
        <f t="shared" si="82"/>
        <v>149000</v>
      </c>
      <c r="M1305" s="50">
        <f t="shared" si="83"/>
        <v>0</v>
      </c>
    </row>
    <row r="1306" spans="1:13" x14ac:dyDescent="0.25">
      <c r="A1306" s="54">
        <v>45449</v>
      </c>
      <c r="B1306" s="24">
        <f t="shared" si="80"/>
        <v>6</v>
      </c>
      <c r="C1306" s="24">
        <f t="shared" si="81"/>
        <v>2024</v>
      </c>
      <c r="D1306" s="104" t="s">
        <v>148</v>
      </c>
      <c r="E1306" s="104" t="s">
        <v>343</v>
      </c>
      <c r="K1306" s="61">
        <v>119000</v>
      </c>
      <c r="L1306" s="49">
        <f t="shared" si="82"/>
        <v>30000</v>
      </c>
      <c r="M1306" s="50">
        <f t="shared" si="83"/>
        <v>0</v>
      </c>
    </row>
    <row r="1307" spans="1:13" x14ac:dyDescent="0.25">
      <c r="A1307" s="54">
        <v>45449</v>
      </c>
      <c r="B1307" s="24">
        <f t="shared" si="80"/>
        <v>6</v>
      </c>
      <c r="C1307" s="24">
        <f t="shared" si="81"/>
        <v>2024</v>
      </c>
      <c r="D1307" s="104" t="s">
        <v>352</v>
      </c>
      <c r="E1307" s="104" t="s">
        <v>343</v>
      </c>
      <c r="F1307" s="104" t="s">
        <v>944</v>
      </c>
      <c r="J1307" s="61">
        <v>20000</v>
      </c>
      <c r="L1307" s="49">
        <f t="shared" si="82"/>
        <v>50000</v>
      </c>
      <c r="M1307" s="50">
        <f t="shared" si="83"/>
        <v>0</v>
      </c>
    </row>
    <row r="1308" spans="1:13" x14ac:dyDescent="0.25">
      <c r="A1308" s="54">
        <v>45449</v>
      </c>
      <c r="B1308" s="24">
        <f t="shared" si="80"/>
        <v>6</v>
      </c>
      <c r="C1308" s="24">
        <f t="shared" si="81"/>
        <v>2024</v>
      </c>
      <c r="D1308" s="104" t="s">
        <v>109</v>
      </c>
      <c r="E1308" s="104" t="s">
        <v>343</v>
      </c>
      <c r="F1308" s="104" t="s">
        <v>354</v>
      </c>
      <c r="K1308" s="61">
        <v>2000</v>
      </c>
      <c r="L1308" s="49">
        <f t="shared" si="82"/>
        <v>48000</v>
      </c>
      <c r="M1308" s="50">
        <f t="shared" si="83"/>
        <v>0</v>
      </c>
    </row>
    <row r="1309" spans="1:13" x14ac:dyDescent="0.25">
      <c r="A1309" s="80">
        <v>45449</v>
      </c>
      <c r="B1309" s="24">
        <f t="shared" si="80"/>
        <v>6</v>
      </c>
      <c r="C1309" s="24">
        <f t="shared" si="81"/>
        <v>2024</v>
      </c>
      <c r="D1309" s="107" t="s">
        <v>361</v>
      </c>
      <c r="E1309" s="107" t="s">
        <v>343</v>
      </c>
      <c r="F1309" s="107"/>
      <c r="G1309" s="107"/>
      <c r="H1309" s="81"/>
      <c r="I1309" s="81"/>
      <c r="J1309" s="52"/>
      <c r="K1309" s="52">
        <v>18000</v>
      </c>
      <c r="L1309" s="49">
        <f t="shared" si="82"/>
        <v>30000</v>
      </c>
      <c r="M1309" s="50">
        <f t="shared" si="83"/>
        <v>0</v>
      </c>
    </row>
    <row r="1310" spans="1:13" x14ac:dyDescent="0.25">
      <c r="A1310" s="54">
        <v>45450</v>
      </c>
      <c r="B1310" s="24">
        <f t="shared" si="80"/>
        <v>6</v>
      </c>
      <c r="C1310" s="24">
        <f t="shared" si="81"/>
        <v>2024</v>
      </c>
      <c r="D1310" s="104" t="s">
        <v>352</v>
      </c>
      <c r="E1310" s="104" t="s">
        <v>343</v>
      </c>
      <c r="F1310" s="104" t="s">
        <v>945</v>
      </c>
      <c r="J1310" s="61">
        <v>32800</v>
      </c>
      <c r="L1310" s="49">
        <f t="shared" si="82"/>
        <v>62800</v>
      </c>
      <c r="M1310" s="50">
        <f t="shared" si="83"/>
        <v>0</v>
      </c>
    </row>
    <row r="1311" spans="1:13" x14ac:dyDescent="0.25">
      <c r="A1311" s="54">
        <v>45450</v>
      </c>
      <c r="B1311" s="24">
        <f t="shared" si="80"/>
        <v>6</v>
      </c>
      <c r="C1311" s="24">
        <f t="shared" si="81"/>
        <v>2024</v>
      </c>
      <c r="D1311" s="104" t="s">
        <v>352</v>
      </c>
      <c r="E1311" s="104" t="s">
        <v>343</v>
      </c>
      <c r="F1311" s="104" t="s">
        <v>947</v>
      </c>
      <c r="J1311" s="61">
        <v>100000</v>
      </c>
      <c r="L1311" s="49">
        <f t="shared" si="82"/>
        <v>162800</v>
      </c>
      <c r="M1311" s="50">
        <f t="shared" si="83"/>
        <v>0</v>
      </c>
    </row>
    <row r="1312" spans="1:13" x14ac:dyDescent="0.25">
      <c r="A1312" s="54">
        <v>45450</v>
      </c>
      <c r="B1312" s="24">
        <f t="shared" si="80"/>
        <v>6</v>
      </c>
      <c r="C1312" s="24">
        <f t="shared" si="81"/>
        <v>2024</v>
      </c>
      <c r="D1312" s="104" t="s">
        <v>352</v>
      </c>
      <c r="E1312" s="104" t="s">
        <v>343</v>
      </c>
      <c r="F1312" s="104" t="s">
        <v>948</v>
      </c>
      <c r="J1312" s="61">
        <v>275750</v>
      </c>
      <c r="L1312" s="49">
        <f t="shared" si="82"/>
        <v>438550</v>
      </c>
      <c r="M1312" s="50">
        <f t="shared" si="83"/>
        <v>0</v>
      </c>
    </row>
    <row r="1313" spans="1:15" x14ac:dyDescent="0.25">
      <c r="A1313" s="54">
        <v>45450</v>
      </c>
      <c r="B1313" s="24">
        <f t="shared" si="80"/>
        <v>6</v>
      </c>
      <c r="C1313" s="24">
        <f t="shared" si="81"/>
        <v>2024</v>
      </c>
      <c r="D1313" s="104" t="s">
        <v>352</v>
      </c>
      <c r="E1313" s="104" t="s">
        <v>343</v>
      </c>
      <c r="F1313" s="104" t="s">
        <v>471</v>
      </c>
      <c r="J1313" s="61">
        <v>136000</v>
      </c>
      <c r="L1313" s="49">
        <f t="shared" si="82"/>
        <v>574550</v>
      </c>
      <c r="M1313" s="50">
        <f t="shared" si="83"/>
        <v>0</v>
      </c>
    </row>
    <row r="1314" spans="1:15" x14ac:dyDescent="0.25">
      <c r="A1314" s="80">
        <v>45450</v>
      </c>
      <c r="B1314" s="24">
        <f t="shared" si="80"/>
        <v>6</v>
      </c>
      <c r="C1314" s="24">
        <f t="shared" si="81"/>
        <v>2024</v>
      </c>
      <c r="D1314" s="107" t="s">
        <v>361</v>
      </c>
      <c r="E1314" s="107" t="s">
        <v>343</v>
      </c>
      <c r="F1314" s="107"/>
      <c r="G1314" s="107"/>
      <c r="H1314" s="81"/>
      <c r="I1314" s="81"/>
      <c r="J1314" s="52"/>
      <c r="K1314" s="52">
        <v>544550</v>
      </c>
      <c r="L1314" s="49">
        <f t="shared" si="82"/>
        <v>30000</v>
      </c>
      <c r="M1314" s="50">
        <f t="shared" si="83"/>
        <v>0</v>
      </c>
    </row>
    <row r="1315" spans="1:15" x14ac:dyDescent="0.25">
      <c r="A1315" s="54">
        <v>45453</v>
      </c>
      <c r="B1315" s="24">
        <f t="shared" si="80"/>
        <v>6</v>
      </c>
      <c r="C1315" s="24">
        <f t="shared" si="81"/>
        <v>2024</v>
      </c>
      <c r="D1315" s="104" t="s">
        <v>352</v>
      </c>
      <c r="E1315" s="104" t="s">
        <v>343</v>
      </c>
      <c r="F1315" s="104" t="s">
        <v>947</v>
      </c>
      <c r="J1315" s="61">
        <v>134900</v>
      </c>
      <c r="L1315" s="49">
        <f t="shared" si="82"/>
        <v>164900</v>
      </c>
      <c r="M1315" s="50">
        <f t="shared" si="83"/>
        <v>0</v>
      </c>
    </row>
    <row r="1316" spans="1:15" x14ac:dyDescent="0.25">
      <c r="A1316" s="54">
        <v>45453</v>
      </c>
      <c r="B1316" s="24">
        <f t="shared" si="80"/>
        <v>6</v>
      </c>
      <c r="C1316" s="24">
        <f t="shared" si="81"/>
        <v>2024</v>
      </c>
      <c r="D1316" s="104" t="s">
        <v>352</v>
      </c>
      <c r="E1316" s="104" t="s">
        <v>343</v>
      </c>
      <c r="F1316" s="104" t="s">
        <v>952</v>
      </c>
      <c r="J1316" s="61">
        <v>128000</v>
      </c>
      <c r="L1316" s="49">
        <f t="shared" si="82"/>
        <v>292900</v>
      </c>
      <c r="M1316" s="50">
        <f t="shared" si="83"/>
        <v>0</v>
      </c>
    </row>
    <row r="1317" spans="1:15" x14ac:dyDescent="0.25">
      <c r="A1317" s="54">
        <v>45453</v>
      </c>
      <c r="B1317" s="25">
        <f t="shared" si="80"/>
        <v>6</v>
      </c>
      <c r="C1317" s="25">
        <f t="shared" si="81"/>
        <v>2024</v>
      </c>
      <c r="D1317" s="104" t="s">
        <v>124</v>
      </c>
      <c r="E1317" s="104" t="s">
        <v>343</v>
      </c>
      <c r="F1317" s="104" t="s">
        <v>829</v>
      </c>
      <c r="K1317" s="61">
        <v>140000</v>
      </c>
      <c r="L1317" s="49">
        <f t="shared" si="82"/>
        <v>152900</v>
      </c>
      <c r="M1317" s="50">
        <f t="shared" si="83"/>
        <v>0</v>
      </c>
      <c r="O1317" s="27" t="s">
        <v>957</v>
      </c>
    </row>
    <row r="1318" spans="1:15" x14ac:dyDescent="0.25">
      <c r="A1318" s="80">
        <v>45453</v>
      </c>
      <c r="B1318" s="155">
        <f t="shared" si="80"/>
        <v>6</v>
      </c>
      <c r="C1318" s="155">
        <f t="shared" si="81"/>
        <v>2024</v>
      </c>
      <c r="D1318" s="107" t="s">
        <v>361</v>
      </c>
      <c r="E1318" s="107" t="s">
        <v>343</v>
      </c>
      <c r="F1318" s="107"/>
      <c r="G1318" s="107"/>
      <c r="H1318" s="81"/>
      <c r="I1318" s="81"/>
      <c r="J1318" s="52"/>
      <c r="K1318" s="52">
        <v>122900</v>
      </c>
      <c r="L1318" s="49">
        <f t="shared" si="82"/>
        <v>30000</v>
      </c>
      <c r="M1318" s="50">
        <f t="shared" si="83"/>
        <v>0</v>
      </c>
    </row>
    <row r="1319" spans="1:15" x14ac:dyDescent="0.25">
      <c r="A1319" s="54">
        <v>45456</v>
      </c>
      <c r="B1319" s="25">
        <f t="shared" si="80"/>
        <v>6</v>
      </c>
      <c r="C1319" s="25">
        <f t="shared" si="81"/>
        <v>2024</v>
      </c>
      <c r="D1319" s="104" t="s">
        <v>384</v>
      </c>
      <c r="E1319" s="104" t="s">
        <v>343</v>
      </c>
      <c r="J1319" s="61">
        <v>46000</v>
      </c>
      <c r="L1319" s="49">
        <f t="shared" si="82"/>
        <v>76000</v>
      </c>
      <c r="M1319" s="50">
        <f t="shared" si="83"/>
        <v>0</v>
      </c>
    </row>
    <row r="1320" spans="1:15" x14ac:dyDescent="0.25">
      <c r="A1320" s="54">
        <v>45456</v>
      </c>
      <c r="B1320" s="25">
        <f t="shared" si="80"/>
        <v>6</v>
      </c>
      <c r="C1320" s="25">
        <f t="shared" si="81"/>
        <v>2024</v>
      </c>
      <c r="D1320" s="104" t="s">
        <v>124</v>
      </c>
      <c r="E1320" s="104" t="s">
        <v>343</v>
      </c>
      <c r="F1320" s="104" t="s">
        <v>184</v>
      </c>
      <c r="K1320" s="61">
        <v>46000</v>
      </c>
      <c r="L1320" s="49">
        <f t="shared" si="82"/>
        <v>30000</v>
      </c>
      <c r="M1320" s="50">
        <f t="shared" si="83"/>
        <v>0</v>
      </c>
    </row>
    <row r="1321" spans="1:15" x14ac:dyDescent="0.25">
      <c r="A1321" s="54">
        <v>45457</v>
      </c>
      <c r="B1321" s="25">
        <f t="shared" si="80"/>
        <v>6</v>
      </c>
      <c r="C1321" s="25">
        <f t="shared" si="81"/>
        <v>2024</v>
      </c>
      <c r="D1321" s="104" t="s">
        <v>352</v>
      </c>
      <c r="E1321" s="104" t="s">
        <v>343</v>
      </c>
      <c r="F1321" s="104" t="s">
        <v>956</v>
      </c>
      <c r="J1321" s="61">
        <v>22500</v>
      </c>
      <c r="L1321" s="49">
        <f t="shared" si="82"/>
        <v>52500</v>
      </c>
      <c r="M1321" s="50">
        <f t="shared" si="83"/>
        <v>0</v>
      </c>
    </row>
    <row r="1322" spans="1:15" x14ac:dyDescent="0.25">
      <c r="A1322" s="54">
        <v>45457</v>
      </c>
      <c r="B1322" s="25">
        <f t="shared" si="80"/>
        <v>6</v>
      </c>
      <c r="C1322" s="25">
        <f t="shared" si="81"/>
        <v>2024</v>
      </c>
      <c r="D1322" s="104" t="s">
        <v>92</v>
      </c>
      <c r="E1322" s="104" t="s">
        <v>92</v>
      </c>
      <c r="K1322" s="61">
        <v>15000</v>
      </c>
      <c r="L1322" s="49">
        <f t="shared" si="82"/>
        <v>37500</v>
      </c>
      <c r="M1322" s="50">
        <f t="shared" si="83"/>
        <v>0</v>
      </c>
    </row>
    <row r="1323" spans="1:15" x14ac:dyDescent="0.25">
      <c r="A1323" s="54">
        <v>45457</v>
      </c>
      <c r="B1323" s="25">
        <f t="shared" si="80"/>
        <v>6</v>
      </c>
      <c r="C1323" s="25">
        <f t="shared" si="81"/>
        <v>2024</v>
      </c>
      <c r="D1323" s="104" t="s">
        <v>360</v>
      </c>
      <c r="E1323" s="104" t="s">
        <v>343</v>
      </c>
      <c r="K1323" s="61">
        <v>9000</v>
      </c>
      <c r="L1323" s="49">
        <f t="shared" si="82"/>
        <v>28500</v>
      </c>
      <c r="M1323" s="50">
        <f t="shared" si="83"/>
        <v>0</v>
      </c>
    </row>
    <row r="1324" spans="1:15" x14ac:dyDescent="0.25">
      <c r="A1324" s="54">
        <v>45457</v>
      </c>
      <c r="B1324" s="25">
        <f t="shared" si="80"/>
        <v>6</v>
      </c>
      <c r="C1324" s="25">
        <f t="shared" si="81"/>
        <v>2024</v>
      </c>
      <c r="D1324" s="104" t="s">
        <v>352</v>
      </c>
      <c r="E1324" s="104" t="s">
        <v>343</v>
      </c>
      <c r="F1324" s="104" t="s">
        <v>456</v>
      </c>
      <c r="J1324" s="61">
        <v>10000</v>
      </c>
      <c r="L1324" s="49">
        <f t="shared" si="82"/>
        <v>38500</v>
      </c>
      <c r="M1324" s="50">
        <f t="shared" si="83"/>
        <v>0</v>
      </c>
    </row>
    <row r="1325" spans="1:15" x14ac:dyDescent="0.25">
      <c r="A1325" s="80">
        <v>45457</v>
      </c>
      <c r="B1325" s="155">
        <f t="shared" si="80"/>
        <v>6</v>
      </c>
      <c r="C1325" s="155">
        <f t="shared" si="81"/>
        <v>2024</v>
      </c>
      <c r="D1325" s="107" t="s">
        <v>361</v>
      </c>
      <c r="E1325" s="107" t="s">
        <v>343</v>
      </c>
      <c r="F1325" s="107"/>
      <c r="G1325" s="107"/>
      <c r="H1325" s="81"/>
      <c r="I1325" s="81"/>
      <c r="J1325" s="52"/>
      <c r="K1325" s="52">
        <v>8500</v>
      </c>
      <c r="L1325" s="49">
        <f t="shared" si="82"/>
        <v>30000</v>
      </c>
      <c r="M1325" s="50">
        <f t="shared" si="83"/>
        <v>0</v>
      </c>
    </row>
    <row r="1326" spans="1:15" x14ac:dyDescent="0.25">
      <c r="A1326" s="54">
        <v>45458</v>
      </c>
      <c r="B1326" s="25">
        <f t="shared" si="80"/>
        <v>6</v>
      </c>
      <c r="C1326" s="25">
        <f t="shared" si="81"/>
        <v>2024</v>
      </c>
      <c r="D1326" s="104" t="s">
        <v>384</v>
      </c>
      <c r="E1326" s="104" t="s">
        <v>343</v>
      </c>
      <c r="J1326" s="61">
        <v>150000</v>
      </c>
      <c r="L1326" s="49">
        <f t="shared" si="82"/>
        <v>180000</v>
      </c>
      <c r="M1326" s="50">
        <f t="shared" si="83"/>
        <v>0</v>
      </c>
    </row>
    <row r="1327" spans="1:15" x14ac:dyDescent="0.25">
      <c r="A1327" s="54">
        <v>45458</v>
      </c>
      <c r="B1327" s="25">
        <f t="shared" si="80"/>
        <v>6</v>
      </c>
      <c r="C1327" s="25">
        <f t="shared" si="81"/>
        <v>2024</v>
      </c>
      <c r="D1327" s="104" t="s">
        <v>501</v>
      </c>
      <c r="E1327" s="104" t="s">
        <v>343</v>
      </c>
      <c r="F1327" s="104" t="s">
        <v>655</v>
      </c>
      <c r="K1327" s="61">
        <v>150000</v>
      </c>
      <c r="L1327" s="49">
        <f t="shared" si="82"/>
        <v>30000</v>
      </c>
      <c r="M1327" s="50">
        <f t="shared" si="83"/>
        <v>0</v>
      </c>
    </row>
    <row r="1328" spans="1:15" x14ac:dyDescent="0.25">
      <c r="A1328" s="54">
        <v>45461</v>
      </c>
      <c r="B1328" s="25">
        <f t="shared" si="80"/>
        <v>6</v>
      </c>
      <c r="C1328" s="25">
        <f t="shared" si="81"/>
        <v>2024</v>
      </c>
      <c r="D1328" s="104" t="s">
        <v>352</v>
      </c>
      <c r="E1328" s="104" t="s">
        <v>343</v>
      </c>
      <c r="F1328" s="104" t="s">
        <v>958</v>
      </c>
      <c r="J1328" s="61">
        <v>81500</v>
      </c>
      <c r="L1328" s="49">
        <f t="shared" si="82"/>
        <v>111500</v>
      </c>
      <c r="M1328" s="50">
        <f t="shared" si="83"/>
        <v>0</v>
      </c>
    </row>
    <row r="1329" spans="1:13" x14ac:dyDescent="0.25">
      <c r="A1329" s="54">
        <v>45461</v>
      </c>
      <c r="B1329" s="25">
        <f t="shared" si="80"/>
        <v>6</v>
      </c>
      <c r="C1329" s="25">
        <f t="shared" si="81"/>
        <v>2024</v>
      </c>
      <c r="D1329" s="104" t="s">
        <v>352</v>
      </c>
      <c r="E1329" s="104" t="s">
        <v>343</v>
      </c>
      <c r="F1329" s="104" t="s">
        <v>959</v>
      </c>
      <c r="J1329" s="61">
        <v>201000</v>
      </c>
      <c r="L1329" s="49">
        <f t="shared" si="82"/>
        <v>312500</v>
      </c>
      <c r="M1329" s="50">
        <f t="shared" si="83"/>
        <v>0</v>
      </c>
    </row>
    <row r="1330" spans="1:13" x14ac:dyDescent="0.25">
      <c r="A1330" s="54">
        <v>45461</v>
      </c>
      <c r="B1330" s="25">
        <f t="shared" si="80"/>
        <v>6</v>
      </c>
      <c r="C1330" s="25">
        <f t="shared" si="81"/>
        <v>2024</v>
      </c>
      <c r="D1330" s="104" t="s">
        <v>109</v>
      </c>
      <c r="E1330" s="104" t="s">
        <v>343</v>
      </c>
      <c r="K1330" s="61">
        <v>3200</v>
      </c>
      <c r="L1330" s="49">
        <f t="shared" si="82"/>
        <v>309300</v>
      </c>
      <c r="M1330" s="50">
        <f t="shared" si="83"/>
        <v>0</v>
      </c>
    </row>
    <row r="1331" spans="1:13" x14ac:dyDescent="0.25">
      <c r="A1331" s="54">
        <v>45461</v>
      </c>
      <c r="B1331" s="25">
        <f t="shared" si="80"/>
        <v>6</v>
      </c>
      <c r="C1331" s="25">
        <f t="shared" si="81"/>
        <v>2024</v>
      </c>
      <c r="D1331" s="104" t="s">
        <v>352</v>
      </c>
      <c r="E1331" s="104" t="s">
        <v>343</v>
      </c>
      <c r="F1331" s="104" t="s">
        <v>960</v>
      </c>
      <c r="J1331" s="61">
        <v>250000</v>
      </c>
      <c r="L1331" s="49">
        <f t="shared" si="82"/>
        <v>559300</v>
      </c>
      <c r="M1331" s="50">
        <f t="shared" si="83"/>
        <v>0</v>
      </c>
    </row>
    <row r="1332" spans="1:13" x14ac:dyDescent="0.25">
      <c r="A1332" s="80">
        <v>45461</v>
      </c>
      <c r="B1332" s="155">
        <f t="shared" si="80"/>
        <v>6</v>
      </c>
      <c r="C1332" s="155">
        <f t="shared" si="81"/>
        <v>2024</v>
      </c>
      <c r="D1332" s="107" t="s">
        <v>122</v>
      </c>
      <c r="E1332" s="107" t="s">
        <v>343</v>
      </c>
      <c r="F1332" s="107"/>
      <c r="G1332" s="107"/>
      <c r="H1332" s="81"/>
      <c r="I1332" s="81"/>
      <c r="J1332" s="52"/>
      <c r="K1332" s="52">
        <v>529300</v>
      </c>
      <c r="L1332" s="49">
        <f t="shared" si="82"/>
        <v>30000</v>
      </c>
      <c r="M1332" s="50">
        <f t="shared" si="83"/>
        <v>0</v>
      </c>
    </row>
    <row r="1333" spans="1:13" x14ac:dyDescent="0.25">
      <c r="A1333" s="54">
        <v>45462</v>
      </c>
      <c r="B1333" s="25">
        <f t="shared" si="80"/>
        <v>6</v>
      </c>
      <c r="C1333" s="25">
        <f t="shared" si="81"/>
        <v>2024</v>
      </c>
      <c r="D1333" s="104" t="s">
        <v>352</v>
      </c>
      <c r="E1333" s="104" t="s">
        <v>343</v>
      </c>
      <c r="F1333" s="104" t="s">
        <v>356</v>
      </c>
      <c r="J1333" s="61">
        <v>52150</v>
      </c>
      <c r="L1333" s="49">
        <f t="shared" si="82"/>
        <v>82150</v>
      </c>
      <c r="M1333" s="50">
        <f t="shared" si="83"/>
        <v>0</v>
      </c>
    </row>
    <row r="1334" spans="1:13" x14ac:dyDescent="0.25">
      <c r="A1334" s="54">
        <v>45462</v>
      </c>
      <c r="B1334" s="25">
        <f t="shared" si="80"/>
        <v>6</v>
      </c>
      <c r="C1334" s="25">
        <f t="shared" si="81"/>
        <v>2024</v>
      </c>
      <c r="D1334" s="104" t="s">
        <v>352</v>
      </c>
      <c r="E1334" s="104" t="s">
        <v>343</v>
      </c>
      <c r="F1334" s="104" t="s">
        <v>893</v>
      </c>
      <c r="J1334" s="61">
        <v>26000</v>
      </c>
      <c r="L1334" s="49">
        <f t="shared" si="82"/>
        <v>108150</v>
      </c>
      <c r="M1334" s="50">
        <f t="shared" si="83"/>
        <v>0</v>
      </c>
    </row>
    <row r="1335" spans="1:13" x14ac:dyDescent="0.25">
      <c r="A1335" s="54">
        <v>45462</v>
      </c>
      <c r="B1335" s="25">
        <f t="shared" si="80"/>
        <v>6</v>
      </c>
      <c r="C1335" s="25">
        <f t="shared" si="81"/>
        <v>2024</v>
      </c>
      <c r="D1335" s="104" t="s">
        <v>112</v>
      </c>
      <c r="E1335" s="104" t="s">
        <v>343</v>
      </c>
      <c r="K1335" s="61">
        <v>14600</v>
      </c>
      <c r="L1335" s="49">
        <f t="shared" si="82"/>
        <v>93550</v>
      </c>
      <c r="M1335" s="50">
        <f t="shared" si="83"/>
        <v>0</v>
      </c>
    </row>
    <row r="1336" spans="1:13" x14ac:dyDescent="0.25">
      <c r="A1336" s="54">
        <v>45462</v>
      </c>
      <c r="B1336" s="25">
        <f t="shared" si="80"/>
        <v>6</v>
      </c>
      <c r="C1336" s="25">
        <f t="shared" si="81"/>
        <v>2024</v>
      </c>
      <c r="D1336" s="104" t="s">
        <v>109</v>
      </c>
      <c r="E1336" s="104" t="s">
        <v>343</v>
      </c>
      <c r="F1336" s="104" t="s">
        <v>204</v>
      </c>
      <c r="K1336" s="61">
        <v>7300</v>
      </c>
      <c r="L1336" s="49">
        <f t="shared" si="82"/>
        <v>86250</v>
      </c>
      <c r="M1336" s="50">
        <f t="shared" si="83"/>
        <v>0</v>
      </c>
    </row>
    <row r="1337" spans="1:13" x14ac:dyDescent="0.25">
      <c r="A1337" s="54">
        <v>45462</v>
      </c>
      <c r="B1337" s="25">
        <f t="shared" si="80"/>
        <v>6</v>
      </c>
      <c r="C1337" s="25">
        <f t="shared" si="81"/>
        <v>2024</v>
      </c>
      <c r="D1337" s="104" t="s">
        <v>109</v>
      </c>
      <c r="E1337" s="104" t="s">
        <v>343</v>
      </c>
      <c r="K1337" s="61">
        <v>1700</v>
      </c>
      <c r="L1337" s="49">
        <f t="shared" si="82"/>
        <v>84550</v>
      </c>
      <c r="M1337" s="50">
        <f t="shared" si="83"/>
        <v>0</v>
      </c>
    </row>
    <row r="1338" spans="1:13" x14ac:dyDescent="0.25">
      <c r="A1338" s="80">
        <v>45462</v>
      </c>
      <c r="B1338" s="155">
        <f t="shared" si="80"/>
        <v>6</v>
      </c>
      <c r="C1338" s="155">
        <f t="shared" si="81"/>
        <v>2024</v>
      </c>
      <c r="D1338" s="107" t="s">
        <v>122</v>
      </c>
      <c r="E1338" s="107" t="s">
        <v>343</v>
      </c>
      <c r="F1338" s="107"/>
      <c r="G1338" s="107"/>
      <c r="H1338" s="81"/>
      <c r="I1338" s="81"/>
      <c r="J1338" s="52"/>
      <c r="K1338" s="52">
        <v>54550</v>
      </c>
      <c r="L1338" s="49">
        <f t="shared" si="82"/>
        <v>30000</v>
      </c>
      <c r="M1338" s="50">
        <f t="shared" si="83"/>
        <v>0</v>
      </c>
    </row>
    <row r="1339" spans="1:13" x14ac:dyDescent="0.25">
      <c r="A1339" s="54">
        <v>45463</v>
      </c>
      <c r="B1339" s="25">
        <f t="shared" si="80"/>
        <v>6</v>
      </c>
      <c r="C1339" s="25">
        <f t="shared" si="81"/>
        <v>2024</v>
      </c>
      <c r="D1339" s="104" t="s">
        <v>122</v>
      </c>
      <c r="E1339" s="104" t="s">
        <v>343</v>
      </c>
      <c r="J1339" s="61">
        <v>150000</v>
      </c>
      <c r="L1339" s="49">
        <f t="shared" si="82"/>
        <v>180000</v>
      </c>
      <c r="M1339" s="50">
        <f t="shared" si="83"/>
        <v>0</v>
      </c>
    </row>
    <row r="1340" spans="1:13" x14ac:dyDescent="0.25">
      <c r="A1340" s="54">
        <v>45463</v>
      </c>
      <c r="B1340" s="25">
        <f t="shared" si="80"/>
        <v>6</v>
      </c>
      <c r="C1340" s="25">
        <f t="shared" si="81"/>
        <v>2024</v>
      </c>
      <c r="D1340" s="104" t="s">
        <v>501</v>
      </c>
      <c r="E1340" s="104" t="s">
        <v>343</v>
      </c>
      <c r="F1340" s="104" t="s">
        <v>655</v>
      </c>
      <c r="K1340" s="61">
        <v>150000</v>
      </c>
      <c r="L1340" s="49">
        <f t="shared" si="82"/>
        <v>30000</v>
      </c>
      <c r="M1340" s="50">
        <f t="shared" si="83"/>
        <v>0</v>
      </c>
    </row>
    <row r="1341" spans="1:13" x14ac:dyDescent="0.25">
      <c r="A1341" s="54">
        <v>45465</v>
      </c>
      <c r="B1341" s="25">
        <f t="shared" si="80"/>
        <v>6</v>
      </c>
      <c r="C1341" s="25">
        <f t="shared" si="81"/>
        <v>2024</v>
      </c>
      <c r="D1341" s="104" t="s">
        <v>352</v>
      </c>
      <c r="E1341" s="104" t="s">
        <v>343</v>
      </c>
      <c r="F1341" s="104" t="s">
        <v>914</v>
      </c>
      <c r="J1341" s="61">
        <v>100000</v>
      </c>
      <c r="L1341" s="49">
        <f t="shared" si="82"/>
        <v>130000</v>
      </c>
      <c r="M1341" s="50">
        <f t="shared" si="83"/>
        <v>0</v>
      </c>
    </row>
    <row r="1342" spans="1:13" x14ac:dyDescent="0.25">
      <c r="A1342" s="80">
        <v>45465</v>
      </c>
      <c r="B1342" s="155">
        <f t="shared" si="80"/>
        <v>6</v>
      </c>
      <c r="C1342" s="155">
        <f t="shared" si="81"/>
        <v>2024</v>
      </c>
      <c r="D1342" s="107" t="s">
        <v>122</v>
      </c>
      <c r="E1342" s="107" t="s">
        <v>343</v>
      </c>
      <c r="F1342" s="107"/>
      <c r="G1342" s="107"/>
      <c r="H1342" s="81"/>
      <c r="I1342" s="81"/>
      <c r="J1342" s="52"/>
      <c r="K1342" s="52">
        <v>100000</v>
      </c>
      <c r="L1342" s="49">
        <f t="shared" si="82"/>
        <v>30000</v>
      </c>
      <c r="M1342" s="50">
        <f t="shared" si="83"/>
        <v>0</v>
      </c>
    </row>
    <row r="1343" spans="1:13" x14ac:dyDescent="0.25">
      <c r="A1343" s="54">
        <v>45467</v>
      </c>
      <c r="B1343" s="25">
        <f t="shared" si="80"/>
        <v>6</v>
      </c>
      <c r="C1343" s="25">
        <f t="shared" si="81"/>
        <v>2024</v>
      </c>
      <c r="D1343" s="104" t="s">
        <v>352</v>
      </c>
      <c r="E1343" s="104" t="s">
        <v>343</v>
      </c>
      <c r="F1343" s="104" t="s">
        <v>962</v>
      </c>
      <c r="J1343" s="61">
        <v>30000</v>
      </c>
      <c r="L1343" s="49">
        <f t="shared" si="82"/>
        <v>60000</v>
      </c>
      <c r="M1343" s="50">
        <f t="shared" si="83"/>
        <v>0</v>
      </c>
    </row>
    <row r="1344" spans="1:13" x14ac:dyDescent="0.25">
      <c r="A1344" s="54">
        <v>45467</v>
      </c>
      <c r="B1344" s="25">
        <f t="shared" si="80"/>
        <v>6</v>
      </c>
      <c r="C1344" s="25">
        <f t="shared" si="81"/>
        <v>2024</v>
      </c>
      <c r="D1344" s="104" t="s">
        <v>109</v>
      </c>
      <c r="E1344" s="104" t="s">
        <v>343</v>
      </c>
      <c r="F1344" s="104" t="s">
        <v>354</v>
      </c>
      <c r="K1344" s="61">
        <v>4000</v>
      </c>
      <c r="L1344" s="49">
        <f t="shared" si="82"/>
        <v>56000</v>
      </c>
      <c r="M1344" s="50">
        <f t="shared" si="83"/>
        <v>0</v>
      </c>
    </row>
    <row r="1345" spans="1:13" x14ac:dyDescent="0.25">
      <c r="A1345" s="54">
        <v>45467</v>
      </c>
      <c r="B1345" s="25">
        <f t="shared" si="80"/>
        <v>6</v>
      </c>
      <c r="C1345" s="25">
        <f t="shared" si="81"/>
        <v>2024</v>
      </c>
      <c r="D1345" s="104" t="s">
        <v>109</v>
      </c>
      <c r="E1345" s="104" t="s">
        <v>343</v>
      </c>
      <c r="K1345" s="61">
        <v>5000</v>
      </c>
      <c r="L1345" s="49">
        <f t="shared" si="82"/>
        <v>51000</v>
      </c>
      <c r="M1345" s="50">
        <f t="shared" si="83"/>
        <v>0</v>
      </c>
    </row>
    <row r="1346" spans="1:13" x14ac:dyDescent="0.25">
      <c r="A1346" s="54">
        <v>45467</v>
      </c>
      <c r="B1346" s="25">
        <f t="shared" si="80"/>
        <v>6</v>
      </c>
      <c r="C1346" s="25">
        <f t="shared" si="81"/>
        <v>2024</v>
      </c>
      <c r="D1346" s="104" t="s">
        <v>384</v>
      </c>
      <c r="E1346" s="104" t="s">
        <v>343</v>
      </c>
      <c r="J1346" s="61">
        <v>58000</v>
      </c>
      <c r="L1346" s="49">
        <f t="shared" si="82"/>
        <v>109000</v>
      </c>
      <c r="M1346" s="50">
        <f t="shared" si="83"/>
        <v>0</v>
      </c>
    </row>
    <row r="1347" spans="1:13" x14ac:dyDescent="0.25">
      <c r="A1347" s="54">
        <v>45467</v>
      </c>
      <c r="B1347" s="25">
        <f t="shared" ref="B1347:B1359" si="84">MONTH(A1347)</f>
        <v>6</v>
      </c>
      <c r="C1347" s="25">
        <f t="shared" ref="C1347:C1359" si="85">YEAR(A1347)</f>
        <v>2024</v>
      </c>
      <c r="D1347" s="104" t="s">
        <v>124</v>
      </c>
      <c r="E1347" s="104" t="s">
        <v>93</v>
      </c>
      <c r="F1347" s="104" t="s">
        <v>963</v>
      </c>
      <c r="K1347" s="61">
        <v>58000</v>
      </c>
      <c r="L1347" s="49">
        <f t="shared" si="82"/>
        <v>51000</v>
      </c>
      <c r="M1347" s="50">
        <f t="shared" si="83"/>
        <v>0</v>
      </c>
    </row>
    <row r="1348" spans="1:13" x14ac:dyDescent="0.25">
      <c r="A1348" s="54">
        <v>45467</v>
      </c>
      <c r="B1348" s="25">
        <f t="shared" si="84"/>
        <v>6</v>
      </c>
      <c r="C1348" s="25">
        <f t="shared" si="85"/>
        <v>2024</v>
      </c>
      <c r="D1348" s="104" t="s">
        <v>124</v>
      </c>
      <c r="E1348" s="104" t="s">
        <v>343</v>
      </c>
      <c r="F1348" s="104" t="s">
        <v>964</v>
      </c>
      <c r="K1348" s="61">
        <v>20000</v>
      </c>
      <c r="L1348" s="49">
        <f t="shared" ref="L1348:L1411" si="86">IF((L1347+M1347+J1348-K1348)&gt;0,(L1347+M1347+J1348-K1348),0)</f>
        <v>31000</v>
      </c>
      <c r="M1348" s="50">
        <f t="shared" ref="M1348:M1356" si="87">IF((L1347+M1347+J1348-K1348)&lt;0,(L1347+M1347+J1348-K1348),0)</f>
        <v>0</v>
      </c>
    </row>
    <row r="1349" spans="1:13" x14ac:dyDescent="0.25">
      <c r="A1349" s="80">
        <v>45467</v>
      </c>
      <c r="B1349" s="155">
        <f t="shared" si="84"/>
        <v>6</v>
      </c>
      <c r="C1349" s="155">
        <f t="shared" si="85"/>
        <v>2024</v>
      </c>
      <c r="D1349" s="107" t="s">
        <v>122</v>
      </c>
      <c r="E1349" s="107" t="s">
        <v>343</v>
      </c>
      <c r="F1349" s="107"/>
      <c r="G1349" s="107"/>
      <c r="H1349" s="81"/>
      <c r="I1349" s="81"/>
      <c r="J1349" s="52"/>
      <c r="K1349" s="52">
        <v>1000</v>
      </c>
      <c r="L1349" s="49">
        <f t="shared" si="86"/>
        <v>30000</v>
      </c>
      <c r="M1349" s="50">
        <f t="shared" si="87"/>
        <v>0</v>
      </c>
    </row>
    <row r="1350" spans="1:13" x14ac:dyDescent="0.25">
      <c r="A1350" s="54">
        <v>45468</v>
      </c>
      <c r="B1350" s="25">
        <f t="shared" si="84"/>
        <v>6</v>
      </c>
      <c r="C1350" s="25">
        <f t="shared" si="85"/>
        <v>2024</v>
      </c>
      <c r="D1350" s="104" t="s">
        <v>352</v>
      </c>
      <c r="E1350" s="104" t="s">
        <v>343</v>
      </c>
      <c r="F1350" s="104" t="s">
        <v>141</v>
      </c>
      <c r="J1350" s="61">
        <v>232000</v>
      </c>
      <c r="L1350" s="49">
        <f t="shared" si="86"/>
        <v>262000</v>
      </c>
      <c r="M1350" s="50">
        <f t="shared" si="87"/>
        <v>0</v>
      </c>
    </row>
    <row r="1351" spans="1:13" x14ac:dyDescent="0.25">
      <c r="A1351" s="54">
        <v>45468</v>
      </c>
      <c r="B1351" s="25">
        <f t="shared" si="84"/>
        <v>6</v>
      </c>
      <c r="C1351" s="25">
        <f t="shared" si="85"/>
        <v>2024</v>
      </c>
      <c r="D1351" s="104" t="s">
        <v>109</v>
      </c>
      <c r="E1351" s="104" t="s">
        <v>343</v>
      </c>
      <c r="K1351" s="61">
        <v>2000</v>
      </c>
      <c r="L1351" s="49">
        <f t="shared" si="86"/>
        <v>260000</v>
      </c>
      <c r="M1351" s="50">
        <f t="shared" si="87"/>
        <v>0</v>
      </c>
    </row>
    <row r="1352" spans="1:13" x14ac:dyDescent="0.25">
      <c r="A1352" s="54">
        <v>45468</v>
      </c>
      <c r="B1352" s="25">
        <f t="shared" si="84"/>
        <v>6</v>
      </c>
      <c r="C1352" s="25">
        <f t="shared" si="85"/>
        <v>2024</v>
      </c>
      <c r="D1352" s="104" t="s">
        <v>352</v>
      </c>
      <c r="E1352" s="104" t="s">
        <v>343</v>
      </c>
      <c r="F1352" s="104" t="s">
        <v>965</v>
      </c>
      <c r="J1352" s="61">
        <v>500000</v>
      </c>
      <c r="L1352" s="49">
        <f t="shared" si="86"/>
        <v>760000</v>
      </c>
      <c r="M1352" s="50">
        <f t="shared" si="87"/>
        <v>0</v>
      </c>
    </row>
    <row r="1353" spans="1:13" x14ac:dyDescent="0.25">
      <c r="A1353" s="54">
        <v>45468</v>
      </c>
      <c r="B1353" s="25">
        <f t="shared" si="84"/>
        <v>6</v>
      </c>
      <c r="C1353" s="25">
        <f t="shared" si="85"/>
        <v>2024</v>
      </c>
      <c r="D1353" s="104" t="s">
        <v>384</v>
      </c>
      <c r="E1353" s="104" t="s">
        <v>343</v>
      </c>
      <c r="J1353" s="61">
        <v>500000</v>
      </c>
      <c r="L1353" s="49">
        <f t="shared" si="86"/>
        <v>1260000</v>
      </c>
      <c r="M1353" s="50">
        <f t="shared" si="87"/>
        <v>0</v>
      </c>
    </row>
    <row r="1354" spans="1:13" x14ac:dyDescent="0.25">
      <c r="A1354" s="54">
        <v>45468</v>
      </c>
      <c r="B1354" s="25">
        <f t="shared" si="84"/>
        <v>6</v>
      </c>
      <c r="C1354" s="25">
        <f t="shared" si="85"/>
        <v>2024</v>
      </c>
      <c r="D1354" s="104" t="s">
        <v>124</v>
      </c>
      <c r="E1354" s="104" t="s">
        <v>343</v>
      </c>
      <c r="F1354" s="104" t="s">
        <v>966</v>
      </c>
      <c r="K1354" s="61">
        <v>500000</v>
      </c>
      <c r="L1354" s="49">
        <f t="shared" si="86"/>
        <v>760000</v>
      </c>
      <c r="M1354" s="50">
        <f t="shared" si="87"/>
        <v>0</v>
      </c>
    </row>
    <row r="1355" spans="1:13" x14ac:dyDescent="0.25">
      <c r="A1355" s="66">
        <v>45468</v>
      </c>
      <c r="B1355" s="77">
        <f t="shared" si="84"/>
        <v>6</v>
      </c>
      <c r="C1355" s="77">
        <f t="shared" si="85"/>
        <v>2024</v>
      </c>
      <c r="D1355" s="109" t="s">
        <v>352</v>
      </c>
      <c r="E1355" s="109" t="s">
        <v>343</v>
      </c>
      <c r="F1355" s="109" t="s">
        <v>968</v>
      </c>
      <c r="G1355" s="109"/>
      <c r="H1355" s="14"/>
      <c r="I1355" s="14"/>
      <c r="J1355" s="118">
        <v>1106500</v>
      </c>
      <c r="K1355" s="118"/>
      <c r="L1355" s="49">
        <f t="shared" si="86"/>
        <v>1866500</v>
      </c>
      <c r="M1355" s="50">
        <f t="shared" si="87"/>
        <v>0</v>
      </c>
    </row>
    <row r="1356" spans="1:13" x14ac:dyDescent="0.25">
      <c r="A1356" s="80">
        <v>45468</v>
      </c>
      <c r="B1356" s="155">
        <f t="shared" si="84"/>
        <v>6</v>
      </c>
      <c r="C1356" s="155">
        <f t="shared" si="85"/>
        <v>2024</v>
      </c>
      <c r="D1356" s="107" t="s">
        <v>122</v>
      </c>
      <c r="E1356" s="107" t="s">
        <v>343</v>
      </c>
      <c r="F1356" s="107"/>
      <c r="G1356" s="107"/>
      <c r="H1356" s="81"/>
      <c r="I1356" s="81"/>
      <c r="J1356" s="52"/>
      <c r="K1356" s="52">
        <v>1836500</v>
      </c>
      <c r="L1356" s="49">
        <f t="shared" si="86"/>
        <v>30000</v>
      </c>
      <c r="M1356" s="50">
        <f t="shared" si="87"/>
        <v>0</v>
      </c>
    </row>
    <row r="1357" spans="1:13" x14ac:dyDescent="0.25">
      <c r="A1357" s="54">
        <v>45469</v>
      </c>
      <c r="B1357" s="25">
        <f t="shared" si="84"/>
        <v>6</v>
      </c>
      <c r="C1357" s="25">
        <f t="shared" si="85"/>
        <v>2024</v>
      </c>
      <c r="D1357" s="104" t="s">
        <v>352</v>
      </c>
      <c r="E1357" s="104" t="s">
        <v>343</v>
      </c>
      <c r="F1357" s="104" t="s">
        <v>875</v>
      </c>
      <c r="J1357" s="61">
        <v>75000</v>
      </c>
      <c r="L1357" s="49">
        <f t="shared" si="86"/>
        <v>105000</v>
      </c>
    </row>
    <row r="1358" spans="1:13" x14ac:dyDescent="0.25">
      <c r="A1358" s="54">
        <v>45469</v>
      </c>
      <c r="B1358" s="25">
        <f t="shared" si="84"/>
        <v>6</v>
      </c>
      <c r="C1358" s="25">
        <f t="shared" si="85"/>
        <v>2024</v>
      </c>
      <c r="D1358" s="104" t="s">
        <v>109</v>
      </c>
      <c r="E1358" s="104" t="s">
        <v>343</v>
      </c>
      <c r="K1358" s="61">
        <v>30000</v>
      </c>
      <c r="L1358" s="49">
        <f t="shared" si="86"/>
        <v>75000</v>
      </c>
    </row>
    <row r="1359" spans="1:13" x14ac:dyDescent="0.25">
      <c r="A1359" s="66">
        <v>45469</v>
      </c>
      <c r="B1359" s="77">
        <f t="shared" si="84"/>
        <v>6</v>
      </c>
      <c r="C1359" s="77">
        <f t="shared" si="85"/>
        <v>2024</v>
      </c>
      <c r="D1359" s="109" t="s">
        <v>135</v>
      </c>
      <c r="E1359" s="109" t="s">
        <v>343</v>
      </c>
      <c r="F1359" s="109" t="s">
        <v>582</v>
      </c>
      <c r="G1359" s="109"/>
      <c r="H1359" s="14"/>
      <c r="I1359" s="14"/>
      <c r="J1359" s="118"/>
      <c r="K1359" s="118">
        <v>20000</v>
      </c>
      <c r="L1359" s="49">
        <f t="shared" si="86"/>
        <v>55000</v>
      </c>
    </row>
    <row r="1360" spans="1:13" x14ac:dyDescent="0.25">
      <c r="A1360" s="80">
        <v>45469</v>
      </c>
      <c r="B1360" s="155">
        <v>6</v>
      </c>
      <c r="C1360" s="155">
        <v>2024</v>
      </c>
      <c r="D1360" s="107" t="s">
        <v>122</v>
      </c>
      <c r="E1360" s="107" t="s">
        <v>343</v>
      </c>
      <c r="F1360" s="107"/>
      <c r="G1360" s="107"/>
      <c r="H1360" s="81"/>
      <c r="I1360" s="81"/>
      <c r="J1360" s="52"/>
      <c r="K1360" s="52">
        <v>25000</v>
      </c>
      <c r="L1360" s="49">
        <f t="shared" si="86"/>
        <v>30000</v>
      </c>
    </row>
    <row r="1361" spans="1:12" x14ac:dyDescent="0.25">
      <c r="A1361" s="54">
        <v>45470</v>
      </c>
      <c r="B1361" s="25">
        <v>6</v>
      </c>
      <c r="C1361" s="25">
        <v>2024</v>
      </c>
      <c r="D1361" s="104" t="s">
        <v>384</v>
      </c>
      <c r="E1361" s="104" t="s">
        <v>343</v>
      </c>
      <c r="J1361" s="61">
        <v>458500</v>
      </c>
      <c r="L1361" s="49">
        <f t="shared" si="86"/>
        <v>488500</v>
      </c>
    </row>
    <row r="1362" spans="1:12" x14ac:dyDescent="0.25">
      <c r="A1362" s="54">
        <v>45470</v>
      </c>
      <c r="B1362" s="25">
        <v>6</v>
      </c>
      <c r="C1362" s="25">
        <v>2024</v>
      </c>
      <c r="D1362" s="104" t="s">
        <v>124</v>
      </c>
      <c r="E1362" s="104" t="s">
        <v>343</v>
      </c>
      <c r="G1362" s="104" t="s">
        <v>234</v>
      </c>
      <c r="K1362" s="61">
        <v>458500</v>
      </c>
      <c r="L1362" s="49">
        <f t="shared" si="86"/>
        <v>30000</v>
      </c>
    </row>
    <row r="1363" spans="1:12" x14ac:dyDescent="0.25">
      <c r="A1363" s="54">
        <v>45470</v>
      </c>
      <c r="B1363" s="25">
        <v>6</v>
      </c>
      <c r="C1363" s="25">
        <v>2024</v>
      </c>
      <c r="D1363" s="104" t="s">
        <v>384</v>
      </c>
      <c r="E1363" s="104" t="s">
        <v>343</v>
      </c>
      <c r="J1363" s="61">
        <v>26200</v>
      </c>
      <c r="L1363" s="49">
        <f t="shared" si="86"/>
        <v>56200</v>
      </c>
    </row>
    <row r="1364" spans="1:12" x14ac:dyDescent="0.25">
      <c r="A1364" s="54">
        <v>45470</v>
      </c>
      <c r="B1364" s="25">
        <v>6</v>
      </c>
      <c r="C1364" s="25">
        <v>2024</v>
      </c>
      <c r="D1364" s="104" t="s">
        <v>124</v>
      </c>
      <c r="E1364" s="104" t="s">
        <v>343</v>
      </c>
      <c r="F1364" s="104" t="s">
        <v>826</v>
      </c>
      <c r="K1364" s="61">
        <v>26200</v>
      </c>
      <c r="L1364" s="49">
        <f t="shared" si="86"/>
        <v>30000</v>
      </c>
    </row>
    <row r="1365" spans="1:12" x14ac:dyDescent="0.25">
      <c r="A1365" s="54">
        <v>45471</v>
      </c>
      <c r="B1365" s="25">
        <v>6</v>
      </c>
      <c r="C1365" s="25">
        <v>2024</v>
      </c>
      <c r="D1365" s="104" t="s">
        <v>352</v>
      </c>
      <c r="E1365" s="104" t="s">
        <v>343</v>
      </c>
      <c r="F1365" s="104" t="s">
        <v>473</v>
      </c>
      <c r="J1365" s="61">
        <v>42200</v>
      </c>
      <c r="L1365" s="49">
        <f t="shared" si="86"/>
        <v>72200</v>
      </c>
    </row>
    <row r="1366" spans="1:12" x14ac:dyDescent="0.25">
      <c r="A1366" s="54">
        <v>45471</v>
      </c>
      <c r="B1366" s="25">
        <v>6</v>
      </c>
      <c r="C1366" s="25">
        <v>2024</v>
      </c>
      <c r="D1366" s="104" t="s">
        <v>352</v>
      </c>
      <c r="E1366" s="104" t="s">
        <v>343</v>
      </c>
      <c r="F1366" s="104" t="s">
        <v>546</v>
      </c>
      <c r="J1366" s="61">
        <v>23100</v>
      </c>
      <c r="L1366" s="49">
        <f t="shared" si="86"/>
        <v>95300</v>
      </c>
    </row>
    <row r="1367" spans="1:12" x14ac:dyDescent="0.25">
      <c r="A1367" s="54">
        <v>45471</v>
      </c>
      <c r="B1367" s="25">
        <v>6</v>
      </c>
      <c r="C1367" s="25">
        <v>2024</v>
      </c>
      <c r="D1367" s="104" t="s">
        <v>444</v>
      </c>
      <c r="E1367" s="104" t="s">
        <v>343</v>
      </c>
      <c r="K1367" s="61">
        <v>18000</v>
      </c>
      <c r="L1367" s="49">
        <f t="shared" si="86"/>
        <v>77300</v>
      </c>
    </row>
    <row r="1368" spans="1:12" x14ac:dyDescent="0.25">
      <c r="A1368" s="54">
        <v>45471</v>
      </c>
      <c r="B1368" s="25">
        <v>6</v>
      </c>
      <c r="C1368" s="25">
        <v>2024</v>
      </c>
      <c r="D1368" s="104" t="s">
        <v>384</v>
      </c>
      <c r="E1368" s="104" t="s">
        <v>343</v>
      </c>
      <c r="J1368" s="61">
        <v>150000</v>
      </c>
      <c r="L1368" s="49">
        <f t="shared" si="86"/>
        <v>227300</v>
      </c>
    </row>
    <row r="1369" spans="1:12" x14ac:dyDescent="0.25">
      <c r="A1369" s="54">
        <v>45471</v>
      </c>
      <c r="B1369" s="25">
        <v>6</v>
      </c>
      <c r="C1369" s="25">
        <v>2024</v>
      </c>
      <c r="D1369" s="104" t="s">
        <v>501</v>
      </c>
      <c r="E1369" s="104" t="s">
        <v>343</v>
      </c>
      <c r="F1369" s="104" t="s">
        <v>655</v>
      </c>
      <c r="K1369" s="61">
        <v>150000</v>
      </c>
      <c r="L1369" s="49">
        <f t="shared" si="86"/>
        <v>77300</v>
      </c>
    </row>
    <row r="1370" spans="1:12" x14ac:dyDescent="0.25">
      <c r="A1370" s="66">
        <v>45471</v>
      </c>
      <c r="B1370" s="77">
        <v>6</v>
      </c>
      <c r="C1370" s="77">
        <v>2024</v>
      </c>
      <c r="D1370" s="109" t="s">
        <v>352</v>
      </c>
      <c r="E1370" s="109" t="s">
        <v>343</v>
      </c>
      <c r="F1370" s="109" t="s">
        <v>456</v>
      </c>
      <c r="G1370" s="109"/>
      <c r="H1370" s="14"/>
      <c r="I1370" s="14"/>
      <c r="J1370" s="118">
        <v>20000</v>
      </c>
      <c r="K1370" s="52"/>
      <c r="L1370" s="49">
        <f t="shared" si="86"/>
        <v>97300</v>
      </c>
    </row>
    <row r="1371" spans="1:12" x14ac:dyDescent="0.25">
      <c r="A1371" s="54">
        <v>45471</v>
      </c>
      <c r="B1371" s="25">
        <v>6</v>
      </c>
      <c r="C1371" s="25">
        <v>2024</v>
      </c>
      <c r="D1371" s="104" t="s">
        <v>352</v>
      </c>
      <c r="E1371" s="104" t="s">
        <v>93</v>
      </c>
      <c r="F1371" s="104" t="s">
        <v>976</v>
      </c>
      <c r="J1371" s="61">
        <v>30000</v>
      </c>
      <c r="L1371" s="49">
        <f t="shared" si="86"/>
        <v>127300</v>
      </c>
    </row>
    <row r="1372" spans="1:12" x14ac:dyDescent="0.25">
      <c r="A1372" s="80">
        <v>45471</v>
      </c>
      <c r="B1372" s="155">
        <v>6</v>
      </c>
      <c r="C1372" s="155">
        <v>2024</v>
      </c>
      <c r="D1372" s="107" t="s">
        <v>122</v>
      </c>
      <c r="E1372" s="107" t="s">
        <v>93</v>
      </c>
      <c r="F1372" s="107"/>
      <c r="G1372" s="107"/>
      <c r="H1372" s="81"/>
      <c r="I1372" s="81"/>
      <c r="J1372" s="52"/>
      <c r="K1372" s="52">
        <v>97300</v>
      </c>
      <c r="L1372" s="49">
        <f t="shared" si="86"/>
        <v>30000</v>
      </c>
    </row>
    <row r="1373" spans="1:12" x14ac:dyDescent="0.25">
      <c r="A1373" s="54">
        <v>45474</v>
      </c>
      <c r="B1373" s="25">
        <v>7</v>
      </c>
      <c r="C1373" s="25">
        <v>2024</v>
      </c>
      <c r="D1373" s="104" t="s">
        <v>352</v>
      </c>
      <c r="E1373" s="104" t="s">
        <v>343</v>
      </c>
      <c r="F1373" s="104" t="s">
        <v>456</v>
      </c>
      <c r="J1373" s="61">
        <v>12000</v>
      </c>
      <c r="L1373" s="49">
        <f t="shared" si="86"/>
        <v>42000</v>
      </c>
    </row>
    <row r="1374" spans="1:12" x14ac:dyDescent="0.25">
      <c r="A1374" s="54">
        <v>45474</v>
      </c>
      <c r="B1374" s="25">
        <v>7</v>
      </c>
      <c r="C1374" s="25">
        <v>2024</v>
      </c>
      <c r="D1374" s="104" t="s">
        <v>360</v>
      </c>
      <c r="E1374" s="104" t="s">
        <v>343</v>
      </c>
      <c r="F1374" s="104" t="s">
        <v>977</v>
      </c>
      <c r="K1374" s="61">
        <v>8000</v>
      </c>
      <c r="L1374" s="49">
        <f t="shared" si="86"/>
        <v>34000</v>
      </c>
    </row>
    <row r="1375" spans="1:12" x14ac:dyDescent="0.25">
      <c r="A1375" s="54">
        <v>45474</v>
      </c>
      <c r="B1375" s="25">
        <v>7</v>
      </c>
      <c r="C1375" s="25">
        <v>2024</v>
      </c>
      <c r="D1375" s="104" t="s">
        <v>352</v>
      </c>
      <c r="E1375" s="104" t="s">
        <v>343</v>
      </c>
      <c r="F1375" s="104" t="s">
        <v>915</v>
      </c>
      <c r="J1375" s="61">
        <v>50000</v>
      </c>
      <c r="L1375" s="49">
        <f t="shared" si="86"/>
        <v>84000</v>
      </c>
    </row>
    <row r="1376" spans="1:12" x14ac:dyDescent="0.25">
      <c r="A1376" s="80">
        <v>45474</v>
      </c>
      <c r="B1376" s="25">
        <v>7</v>
      </c>
      <c r="C1376" s="155">
        <v>2024</v>
      </c>
      <c r="D1376" s="107" t="s">
        <v>122</v>
      </c>
      <c r="E1376" s="107" t="s">
        <v>343</v>
      </c>
      <c r="F1376" s="107"/>
      <c r="G1376" s="107"/>
      <c r="H1376" s="81"/>
      <c r="I1376" s="81"/>
      <c r="J1376" s="52"/>
      <c r="K1376" s="52">
        <v>54000</v>
      </c>
      <c r="L1376" s="49">
        <f t="shared" si="86"/>
        <v>30000</v>
      </c>
    </row>
    <row r="1377" spans="1:12" x14ac:dyDescent="0.25">
      <c r="A1377" s="54">
        <v>45475</v>
      </c>
      <c r="B1377" s="25">
        <v>7</v>
      </c>
      <c r="C1377" s="25">
        <v>2024</v>
      </c>
      <c r="D1377" s="104" t="s">
        <v>384</v>
      </c>
      <c r="E1377" s="104" t="s">
        <v>343</v>
      </c>
      <c r="J1377" s="61">
        <v>61710</v>
      </c>
      <c r="L1377" s="49">
        <f t="shared" si="86"/>
        <v>91710</v>
      </c>
    </row>
    <row r="1378" spans="1:12" x14ac:dyDescent="0.25">
      <c r="A1378" s="54">
        <v>45475</v>
      </c>
      <c r="B1378" s="25">
        <v>7</v>
      </c>
      <c r="C1378" s="25">
        <v>2024</v>
      </c>
      <c r="D1378" s="104" t="s">
        <v>124</v>
      </c>
      <c r="E1378" s="104" t="s">
        <v>343</v>
      </c>
      <c r="F1378" s="104" t="s">
        <v>980</v>
      </c>
      <c r="K1378" s="61">
        <v>61710</v>
      </c>
      <c r="L1378" s="49">
        <f t="shared" si="86"/>
        <v>30000</v>
      </c>
    </row>
    <row r="1379" spans="1:12" x14ac:dyDescent="0.25">
      <c r="A1379" s="54">
        <v>45475</v>
      </c>
      <c r="B1379" s="25">
        <v>7</v>
      </c>
      <c r="C1379" s="25">
        <v>2024</v>
      </c>
      <c r="D1379" s="104" t="s">
        <v>352</v>
      </c>
      <c r="E1379" s="104" t="s">
        <v>343</v>
      </c>
      <c r="F1379" s="104" t="s">
        <v>356</v>
      </c>
      <c r="J1379" s="61">
        <v>92000</v>
      </c>
      <c r="L1379" s="49">
        <f t="shared" si="86"/>
        <v>122000</v>
      </c>
    </row>
    <row r="1380" spans="1:12" x14ac:dyDescent="0.25">
      <c r="A1380" s="54">
        <v>45475</v>
      </c>
      <c r="B1380" s="25">
        <v>7</v>
      </c>
      <c r="C1380" s="25">
        <v>2024</v>
      </c>
      <c r="D1380" s="104" t="s">
        <v>352</v>
      </c>
      <c r="E1380" s="104" t="s">
        <v>343</v>
      </c>
      <c r="F1380" s="104" t="s">
        <v>981</v>
      </c>
      <c r="J1380" s="61">
        <v>122000</v>
      </c>
      <c r="L1380" s="49">
        <f t="shared" si="86"/>
        <v>244000</v>
      </c>
    </row>
    <row r="1381" spans="1:12" x14ac:dyDescent="0.25">
      <c r="A1381" s="54">
        <v>45475</v>
      </c>
      <c r="B1381" s="25">
        <v>7</v>
      </c>
      <c r="C1381" s="25">
        <v>2024</v>
      </c>
      <c r="D1381" s="104" t="s">
        <v>122</v>
      </c>
      <c r="E1381" s="104" t="s">
        <v>343</v>
      </c>
      <c r="K1381" s="61">
        <v>13400</v>
      </c>
      <c r="L1381" s="49">
        <f t="shared" si="86"/>
        <v>230600</v>
      </c>
    </row>
    <row r="1382" spans="1:12" x14ac:dyDescent="0.25">
      <c r="A1382" s="80">
        <v>45475</v>
      </c>
      <c r="B1382" s="25">
        <v>7</v>
      </c>
      <c r="C1382" s="155">
        <v>2024</v>
      </c>
      <c r="D1382" s="107" t="s">
        <v>122</v>
      </c>
      <c r="E1382" s="107" t="s">
        <v>343</v>
      </c>
      <c r="F1382" s="107"/>
      <c r="G1382" s="107"/>
      <c r="H1382" s="81"/>
      <c r="I1382" s="81"/>
      <c r="J1382" s="52"/>
      <c r="K1382" s="52">
        <v>200600</v>
      </c>
      <c r="L1382" s="49">
        <f t="shared" si="86"/>
        <v>30000</v>
      </c>
    </row>
    <row r="1383" spans="1:12" x14ac:dyDescent="0.25">
      <c r="A1383" s="54">
        <v>45476</v>
      </c>
      <c r="B1383" s="25">
        <v>7</v>
      </c>
      <c r="C1383" s="25">
        <v>2024</v>
      </c>
      <c r="D1383" s="104" t="s">
        <v>352</v>
      </c>
      <c r="E1383" s="104" t="s">
        <v>343</v>
      </c>
      <c r="F1383" s="104" t="s">
        <v>985</v>
      </c>
      <c r="J1383" s="61">
        <v>37500</v>
      </c>
      <c r="L1383" s="49">
        <f t="shared" si="86"/>
        <v>67500</v>
      </c>
    </row>
    <row r="1384" spans="1:12" x14ac:dyDescent="0.25">
      <c r="A1384" s="54">
        <v>45476</v>
      </c>
      <c r="B1384" s="25">
        <v>7</v>
      </c>
      <c r="C1384" s="25">
        <v>2024</v>
      </c>
      <c r="D1384" s="104" t="s">
        <v>92</v>
      </c>
      <c r="E1384" s="104" t="s">
        <v>92</v>
      </c>
      <c r="F1384" s="104" t="s">
        <v>986</v>
      </c>
      <c r="J1384" s="61">
        <v>32000</v>
      </c>
      <c r="L1384" s="49">
        <f t="shared" si="86"/>
        <v>99500</v>
      </c>
    </row>
    <row r="1385" spans="1:12" x14ac:dyDescent="0.25">
      <c r="A1385" s="54">
        <v>45476</v>
      </c>
      <c r="B1385" s="25">
        <v>7</v>
      </c>
      <c r="C1385" s="25">
        <v>2024</v>
      </c>
      <c r="D1385" s="104" t="s">
        <v>352</v>
      </c>
      <c r="E1385" s="104" t="s">
        <v>343</v>
      </c>
      <c r="F1385" s="104" t="s">
        <v>988</v>
      </c>
      <c r="J1385" s="61">
        <v>180000</v>
      </c>
      <c r="L1385" s="49">
        <f t="shared" si="86"/>
        <v>279500</v>
      </c>
    </row>
    <row r="1386" spans="1:12" x14ac:dyDescent="0.25">
      <c r="A1386" s="80">
        <v>45476</v>
      </c>
      <c r="B1386" s="25">
        <v>7</v>
      </c>
      <c r="C1386" s="155">
        <v>2024</v>
      </c>
      <c r="D1386" s="107" t="s">
        <v>122</v>
      </c>
      <c r="E1386" s="107" t="s">
        <v>343</v>
      </c>
      <c r="F1386" s="107"/>
      <c r="G1386" s="107"/>
      <c r="H1386" s="81"/>
      <c r="I1386" s="81"/>
      <c r="J1386" s="52"/>
      <c r="K1386" s="52">
        <v>249500</v>
      </c>
      <c r="L1386" s="49">
        <f t="shared" si="86"/>
        <v>30000</v>
      </c>
    </row>
    <row r="1387" spans="1:12" x14ac:dyDescent="0.25">
      <c r="A1387" s="54">
        <v>45477</v>
      </c>
      <c r="B1387" s="25">
        <v>7</v>
      </c>
      <c r="C1387" s="25">
        <v>2024</v>
      </c>
      <c r="D1387" s="104" t="s">
        <v>384</v>
      </c>
      <c r="E1387" s="104" t="s">
        <v>343</v>
      </c>
      <c r="J1387" s="61">
        <v>182650</v>
      </c>
      <c r="L1387" s="49">
        <f t="shared" si="86"/>
        <v>212650</v>
      </c>
    </row>
    <row r="1388" spans="1:12" x14ac:dyDescent="0.25">
      <c r="A1388" s="54">
        <v>45477</v>
      </c>
      <c r="B1388" s="25">
        <v>7</v>
      </c>
      <c r="C1388" s="25">
        <v>2024</v>
      </c>
      <c r="D1388" s="104" t="s">
        <v>124</v>
      </c>
      <c r="E1388" s="104" t="s">
        <v>343</v>
      </c>
      <c r="G1388" s="104" t="s">
        <v>852</v>
      </c>
      <c r="K1388" s="61">
        <v>182650</v>
      </c>
      <c r="L1388" s="49">
        <f t="shared" si="86"/>
        <v>30000</v>
      </c>
    </row>
    <row r="1389" spans="1:12" x14ac:dyDescent="0.25">
      <c r="A1389" s="54">
        <v>45477</v>
      </c>
      <c r="B1389" s="25">
        <v>7</v>
      </c>
      <c r="C1389" s="25">
        <v>2024</v>
      </c>
      <c r="D1389" s="104" t="s">
        <v>352</v>
      </c>
      <c r="E1389" s="104" t="s">
        <v>343</v>
      </c>
      <c r="F1389" s="104" t="s">
        <v>989</v>
      </c>
      <c r="J1389" s="61">
        <v>283000</v>
      </c>
      <c r="L1389" s="49">
        <f t="shared" si="86"/>
        <v>313000</v>
      </c>
    </row>
    <row r="1390" spans="1:12" x14ac:dyDescent="0.25">
      <c r="A1390" s="54">
        <v>45477</v>
      </c>
      <c r="B1390" s="25">
        <v>7</v>
      </c>
      <c r="C1390" s="25">
        <v>2024</v>
      </c>
      <c r="D1390" s="104" t="s">
        <v>109</v>
      </c>
      <c r="E1390" s="104" t="s">
        <v>343</v>
      </c>
      <c r="F1390" s="104" t="s">
        <v>354</v>
      </c>
      <c r="K1390" s="61">
        <v>7000</v>
      </c>
      <c r="L1390" s="49">
        <f t="shared" si="86"/>
        <v>306000</v>
      </c>
    </row>
    <row r="1391" spans="1:12" x14ac:dyDescent="0.25">
      <c r="A1391" s="54">
        <v>45477</v>
      </c>
      <c r="B1391" s="25">
        <v>7</v>
      </c>
      <c r="C1391" s="25">
        <v>2024</v>
      </c>
      <c r="D1391" s="104" t="s">
        <v>109</v>
      </c>
      <c r="E1391" s="104" t="s">
        <v>343</v>
      </c>
      <c r="F1391" s="104" t="s">
        <v>118</v>
      </c>
      <c r="K1391" s="61">
        <v>75000</v>
      </c>
      <c r="L1391" s="49">
        <f t="shared" si="86"/>
        <v>231000</v>
      </c>
    </row>
    <row r="1392" spans="1:12" x14ac:dyDescent="0.25">
      <c r="A1392" s="80">
        <v>45477</v>
      </c>
      <c r="B1392" s="25">
        <v>7</v>
      </c>
      <c r="C1392" s="155">
        <v>2024</v>
      </c>
      <c r="D1392" s="107" t="s">
        <v>361</v>
      </c>
      <c r="E1392" s="107" t="s">
        <v>343</v>
      </c>
      <c r="F1392" s="107"/>
      <c r="G1392" s="107"/>
      <c r="H1392" s="81"/>
      <c r="I1392" s="81"/>
      <c r="J1392" s="52"/>
      <c r="K1392" s="52">
        <v>201000</v>
      </c>
      <c r="L1392" s="49">
        <f t="shared" si="86"/>
        <v>30000</v>
      </c>
    </row>
    <row r="1393" spans="1:12" x14ac:dyDescent="0.25">
      <c r="A1393" s="54">
        <v>45478</v>
      </c>
      <c r="B1393" s="25">
        <v>7</v>
      </c>
      <c r="C1393" s="25">
        <v>2024</v>
      </c>
      <c r="D1393" s="104" t="s">
        <v>384</v>
      </c>
      <c r="E1393" s="104" t="s">
        <v>343</v>
      </c>
      <c r="J1393" s="61">
        <v>117284.57</v>
      </c>
      <c r="L1393" s="49">
        <f t="shared" si="86"/>
        <v>147284.57</v>
      </c>
    </row>
    <row r="1394" spans="1:12" x14ac:dyDescent="0.25">
      <c r="A1394" s="54">
        <v>45478</v>
      </c>
      <c r="B1394" s="25">
        <v>7</v>
      </c>
      <c r="C1394" s="25">
        <v>2024</v>
      </c>
      <c r="D1394" s="104" t="s">
        <v>148</v>
      </c>
      <c r="E1394" s="104" t="s">
        <v>343</v>
      </c>
      <c r="K1394" s="61">
        <v>117284.57</v>
      </c>
      <c r="L1394" s="49">
        <f t="shared" si="86"/>
        <v>30000</v>
      </c>
    </row>
    <row r="1395" spans="1:12" x14ac:dyDescent="0.25">
      <c r="A1395" s="54">
        <v>45478</v>
      </c>
      <c r="B1395" s="25">
        <v>7</v>
      </c>
      <c r="C1395" s="25">
        <v>2024</v>
      </c>
      <c r="D1395" s="104" t="s">
        <v>384</v>
      </c>
      <c r="E1395" s="104" t="s">
        <v>343</v>
      </c>
      <c r="J1395" s="61">
        <v>47330</v>
      </c>
      <c r="L1395" s="49">
        <f t="shared" si="86"/>
        <v>77330</v>
      </c>
    </row>
    <row r="1396" spans="1:12" x14ac:dyDescent="0.25">
      <c r="A1396" s="54">
        <v>45478</v>
      </c>
      <c r="B1396" s="25">
        <v>7</v>
      </c>
      <c r="C1396" s="25">
        <v>2024</v>
      </c>
      <c r="D1396" s="104" t="s">
        <v>360</v>
      </c>
      <c r="E1396" s="104" t="s">
        <v>343</v>
      </c>
      <c r="K1396" s="61">
        <v>20000</v>
      </c>
      <c r="L1396" s="49">
        <f t="shared" si="86"/>
        <v>57330</v>
      </c>
    </row>
    <row r="1397" spans="1:12" x14ac:dyDescent="0.25">
      <c r="A1397" s="54">
        <v>45478</v>
      </c>
      <c r="B1397" s="25">
        <v>7</v>
      </c>
      <c r="C1397" s="25">
        <v>2024</v>
      </c>
      <c r="D1397" s="104" t="s">
        <v>360</v>
      </c>
      <c r="E1397" s="104" t="s">
        <v>343</v>
      </c>
      <c r="K1397" s="61">
        <v>27330</v>
      </c>
      <c r="L1397" s="49">
        <f t="shared" si="86"/>
        <v>30000</v>
      </c>
    </row>
    <row r="1398" spans="1:12" x14ac:dyDescent="0.25">
      <c r="A1398" s="54">
        <v>45478</v>
      </c>
      <c r="B1398" s="25">
        <v>7</v>
      </c>
      <c r="C1398" s="25">
        <v>2024</v>
      </c>
      <c r="D1398" s="104" t="s">
        <v>384</v>
      </c>
      <c r="E1398" s="104" t="s">
        <v>343</v>
      </c>
      <c r="J1398" s="61">
        <v>98000</v>
      </c>
      <c r="L1398" s="49">
        <f t="shared" si="86"/>
        <v>128000</v>
      </c>
    </row>
    <row r="1399" spans="1:12" x14ac:dyDescent="0.25">
      <c r="A1399" s="54">
        <v>45478</v>
      </c>
      <c r="B1399" s="25">
        <v>7</v>
      </c>
      <c r="C1399" s="25">
        <v>2024</v>
      </c>
      <c r="D1399" s="104" t="s">
        <v>124</v>
      </c>
      <c r="E1399" s="104" t="s">
        <v>343</v>
      </c>
      <c r="F1399" s="104" t="s">
        <v>990</v>
      </c>
      <c r="K1399" s="61">
        <v>98000</v>
      </c>
      <c r="L1399" s="49">
        <f t="shared" si="86"/>
        <v>30000</v>
      </c>
    </row>
    <row r="1400" spans="1:12" x14ac:dyDescent="0.25">
      <c r="A1400" s="54">
        <v>45478</v>
      </c>
      <c r="B1400" s="25">
        <v>7</v>
      </c>
      <c r="C1400" s="25">
        <v>2024</v>
      </c>
      <c r="D1400" s="104" t="s">
        <v>384</v>
      </c>
      <c r="E1400" s="104" t="s">
        <v>343</v>
      </c>
      <c r="J1400" s="61">
        <v>130000</v>
      </c>
      <c r="L1400" s="49">
        <f t="shared" si="86"/>
        <v>160000</v>
      </c>
    </row>
    <row r="1401" spans="1:12" x14ac:dyDescent="0.25">
      <c r="A1401" s="54">
        <v>45478</v>
      </c>
      <c r="B1401" s="25">
        <v>7</v>
      </c>
      <c r="C1401" s="25">
        <v>2024</v>
      </c>
      <c r="D1401" s="104" t="s">
        <v>501</v>
      </c>
      <c r="E1401" s="104" t="s">
        <v>343</v>
      </c>
      <c r="F1401" s="104" t="s">
        <v>169</v>
      </c>
      <c r="K1401" s="61">
        <v>130000</v>
      </c>
      <c r="L1401" s="49">
        <f t="shared" si="86"/>
        <v>30000</v>
      </c>
    </row>
    <row r="1402" spans="1:12" x14ac:dyDescent="0.25">
      <c r="A1402" s="54">
        <v>45479</v>
      </c>
      <c r="B1402" s="25">
        <v>7</v>
      </c>
      <c r="C1402" s="25">
        <v>2024</v>
      </c>
      <c r="D1402" s="104" t="s">
        <v>89</v>
      </c>
      <c r="E1402" s="104" t="s">
        <v>343</v>
      </c>
      <c r="F1402" s="104" t="s">
        <v>932</v>
      </c>
      <c r="J1402" s="61">
        <v>200000</v>
      </c>
      <c r="L1402" s="49">
        <f t="shared" si="86"/>
        <v>230000</v>
      </c>
    </row>
    <row r="1403" spans="1:12" x14ac:dyDescent="0.25">
      <c r="A1403" s="54">
        <v>45479</v>
      </c>
      <c r="B1403" s="25">
        <v>7</v>
      </c>
      <c r="C1403" s="25">
        <v>2024</v>
      </c>
      <c r="D1403" s="104" t="s">
        <v>501</v>
      </c>
      <c r="E1403" s="104" t="s">
        <v>343</v>
      </c>
      <c r="F1403" s="104" t="s">
        <v>655</v>
      </c>
      <c r="K1403" s="61">
        <v>150000</v>
      </c>
      <c r="L1403" s="49">
        <f t="shared" si="86"/>
        <v>80000</v>
      </c>
    </row>
    <row r="1404" spans="1:12" x14ac:dyDescent="0.25">
      <c r="A1404" s="80">
        <v>45479</v>
      </c>
      <c r="B1404" s="25">
        <v>7</v>
      </c>
      <c r="C1404" s="155">
        <v>2024</v>
      </c>
      <c r="D1404" s="107" t="s">
        <v>361</v>
      </c>
      <c r="E1404" s="107" t="s">
        <v>343</v>
      </c>
      <c r="F1404" s="107"/>
      <c r="G1404" s="107"/>
      <c r="H1404" s="81"/>
      <c r="I1404" s="81"/>
      <c r="J1404" s="52"/>
      <c r="K1404" s="52">
        <v>50000</v>
      </c>
      <c r="L1404" s="49">
        <f t="shared" si="86"/>
        <v>30000</v>
      </c>
    </row>
    <row r="1405" spans="1:12" x14ac:dyDescent="0.25">
      <c r="A1405" s="54">
        <v>45481</v>
      </c>
      <c r="B1405" s="25">
        <v>7</v>
      </c>
      <c r="C1405" s="25">
        <v>2024</v>
      </c>
      <c r="D1405" s="104" t="s">
        <v>384</v>
      </c>
      <c r="E1405" s="104" t="s">
        <v>343</v>
      </c>
      <c r="J1405" s="61">
        <v>10000</v>
      </c>
      <c r="L1405" s="49">
        <f t="shared" si="86"/>
        <v>40000</v>
      </c>
    </row>
    <row r="1406" spans="1:12" x14ac:dyDescent="0.25">
      <c r="A1406" s="54">
        <v>45481</v>
      </c>
      <c r="B1406" s="25">
        <v>7</v>
      </c>
      <c r="C1406" s="25">
        <v>2024</v>
      </c>
      <c r="D1406" s="104" t="s">
        <v>109</v>
      </c>
      <c r="E1406" s="104" t="s">
        <v>343</v>
      </c>
      <c r="F1406" s="104" t="s">
        <v>887</v>
      </c>
      <c r="K1406" s="61">
        <v>22500</v>
      </c>
      <c r="L1406" s="49">
        <f t="shared" si="86"/>
        <v>17500</v>
      </c>
    </row>
    <row r="1407" spans="1:12" x14ac:dyDescent="0.25">
      <c r="A1407" s="54">
        <v>45481</v>
      </c>
      <c r="B1407" s="25">
        <v>7</v>
      </c>
      <c r="C1407" s="25">
        <v>2024</v>
      </c>
      <c r="D1407" s="104" t="s">
        <v>352</v>
      </c>
      <c r="E1407" s="104" t="s">
        <v>343</v>
      </c>
      <c r="F1407" s="104" t="s">
        <v>993</v>
      </c>
      <c r="J1407" s="61">
        <v>120000</v>
      </c>
      <c r="L1407" s="49">
        <f t="shared" si="86"/>
        <v>137500</v>
      </c>
    </row>
    <row r="1408" spans="1:12" x14ac:dyDescent="0.25">
      <c r="A1408" s="80">
        <v>45481</v>
      </c>
      <c r="B1408" s="25">
        <v>7</v>
      </c>
      <c r="C1408" s="155">
        <v>2024</v>
      </c>
      <c r="D1408" s="107" t="s">
        <v>361</v>
      </c>
      <c r="E1408" s="107" t="s">
        <v>343</v>
      </c>
      <c r="F1408" s="107"/>
      <c r="G1408" s="107"/>
      <c r="H1408" s="81"/>
      <c r="I1408" s="81"/>
      <c r="J1408" s="52"/>
      <c r="K1408" s="52">
        <v>107500</v>
      </c>
      <c r="L1408" s="49">
        <f t="shared" si="86"/>
        <v>30000</v>
      </c>
    </row>
    <row r="1409" spans="1:12" x14ac:dyDescent="0.25">
      <c r="A1409" s="54">
        <v>45483</v>
      </c>
      <c r="B1409" s="25">
        <v>7</v>
      </c>
      <c r="C1409" s="25">
        <v>2024</v>
      </c>
      <c r="D1409" s="104" t="s">
        <v>384</v>
      </c>
      <c r="E1409" s="104" t="s">
        <v>343</v>
      </c>
      <c r="J1409" s="61">
        <v>178378.2</v>
      </c>
      <c r="L1409" s="49">
        <f t="shared" si="86"/>
        <v>208378.2</v>
      </c>
    </row>
    <row r="1410" spans="1:12" x14ac:dyDescent="0.25">
      <c r="A1410" s="54">
        <v>45483</v>
      </c>
      <c r="B1410" s="25">
        <v>7</v>
      </c>
      <c r="C1410" s="25">
        <v>2024</v>
      </c>
      <c r="D1410" s="104" t="s">
        <v>124</v>
      </c>
      <c r="E1410" s="104" t="s">
        <v>343</v>
      </c>
      <c r="F1410" s="104" t="s">
        <v>994</v>
      </c>
      <c r="K1410" s="61">
        <v>178378.2</v>
      </c>
      <c r="L1410" s="49">
        <f t="shared" si="86"/>
        <v>30000</v>
      </c>
    </row>
    <row r="1411" spans="1:12" x14ac:dyDescent="0.25">
      <c r="A1411" s="54">
        <v>45483</v>
      </c>
      <c r="B1411" s="25">
        <v>7</v>
      </c>
      <c r="C1411" s="25">
        <v>2024</v>
      </c>
      <c r="D1411" s="104" t="s">
        <v>352</v>
      </c>
      <c r="E1411" s="104" t="s">
        <v>343</v>
      </c>
      <c r="F1411" s="104" t="s">
        <v>995</v>
      </c>
      <c r="J1411" s="61">
        <v>100000</v>
      </c>
      <c r="L1411" s="49">
        <f t="shared" si="86"/>
        <v>130000</v>
      </c>
    </row>
    <row r="1412" spans="1:12" x14ac:dyDescent="0.25">
      <c r="A1412" s="54">
        <v>45483</v>
      </c>
      <c r="B1412" s="25">
        <v>7</v>
      </c>
      <c r="C1412" s="25">
        <v>2024</v>
      </c>
      <c r="D1412" s="104" t="s">
        <v>352</v>
      </c>
      <c r="E1412" s="104" t="s">
        <v>343</v>
      </c>
      <c r="F1412" s="104" t="s">
        <v>996</v>
      </c>
      <c r="J1412" s="61">
        <v>228000</v>
      </c>
      <c r="L1412" s="49">
        <f t="shared" ref="L1412:L1475" si="88">IF((L1411+M1411+J1412-K1412)&gt;0,(L1411+M1411+J1412-K1412),0)</f>
        <v>358000</v>
      </c>
    </row>
    <row r="1413" spans="1:12" x14ac:dyDescent="0.25">
      <c r="A1413" s="54">
        <v>45483</v>
      </c>
      <c r="B1413" s="25">
        <v>7</v>
      </c>
      <c r="C1413" s="25">
        <v>2024</v>
      </c>
      <c r="D1413" s="104" t="s">
        <v>352</v>
      </c>
      <c r="E1413" s="104" t="s">
        <v>343</v>
      </c>
      <c r="F1413" s="104" t="s">
        <v>656</v>
      </c>
      <c r="J1413" s="61">
        <v>300000</v>
      </c>
      <c r="L1413" s="49">
        <f t="shared" si="88"/>
        <v>658000</v>
      </c>
    </row>
    <row r="1414" spans="1:12" x14ac:dyDescent="0.25">
      <c r="A1414" s="66">
        <v>45483</v>
      </c>
      <c r="B1414" s="77">
        <v>7</v>
      </c>
      <c r="C1414" s="77">
        <v>2024</v>
      </c>
      <c r="D1414" s="109" t="s">
        <v>352</v>
      </c>
      <c r="E1414" s="109" t="s">
        <v>343</v>
      </c>
      <c r="F1414" s="109" t="s">
        <v>997</v>
      </c>
      <c r="G1414" s="109"/>
      <c r="H1414" s="14"/>
      <c r="I1414" s="14"/>
      <c r="J1414" s="118">
        <v>100000</v>
      </c>
      <c r="K1414" s="52"/>
      <c r="L1414" s="49">
        <f t="shared" si="88"/>
        <v>758000</v>
      </c>
    </row>
    <row r="1415" spans="1:12" x14ac:dyDescent="0.25">
      <c r="A1415" s="80">
        <v>45483</v>
      </c>
      <c r="B1415" s="155">
        <v>7</v>
      </c>
      <c r="C1415" s="155">
        <v>2024</v>
      </c>
      <c r="D1415" s="107" t="s">
        <v>122</v>
      </c>
      <c r="E1415" s="107" t="s">
        <v>343</v>
      </c>
      <c r="F1415" s="107"/>
      <c r="G1415" s="107"/>
      <c r="H1415" s="81"/>
      <c r="I1415" s="81"/>
      <c r="J1415" s="52"/>
      <c r="K1415" s="52">
        <v>728000</v>
      </c>
      <c r="L1415" s="49">
        <f t="shared" si="88"/>
        <v>30000</v>
      </c>
    </row>
    <row r="1416" spans="1:12" x14ac:dyDescent="0.25">
      <c r="A1416" s="54">
        <v>45484</v>
      </c>
      <c r="B1416" s="25">
        <v>7</v>
      </c>
      <c r="C1416" s="25">
        <v>2024</v>
      </c>
      <c r="D1416" s="104" t="s">
        <v>352</v>
      </c>
      <c r="E1416" s="104" t="s">
        <v>343</v>
      </c>
      <c r="F1416" s="104" t="s">
        <v>995</v>
      </c>
      <c r="J1416" s="61">
        <v>40500</v>
      </c>
      <c r="L1416" s="49">
        <f t="shared" si="88"/>
        <v>70500</v>
      </c>
    </row>
    <row r="1417" spans="1:12" x14ac:dyDescent="0.25">
      <c r="A1417" s="80">
        <v>45484</v>
      </c>
      <c r="B1417" s="155">
        <v>7</v>
      </c>
      <c r="C1417" s="155">
        <v>2024</v>
      </c>
      <c r="D1417" s="107" t="s">
        <v>122</v>
      </c>
      <c r="E1417" s="107" t="s">
        <v>343</v>
      </c>
      <c r="F1417" s="107"/>
      <c r="G1417" s="107"/>
      <c r="H1417" s="81"/>
      <c r="I1417" s="81"/>
      <c r="J1417" s="52"/>
      <c r="K1417" s="52">
        <v>40500</v>
      </c>
      <c r="L1417" s="49">
        <f t="shared" si="88"/>
        <v>30000</v>
      </c>
    </row>
    <row r="1418" spans="1:12" x14ac:dyDescent="0.25">
      <c r="A1418" s="54">
        <v>45485</v>
      </c>
      <c r="B1418" s="25">
        <v>7</v>
      </c>
      <c r="C1418" s="25">
        <v>2024</v>
      </c>
      <c r="D1418" s="104" t="s">
        <v>352</v>
      </c>
      <c r="E1418" s="104" t="s">
        <v>343</v>
      </c>
      <c r="F1418" s="104" t="s">
        <v>1001</v>
      </c>
      <c r="J1418" s="61">
        <v>103000</v>
      </c>
      <c r="L1418" s="49">
        <f t="shared" si="88"/>
        <v>133000</v>
      </c>
    </row>
    <row r="1419" spans="1:12" x14ac:dyDescent="0.25">
      <c r="A1419" s="54">
        <v>45485</v>
      </c>
      <c r="B1419" s="25">
        <v>7</v>
      </c>
      <c r="C1419" s="25">
        <v>2024</v>
      </c>
      <c r="D1419" s="104" t="s">
        <v>384</v>
      </c>
      <c r="E1419" s="104" t="s">
        <v>343</v>
      </c>
      <c r="J1419" s="61">
        <v>150000</v>
      </c>
      <c r="L1419" s="49">
        <f t="shared" si="88"/>
        <v>283000</v>
      </c>
    </row>
    <row r="1420" spans="1:12" x14ac:dyDescent="0.25">
      <c r="A1420" s="54">
        <v>45485</v>
      </c>
      <c r="B1420" s="25">
        <v>7</v>
      </c>
      <c r="C1420" s="25">
        <v>2024</v>
      </c>
      <c r="D1420" s="104" t="s">
        <v>501</v>
      </c>
      <c r="E1420" s="104" t="s">
        <v>343</v>
      </c>
      <c r="F1420" s="104" t="s">
        <v>655</v>
      </c>
      <c r="K1420" s="61">
        <v>150000</v>
      </c>
      <c r="L1420" s="49">
        <f t="shared" si="88"/>
        <v>133000</v>
      </c>
    </row>
    <row r="1421" spans="1:12" x14ac:dyDescent="0.25">
      <c r="A1421" s="80">
        <v>45485</v>
      </c>
      <c r="B1421" s="155">
        <v>7</v>
      </c>
      <c r="C1421" s="155">
        <v>2024</v>
      </c>
      <c r="D1421" s="107" t="s">
        <v>122</v>
      </c>
      <c r="E1421" s="107" t="s">
        <v>93</v>
      </c>
      <c r="F1421" s="107"/>
      <c r="G1421" s="107"/>
      <c r="H1421" s="81"/>
      <c r="I1421" s="81"/>
      <c r="J1421" s="52"/>
      <c r="K1421" s="52">
        <v>103000</v>
      </c>
      <c r="L1421" s="49">
        <f t="shared" si="88"/>
        <v>30000</v>
      </c>
    </row>
    <row r="1422" spans="1:12" x14ac:dyDescent="0.25">
      <c r="A1422" s="54">
        <v>45488</v>
      </c>
      <c r="B1422" s="25">
        <v>7</v>
      </c>
      <c r="C1422" s="25">
        <v>2024</v>
      </c>
      <c r="D1422" s="104" t="s">
        <v>384</v>
      </c>
      <c r="E1422" s="104" t="s">
        <v>93</v>
      </c>
      <c r="J1422" s="61">
        <v>32640</v>
      </c>
      <c r="L1422" s="49">
        <f t="shared" si="88"/>
        <v>62640</v>
      </c>
    </row>
    <row r="1423" spans="1:12" x14ac:dyDescent="0.25">
      <c r="A1423" s="54">
        <v>45488</v>
      </c>
      <c r="B1423" s="25">
        <v>7</v>
      </c>
      <c r="C1423" s="25">
        <v>2024</v>
      </c>
      <c r="D1423" s="104" t="s">
        <v>124</v>
      </c>
      <c r="E1423" s="104" t="s">
        <v>93</v>
      </c>
      <c r="G1423" s="104" t="s">
        <v>321</v>
      </c>
      <c r="K1423" s="61">
        <v>32640</v>
      </c>
      <c r="L1423" s="49">
        <f t="shared" si="88"/>
        <v>30000</v>
      </c>
    </row>
    <row r="1424" spans="1:12" x14ac:dyDescent="0.25">
      <c r="A1424" s="54">
        <v>45488</v>
      </c>
      <c r="B1424" s="25">
        <v>7</v>
      </c>
      <c r="C1424" s="25">
        <v>2024</v>
      </c>
      <c r="D1424" s="104" t="s">
        <v>89</v>
      </c>
      <c r="E1424" s="104" t="s">
        <v>93</v>
      </c>
      <c r="F1424" s="104" t="s">
        <v>456</v>
      </c>
      <c r="J1424" s="61">
        <v>12000</v>
      </c>
      <c r="L1424" s="49">
        <f t="shared" si="88"/>
        <v>42000</v>
      </c>
    </row>
    <row r="1425" spans="1:12" x14ac:dyDescent="0.25">
      <c r="A1425" s="54">
        <v>45488</v>
      </c>
      <c r="B1425" s="25">
        <v>7</v>
      </c>
      <c r="C1425" s="25">
        <v>2024</v>
      </c>
      <c r="D1425" s="104" t="s">
        <v>352</v>
      </c>
      <c r="E1425" s="104" t="s">
        <v>93</v>
      </c>
      <c r="F1425" s="104" t="s">
        <v>1003</v>
      </c>
      <c r="J1425" s="61">
        <v>23500</v>
      </c>
      <c r="L1425" s="49">
        <f t="shared" si="88"/>
        <v>65500</v>
      </c>
    </row>
    <row r="1426" spans="1:12" x14ac:dyDescent="0.25">
      <c r="A1426" s="80">
        <v>45488</v>
      </c>
      <c r="B1426" s="155">
        <v>7</v>
      </c>
      <c r="C1426" s="155">
        <v>2024</v>
      </c>
      <c r="D1426" s="107" t="s">
        <v>122</v>
      </c>
      <c r="E1426" s="107" t="s">
        <v>93</v>
      </c>
      <c r="F1426" s="107"/>
      <c r="G1426" s="107"/>
      <c r="H1426" s="81"/>
      <c r="I1426" s="81"/>
      <c r="J1426" s="52"/>
      <c r="K1426" s="52">
        <v>35500</v>
      </c>
      <c r="L1426" s="49">
        <f t="shared" si="88"/>
        <v>30000</v>
      </c>
    </row>
    <row r="1427" spans="1:12" x14ac:dyDescent="0.25">
      <c r="A1427" s="54">
        <v>45489</v>
      </c>
      <c r="B1427" s="25">
        <v>7</v>
      </c>
      <c r="C1427" s="25">
        <v>2024</v>
      </c>
      <c r="D1427" s="104" t="s">
        <v>109</v>
      </c>
      <c r="E1427" s="104" t="s">
        <v>93</v>
      </c>
      <c r="F1427" s="104" t="s">
        <v>354</v>
      </c>
      <c r="K1427" s="61">
        <v>2000</v>
      </c>
      <c r="L1427" s="49">
        <f t="shared" si="88"/>
        <v>28000</v>
      </c>
    </row>
    <row r="1428" spans="1:12" x14ac:dyDescent="0.25">
      <c r="A1428" s="54">
        <v>45489</v>
      </c>
      <c r="B1428" s="25">
        <v>7</v>
      </c>
      <c r="C1428" s="25">
        <v>2024</v>
      </c>
      <c r="D1428" s="104" t="s">
        <v>352</v>
      </c>
      <c r="E1428" s="104" t="s">
        <v>93</v>
      </c>
      <c r="F1428" s="104" t="s">
        <v>988</v>
      </c>
      <c r="J1428" s="61">
        <v>100000</v>
      </c>
      <c r="L1428" s="49">
        <f t="shared" si="88"/>
        <v>128000</v>
      </c>
    </row>
    <row r="1429" spans="1:12" x14ac:dyDescent="0.25">
      <c r="A1429" s="80">
        <v>45489</v>
      </c>
      <c r="B1429" s="155">
        <v>7</v>
      </c>
      <c r="C1429" s="155">
        <v>2024</v>
      </c>
      <c r="D1429" s="107" t="s">
        <v>122</v>
      </c>
      <c r="E1429" s="107" t="s">
        <v>93</v>
      </c>
      <c r="F1429" s="107"/>
      <c r="G1429" s="107"/>
      <c r="H1429" s="81"/>
      <c r="I1429" s="81"/>
      <c r="J1429" s="52"/>
      <c r="K1429" s="52">
        <v>98000</v>
      </c>
      <c r="L1429" s="49">
        <f t="shared" si="88"/>
        <v>30000</v>
      </c>
    </row>
    <row r="1430" spans="1:12" x14ac:dyDescent="0.25">
      <c r="A1430" s="54">
        <v>45490</v>
      </c>
      <c r="B1430" s="25">
        <v>7</v>
      </c>
      <c r="C1430" s="25">
        <v>2024</v>
      </c>
      <c r="D1430" s="104" t="s">
        <v>360</v>
      </c>
      <c r="E1430" s="104" t="s">
        <v>93</v>
      </c>
      <c r="F1430" s="104" t="s">
        <v>1004</v>
      </c>
      <c r="K1430" s="61">
        <v>18100</v>
      </c>
      <c r="L1430" s="49">
        <f t="shared" si="88"/>
        <v>11900</v>
      </c>
    </row>
    <row r="1431" spans="1:12" x14ac:dyDescent="0.25">
      <c r="A1431" s="54">
        <v>45490</v>
      </c>
      <c r="B1431" s="25">
        <v>7</v>
      </c>
      <c r="C1431" s="25">
        <v>2024</v>
      </c>
      <c r="D1431" s="104" t="s">
        <v>352</v>
      </c>
      <c r="E1431" s="104" t="s">
        <v>93</v>
      </c>
      <c r="F1431" s="104" t="s">
        <v>150</v>
      </c>
      <c r="J1431" s="61">
        <v>15000</v>
      </c>
      <c r="L1431" s="49">
        <f t="shared" si="88"/>
        <v>26900</v>
      </c>
    </row>
    <row r="1432" spans="1:12" x14ac:dyDescent="0.25">
      <c r="A1432" s="134">
        <v>45490</v>
      </c>
      <c r="B1432" s="158">
        <v>7</v>
      </c>
      <c r="C1432" s="158">
        <v>2024</v>
      </c>
      <c r="D1432" s="135" t="s">
        <v>384</v>
      </c>
      <c r="E1432" s="135" t="s">
        <v>93</v>
      </c>
      <c r="F1432" s="135"/>
      <c r="G1432" s="135"/>
      <c r="H1432" s="136"/>
      <c r="I1432" s="136"/>
      <c r="J1432" s="137">
        <v>3100</v>
      </c>
      <c r="L1432" s="49">
        <f t="shared" si="88"/>
        <v>30000</v>
      </c>
    </row>
    <row r="1433" spans="1:12" x14ac:dyDescent="0.25">
      <c r="A1433" s="54">
        <v>45491</v>
      </c>
      <c r="B1433" s="25">
        <v>7</v>
      </c>
      <c r="C1433" s="25">
        <v>2024</v>
      </c>
      <c r="D1433" s="104" t="s">
        <v>109</v>
      </c>
      <c r="E1433" s="104" t="s">
        <v>93</v>
      </c>
      <c r="K1433" s="61">
        <v>3000</v>
      </c>
      <c r="L1433" s="49">
        <f t="shared" si="88"/>
        <v>27000</v>
      </c>
    </row>
    <row r="1434" spans="1:12" x14ac:dyDescent="0.25">
      <c r="A1434" s="54">
        <v>45491</v>
      </c>
      <c r="B1434" s="25">
        <v>7</v>
      </c>
      <c r="C1434" s="25">
        <v>2024</v>
      </c>
      <c r="D1434" s="104" t="s">
        <v>352</v>
      </c>
      <c r="E1434" s="104" t="s">
        <v>93</v>
      </c>
      <c r="F1434" s="104" t="s">
        <v>960</v>
      </c>
      <c r="J1434" s="61">
        <v>121900</v>
      </c>
      <c r="L1434" s="49">
        <f t="shared" si="88"/>
        <v>148900</v>
      </c>
    </row>
    <row r="1435" spans="1:12" x14ac:dyDescent="0.25">
      <c r="A1435" s="54">
        <v>45491</v>
      </c>
      <c r="B1435" s="25">
        <v>7</v>
      </c>
      <c r="C1435" s="25">
        <v>2024</v>
      </c>
      <c r="D1435" s="104" t="s">
        <v>109</v>
      </c>
      <c r="E1435" s="104" t="s">
        <v>93</v>
      </c>
      <c r="K1435" s="61">
        <v>6600</v>
      </c>
      <c r="L1435" s="49">
        <f t="shared" si="88"/>
        <v>142300</v>
      </c>
    </row>
    <row r="1436" spans="1:12" x14ac:dyDescent="0.25">
      <c r="A1436" s="54">
        <v>45491</v>
      </c>
      <c r="B1436" s="25">
        <v>7</v>
      </c>
      <c r="C1436" s="25">
        <v>2024</v>
      </c>
      <c r="D1436" s="104" t="s">
        <v>352</v>
      </c>
      <c r="E1436" s="104" t="s">
        <v>93</v>
      </c>
      <c r="F1436" s="104" t="s">
        <v>456</v>
      </c>
      <c r="J1436" s="61">
        <v>12000</v>
      </c>
      <c r="L1436" s="49">
        <f t="shared" si="88"/>
        <v>154300</v>
      </c>
    </row>
    <row r="1437" spans="1:12" x14ac:dyDescent="0.25">
      <c r="A1437" s="80">
        <v>45491</v>
      </c>
      <c r="B1437" s="155">
        <v>7</v>
      </c>
      <c r="C1437" s="155">
        <v>2024</v>
      </c>
      <c r="D1437" s="107" t="s">
        <v>122</v>
      </c>
      <c r="E1437" s="107" t="s">
        <v>93</v>
      </c>
      <c r="F1437" s="107"/>
      <c r="G1437" s="107"/>
      <c r="H1437" s="81"/>
      <c r="I1437" s="81"/>
      <c r="J1437" s="52"/>
      <c r="K1437" s="52">
        <v>124300</v>
      </c>
      <c r="L1437" s="49">
        <f t="shared" si="88"/>
        <v>30000</v>
      </c>
    </row>
    <row r="1438" spans="1:12" x14ac:dyDescent="0.25">
      <c r="A1438" s="54">
        <v>45492</v>
      </c>
      <c r="B1438" s="25">
        <v>7</v>
      </c>
      <c r="C1438" s="25">
        <v>2024</v>
      </c>
      <c r="D1438" s="104" t="s">
        <v>352</v>
      </c>
      <c r="E1438" s="104" t="s">
        <v>93</v>
      </c>
      <c r="F1438" s="104" t="s">
        <v>1008</v>
      </c>
      <c r="J1438" s="61">
        <v>250000</v>
      </c>
      <c r="L1438" s="49">
        <f t="shared" si="88"/>
        <v>280000</v>
      </c>
    </row>
    <row r="1439" spans="1:12" x14ac:dyDescent="0.25">
      <c r="A1439" s="54">
        <v>45492</v>
      </c>
      <c r="B1439" s="25">
        <v>7</v>
      </c>
      <c r="C1439" s="25">
        <v>2024</v>
      </c>
      <c r="D1439" s="104" t="s">
        <v>352</v>
      </c>
      <c r="E1439" s="104" t="s">
        <v>93</v>
      </c>
      <c r="F1439" s="104" t="s">
        <v>997</v>
      </c>
      <c r="J1439" s="61">
        <v>100000</v>
      </c>
      <c r="L1439" s="49">
        <f t="shared" si="88"/>
        <v>380000</v>
      </c>
    </row>
    <row r="1440" spans="1:12" x14ac:dyDescent="0.25">
      <c r="A1440" s="80">
        <v>45492</v>
      </c>
      <c r="B1440" s="155">
        <v>7</v>
      </c>
      <c r="C1440" s="155">
        <v>2024</v>
      </c>
      <c r="D1440" s="107" t="s">
        <v>122</v>
      </c>
      <c r="E1440" s="107" t="s">
        <v>93</v>
      </c>
      <c r="F1440" s="107"/>
      <c r="G1440" s="107"/>
      <c r="H1440" s="81"/>
      <c r="I1440" s="81"/>
      <c r="J1440" s="52"/>
      <c r="K1440" s="52">
        <v>350000</v>
      </c>
      <c r="L1440" s="49">
        <f t="shared" si="88"/>
        <v>30000</v>
      </c>
    </row>
    <row r="1441" spans="1:12" x14ac:dyDescent="0.25">
      <c r="A1441" s="54">
        <v>45495</v>
      </c>
      <c r="B1441" s="25">
        <v>7</v>
      </c>
      <c r="C1441" s="25">
        <v>2024</v>
      </c>
      <c r="D1441" s="104" t="s">
        <v>352</v>
      </c>
      <c r="E1441" s="104" t="s">
        <v>93</v>
      </c>
      <c r="F1441" s="104" t="s">
        <v>377</v>
      </c>
      <c r="J1441" s="61">
        <v>500000</v>
      </c>
      <c r="L1441" s="49">
        <f t="shared" si="88"/>
        <v>530000</v>
      </c>
    </row>
    <row r="1442" spans="1:12" x14ac:dyDescent="0.25">
      <c r="A1442" s="54">
        <v>45495</v>
      </c>
      <c r="B1442" s="25">
        <v>7</v>
      </c>
      <c r="C1442" s="25">
        <v>2024</v>
      </c>
      <c r="D1442" s="104" t="s">
        <v>352</v>
      </c>
      <c r="E1442" s="104" t="s">
        <v>93</v>
      </c>
      <c r="F1442" s="104" t="s">
        <v>608</v>
      </c>
      <c r="J1442" s="61">
        <v>191000</v>
      </c>
      <c r="L1442" s="49">
        <f t="shared" si="88"/>
        <v>721000</v>
      </c>
    </row>
    <row r="1443" spans="1:12" x14ac:dyDescent="0.25">
      <c r="A1443" s="54">
        <v>45495</v>
      </c>
      <c r="B1443" s="25">
        <v>7</v>
      </c>
      <c r="C1443" s="25">
        <v>2024</v>
      </c>
      <c r="D1443" s="104" t="s">
        <v>352</v>
      </c>
      <c r="E1443" s="104" t="s">
        <v>93</v>
      </c>
      <c r="F1443" s="104" t="s">
        <v>1009</v>
      </c>
      <c r="J1443" s="61">
        <v>135000</v>
      </c>
      <c r="L1443" s="49">
        <f t="shared" si="88"/>
        <v>856000</v>
      </c>
    </row>
    <row r="1444" spans="1:12" x14ac:dyDescent="0.25">
      <c r="A1444" s="54">
        <v>45495</v>
      </c>
      <c r="B1444" s="25">
        <v>7</v>
      </c>
      <c r="C1444" s="25">
        <v>2024</v>
      </c>
      <c r="D1444" s="104" t="s">
        <v>352</v>
      </c>
      <c r="E1444" s="104" t="s">
        <v>93</v>
      </c>
      <c r="F1444" s="104" t="s">
        <v>204</v>
      </c>
      <c r="J1444" s="61">
        <v>300000</v>
      </c>
      <c r="L1444" s="49">
        <f t="shared" si="88"/>
        <v>1156000</v>
      </c>
    </row>
    <row r="1445" spans="1:12" x14ac:dyDescent="0.25">
      <c r="A1445" s="54">
        <v>45495</v>
      </c>
      <c r="B1445" s="25">
        <v>7</v>
      </c>
      <c r="C1445" s="25">
        <v>2024</v>
      </c>
      <c r="D1445" s="104" t="s">
        <v>352</v>
      </c>
      <c r="E1445" s="104" t="s">
        <v>93</v>
      </c>
      <c r="F1445" s="104" t="s">
        <v>1010</v>
      </c>
      <c r="J1445" s="61">
        <v>432000</v>
      </c>
      <c r="L1445" s="49">
        <f t="shared" si="88"/>
        <v>1588000</v>
      </c>
    </row>
    <row r="1446" spans="1:12" x14ac:dyDescent="0.25">
      <c r="A1446" s="80">
        <v>45495</v>
      </c>
      <c r="B1446" s="155">
        <v>7</v>
      </c>
      <c r="C1446" s="155">
        <v>2024</v>
      </c>
      <c r="D1446" s="107" t="s">
        <v>122</v>
      </c>
      <c r="E1446" s="107" t="s">
        <v>93</v>
      </c>
      <c r="F1446" s="107"/>
      <c r="G1446" s="107"/>
      <c r="H1446" s="81"/>
      <c r="I1446" s="81"/>
      <c r="J1446" s="52"/>
      <c r="K1446" s="52">
        <v>1558000</v>
      </c>
      <c r="L1446" s="49">
        <f t="shared" si="88"/>
        <v>30000</v>
      </c>
    </row>
    <row r="1447" spans="1:12" x14ac:dyDescent="0.25">
      <c r="A1447" s="54">
        <v>45496</v>
      </c>
      <c r="B1447" s="25">
        <v>7</v>
      </c>
      <c r="C1447" s="25">
        <v>2024</v>
      </c>
      <c r="D1447" s="104" t="s">
        <v>384</v>
      </c>
      <c r="E1447" s="104" t="s">
        <v>93</v>
      </c>
      <c r="J1447" s="61">
        <v>94000</v>
      </c>
      <c r="L1447" s="49">
        <f t="shared" si="88"/>
        <v>124000</v>
      </c>
    </row>
    <row r="1448" spans="1:12" x14ac:dyDescent="0.25">
      <c r="A1448" s="54">
        <v>45496</v>
      </c>
      <c r="B1448" s="25">
        <v>7</v>
      </c>
      <c r="C1448" s="25">
        <v>2024</v>
      </c>
      <c r="D1448" s="104" t="s">
        <v>124</v>
      </c>
      <c r="E1448" s="104" t="s">
        <v>93</v>
      </c>
      <c r="F1448" s="104" t="s">
        <v>1011</v>
      </c>
      <c r="K1448" s="61">
        <v>94000</v>
      </c>
      <c r="L1448" s="49">
        <f t="shared" si="88"/>
        <v>30000</v>
      </c>
    </row>
    <row r="1449" spans="1:12" x14ac:dyDescent="0.25">
      <c r="A1449" s="54">
        <v>45496</v>
      </c>
      <c r="B1449" s="25">
        <v>7</v>
      </c>
      <c r="C1449" s="25">
        <v>2024</v>
      </c>
      <c r="D1449" s="104" t="s">
        <v>352</v>
      </c>
      <c r="E1449" s="104" t="s">
        <v>93</v>
      </c>
      <c r="F1449" s="104" t="s">
        <v>735</v>
      </c>
      <c r="J1449" s="61">
        <v>149500</v>
      </c>
      <c r="L1449" s="49">
        <f t="shared" si="88"/>
        <v>179500</v>
      </c>
    </row>
    <row r="1450" spans="1:12" x14ac:dyDescent="0.25">
      <c r="A1450" s="54">
        <v>45496</v>
      </c>
      <c r="B1450" s="25">
        <v>7</v>
      </c>
      <c r="C1450" s="25">
        <v>2024</v>
      </c>
      <c r="D1450" s="104" t="s">
        <v>352</v>
      </c>
      <c r="E1450" s="104" t="s">
        <v>93</v>
      </c>
      <c r="F1450" s="104" t="s">
        <v>1013</v>
      </c>
      <c r="J1450" s="61">
        <v>130000</v>
      </c>
      <c r="L1450" s="49">
        <f t="shared" si="88"/>
        <v>309500</v>
      </c>
    </row>
    <row r="1451" spans="1:12" x14ac:dyDescent="0.25">
      <c r="A1451" s="54">
        <v>45496</v>
      </c>
      <c r="B1451" s="25">
        <v>7</v>
      </c>
      <c r="C1451" s="25">
        <v>2024</v>
      </c>
      <c r="D1451" s="104" t="s">
        <v>92</v>
      </c>
      <c r="E1451" s="104" t="s">
        <v>92</v>
      </c>
      <c r="K1451" s="61">
        <v>5000</v>
      </c>
      <c r="L1451" s="49">
        <f t="shared" si="88"/>
        <v>304500</v>
      </c>
    </row>
    <row r="1452" spans="1:12" x14ac:dyDescent="0.25">
      <c r="A1452" s="80">
        <v>45496</v>
      </c>
      <c r="B1452" s="155">
        <v>7</v>
      </c>
      <c r="C1452" s="155">
        <v>2024</v>
      </c>
      <c r="D1452" s="107" t="s">
        <v>122</v>
      </c>
      <c r="E1452" s="107" t="s">
        <v>93</v>
      </c>
      <c r="F1452" s="107"/>
      <c r="G1452" s="107"/>
      <c r="H1452" s="81"/>
      <c r="I1452" s="81"/>
      <c r="J1452" s="52"/>
      <c r="K1452" s="52">
        <v>274500</v>
      </c>
      <c r="L1452" s="49">
        <f t="shared" si="88"/>
        <v>30000</v>
      </c>
    </row>
    <row r="1453" spans="1:12" x14ac:dyDescent="0.25">
      <c r="A1453" s="54">
        <v>45497</v>
      </c>
      <c r="B1453" s="25">
        <v>7</v>
      </c>
      <c r="C1453" s="25">
        <v>2024</v>
      </c>
      <c r="D1453" s="104" t="s">
        <v>360</v>
      </c>
      <c r="E1453" s="104" t="s">
        <v>93</v>
      </c>
      <c r="K1453" s="61">
        <v>18100</v>
      </c>
      <c r="L1453" s="49">
        <f t="shared" si="88"/>
        <v>11900</v>
      </c>
    </row>
    <row r="1454" spans="1:12" x14ac:dyDescent="0.25">
      <c r="A1454" s="54">
        <v>45497</v>
      </c>
      <c r="B1454" s="25">
        <v>7</v>
      </c>
      <c r="C1454" s="25">
        <v>2024</v>
      </c>
      <c r="D1454" s="104" t="s">
        <v>352</v>
      </c>
      <c r="E1454" s="104" t="s">
        <v>93</v>
      </c>
      <c r="F1454" s="104" t="s">
        <v>540</v>
      </c>
      <c r="J1454" s="61">
        <v>145000</v>
      </c>
      <c r="L1454" s="49">
        <f t="shared" si="88"/>
        <v>156900</v>
      </c>
    </row>
    <row r="1455" spans="1:12" x14ac:dyDescent="0.25">
      <c r="A1455" s="54">
        <v>45497</v>
      </c>
      <c r="B1455" s="25">
        <v>7</v>
      </c>
      <c r="C1455" s="25">
        <v>2024</v>
      </c>
      <c r="D1455" s="104" t="s">
        <v>352</v>
      </c>
      <c r="E1455" s="104" t="s">
        <v>93</v>
      </c>
      <c r="F1455" s="104" t="s">
        <v>1014</v>
      </c>
      <c r="J1455" s="61">
        <v>340000</v>
      </c>
      <c r="L1455" s="49">
        <f t="shared" si="88"/>
        <v>496900</v>
      </c>
    </row>
    <row r="1456" spans="1:12" x14ac:dyDescent="0.25">
      <c r="A1456" s="80">
        <v>45497</v>
      </c>
      <c r="B1456" s="155">
        <v>7</v>
      </c>
      <c r="C1456" s="155">
        <v>2024</v>
      </c>
      <c r="D1456" s="107" t="s">
        <v>122</v>
      </c>
      <c r="E1456" s="107" t="s">
        <v>93</v>
      </c>
      <c r="F1456" s="107"/>
      <c r="G1456" s="107"/>
      <c r="H1456" s="81"/>
      <c r="I1456" s="81"/>
      <c r="J1456" s="52"/>
      <c r="K1456" s="52">
        <v>466900</v>
      </c>
      <c r="L1456" s="49">
        <f t="shared" si="88"/>
        <v>30000</v>
      </c>
    </row>
    <row r="1457" spans="1:12" x14ac:dyDescent="0.25">
      <c r="A1457" s="54">
        <v>45498</v>
      </c>
      <c r="B1457" s="25">
        <v>7</v>
      </c>
      <c r="C1457" s="25">
        <v>2024</v>
      </c>
      <c r="D1457" s="104" t="s">
        <v>352</v>
      </c>
      <c r="E1457" s="104" t="s">
        <v>93</v>
      </c>
      <c r="F1457" s="104" t="s">
        <v>965</v>
      </c>
      <c r="J1457" s="61">
        <v>220000</v>
      </c>
      <c r="L1457" s="49">
        <f t="shared" si="88"/>
        <v>250000</v>
      </c>
    </row>
    <row r="1458" spans="1:12" x14ac:dyDescent="0.25">
      <c r="A1458" s="54">
        <v>45498</v>
      </c>
      <c r="B1458" s="25">
        <v>7</v>
      </c>
      <c r="C1458" s="25">
        <v>2024</v>
      </c>
      <c r="D1458" s="104" t="s">
        <v>109</v>
      </c>
      <c r="E1458" s="104" t="s">
        <v>93</v>
      </c>
      <c r="F1458" s="104" t="s">
        <v>354</v>
      </c>
      <c r="K1458" s="61">
        <v>6000</v>
      </c>
      <c r="L1458" s="49">
        <f t="shared" si="88"/>
        <v>244000</v>
      </c>
    </row>
    <row r="1459" spans="1:12" x14ac:dyDescent="0.25">
      <c r="A1459" s="80">
        <v>45498</v>
      </c>
      <c r="B1459" s="155">
        <v>7</v>
      </c>
      <c r="C1459" s="155">
        <v>2024</v>
      </c>
      <c r="D1459" s="107" t="s">
        <v>122</v>
      </c>
      <c r="E1459" s="107" t="s">
        <v>93</v>
      </c>
      <c r="F1459" s="107"/>
      <c r="G1459" s="107"/>
      <c r="H1459" s="81"/>
      <c r="I1459" s="81"/>
      <c r="J1459" s="52"/>
      <c r="K1459" s="52">
        <v>214000</v>
      </c>
      <c r="L1459" s="49">
        <f t="shared" si="88"/>
        <v>30000</v>
      </c>
    </row>
    <row r="1460" spans="1:12" x14ac:dyDescent="0.25">
      <c r="A1460" s="54">
        <v>45499</v>
      </c>
      <c r="B1460" s="25">
        <v>7</v>
      </c>
      <c r="C1460" s="25">
        <v>2024</v>
      </c>
      <c r="D1460" s="104" t="s">
        <v>352</v>
      </c>
      <c r="E1460" s="104" t="s">
        <v>93</v>
      </c>
      <c r="F1460" s="104" t="s">
        <v>1018</v>
      </c>
      <c r="J1460" s="61">
        <v>500000</v>
      </c>
      <c r="L1460" s="49">
        <f t="shared" si="88"/>
        <v>530000</v>
      </c>
    </row>
    <row r="1461" spans="1:12" x14ac:dyDescent="0.25">
      <c r="A1461" s="54">
        <v>45499</v>
      </c>
      <c r="B1461" s="25">
        <v>7</v>
      </c>
      <c r="C1461" s="25">
        <v>2024</v>
      </c>
      <c r="D1461" s="104" t="s">
        <v>352</v>
      </c>
      <c r="E1461" s="104" t="s">
        <v>93</v>
      </c>
      <c r="F1461" s="104" t="s">
        <v>1019</v>
      </c>
      <c r="J1461" s="61">
        <v>300000</v>
      </c>
      <c r="L1461" s="49">
        <f t="shared" si="88"/>
        <v>830000</v>
      </c>
    </row>
    <row r="1462" spans="1:12" x14ac:dyDescent="0.25">
      <c r="A1462" s="54">
        <v>45499</v>
      </c>
      <c r="B1462" s="25">
        <v>7</v>
      </c>
      <c r="C1462" s="25">
        <v>2024</v>
      </c>
      <c r="D1462" s="104" t="s">
        <v>352</v>
      </c>
      <c r="E1462" s="104" t="s">
        <v>93</v>
      </c>
      <c r="F1462" s="104" t="s">
        <v>857</v>
      </c>
      <c r="J1462" s="61">
        <v>280000</v>
      </c>
      <c r="L1462" s="49">
        <f t="shared" si="88"/>
        <v>1110000</v>
      </c>
    </row>
    <row r="1463" spans="1:12" x14ac:dyDescent="0.25">
      <c r="A1463" s="80">
        <v>45499</v>
      </c>
      <c r="B1463" s="155">
        <v>7</v>
      </c>
      <c r="C1463" s="155">
        <v>2024</v>
      </c>
      <c r="D1463" s="107" t="s">
        <v>122</v>
      </c>
      <c r="E1463" s="107" t="s">
        <v>93</v>
      </c>
      <c r="F1463" s="107"/>
      <c r="G1463" s="107"/>
      <c r="H1463" s="81"/>
      <c r="I1463" s="81"/>
      <c r="J1463" s="52"/>
      <c r="K1463" s="52">
        <v>1080000</v>
      </c>
      <c r="L1463" s="49">
        <f t="shared" si="88"/>
        <v>30000</v>
      </c>
    </row>
    <row r="1464" spans="1:12" x14ac:dyDescent="0.25">
      <c r="A1464" s="54">
        <v>45500</v>
      </c>
      <c r="B1464" s="25">
        <v>7</v>
      </c>
      <c r="C1464" s="25">
        <v>2024</v>
      </c>
      <c r="D1464" s="104" t="s">
        <v>384</v>
      </c>
      <c r="E1464" s="104" t="s">
        <v>93</v>
      </c>
      <c r="J1464" s="61">
        <v>305000</v>
      </c>
      <c r="L1464" s="49">
        <f t="shared" si="88"/>
        <v>335000</v>
      </c>
    </row>
    <row r="1465" spans="1:12" x14ac:dyDescent="0.25">
      <c r="A1465" s="54">
        <v>45500</v>
      </c>
      <c r="B1465" s="25">
        <v>7</v>
      </c>
      <c r="C1465" s="25">
        <v>2024</v>
      </c>
      <c r="D1465" s="104" t="s">
        <v>501</v>
      </c>
      <c r="E1465" s="104" t="s">
        <v>93</v>
      </c>
      <c r="F1465" s="104" t="s">
        <v>655</v>
      </c>
      <c r="K1465" s="61">
        <v>180000</v>
      </c>
      <c r="L1465" s="49">
        <f t="shared" si="88"/>
        <v>155000</v>
      </c>
    </row>
    <row r="1466" spans="1:12" x14ac:dyDescent="0.25">
      <c r="A1466" s="54">
        <v>45500</v>
      </c>
      <c r="B1466" s="25">
        <v>7</v>
      </c>
      <c r="C1466" s="25">
        <v>2024</v>
      </c>
      <c r="D1466" s="104" t="s">
        <v>500</v>
      </c>
      <c r="E1466" s="104" t="s">
        <v>93</v>
      </c>
      <c r="K1466" s="61">
        <v>125000</v>
      </c>
      <c r="L1466" s="49">
        <f t="shared" si="88"/>
        <v>30000</v>
      </c>
    </row>
    <row r="1467" spans="1:12" x14ac:dyDescent="0.25">
      <c r="A1467" s="54">
        <v>45502</v>
      </c>
      <c r="B1467" s="25">
        <v>7</v>
      </c>
      <c r="C1467" s="25">
        <v>2024</v>
      </c>
      <c r="D1467" s="104" t="s">
        <v>352</v>
      </c>
      <c r="E1467" s="104" t="s">
        <v>343</v>
      </c>
      <c r="F1467" s="104" t="s">
        <v>981</v>
      </c>
      <c r="J1467" s="61">
        <v>100000</v>
      </c>
      <c r="L1467" s="49">
        <f t="shared" si="88"/>
        <v>130000</v>
      </c>
    </row>
    <row r="1468" spans="1:12" x14ac:dyDescent="0.25">
      <c r="A1468" s="54">
        <v>45502</v>
      </c>
      <c r="B1468" s="25">
        <v>7</v>
      </c>
      <c r="C1468" s="25">
        <v>2024</v>
      </c>
      <c r="D1468" s="104" t="s">
        <v>352</v>
      </c>
      <c r="E1468" s="104" t="s">
        <v>343</v>
      </c>
      <c r="F1468" s="104" t="s">
        <v>1020</v>
      </c>
      <c r="J1468" s="61">
        <v>50000</v>
      </c>
      <c r="L1468" s="49">
        <f t="shared" si="88"/>
        <v>180000</v>
      </c>
    </row>
    <row r="1469" spans="1:12" x14ac:dyDescent="0.25">
      <c r="A1469" s="54">
        <v>45502</v>
      </c>
      <c r="B1469" s="25">
        <v>7</v>
      </c>
      <c r="C1469" s="25">
        <v>2024</v>
      </c>
      <c r="D1469" s="104" t="s">
        <v>109</v>
      </c>
      <c r="E1469" s="104" t="s">
        <v>343</v>
      </c>
      <c r="K1469" s="61">
        <v>8100</v>
      </c>
      <c r="L1469" s="49">
        <f t="shared" si="88"/>
        <v>171900</v>
      </c>
    </row>
    <row r="1470" spans="1:12" x14ac:dyDescent="0.25">
      <c r="A1470" s="54">
        <v>45502</v>
      </c>
      <c r="B1470" s="25">
        <v>7</v>
      </c>
      <c r="C1470" s="25">
        <v>2024</v>
      </c>
      <c r="D1470" s="104" t="s">
        <v>28</v>
      </c>
      <c r="E1470" s="104" t="s">
        <v>343</v>
      </c>
      <c r="K1470" s="61">
        <v>12000</v>
      </c>
      <c r="L1470" s="49">
        <f t="shared" si="88"/>
        <v>159900</v>
      </c>
    </row>
    <row r="1471" spans="1:12" x14ac:dyDescent="0.25">
      <c r="A1471" s="54">
        <v>45502</v>
      </c>
      <c r="B1471" s="25">
        <v>7</v>
      </c>
      <c r="C1471" s="25">
        <v>2024</v>
      </c>
      <c r="D1471" s="104" t="s">
        <v>352</v>
      </c>
      <c r="E1471" s="104" t="s">
        <v>93</v>
      </c>
      <c r="F1471" s="104" t="s">
        <v>1021</v>
      </c>
      <c r="J1471" s="61">
        <v>69400</v>
      </c>
      <c r="L1471" s="49">
        <f t="shared" si="88"/>
        <v>229300</v>
      </c>
    </row>
    <row r="1472" spans="1:12" x14ac:dyDescent="0.25">
      <c r="A1472" s="80">
        <v>45502</v>
      </c>
      <c r="B1472" s="155">
        <v>7</v>
      </c>
      <c r="C1472" s="155">
        <v>2024</v>
      </c>
      <c r="D1472" s="107" t="s">
        <v>122</v>
      </c>
      <c r="E1472" s="107" t="s">
        <v>93</v>
      </c>
      <c r="F1472" s="107"/>
      <c r="G1472" s="107"/>
      <c r="H1472" s="81"/>
      <c r="I1472" s="81"/>
      <c r="J1472" s="52"/>
      <c r="K1472" s="52">
        <v>199300</v>
      </c>
      <c r="L1472" s="49">
        <f t="shared" si="88"/>
        <v>30000</v>
      </c>
    </row>
    <row r="1473" spans="1:12" x14ac:dyDescent="0.25">
      <c r="A1473" s="54">
        <v>45504</v>
      </c>
      <c r="B1473" s="25">
        <v>7</v>
      </c>
      <c r="C1473" s="25">
        <v>2024</v>
      </c>
      <c r="D1473" s="104" t="s">
        <v>352</v>
      </c>
      <c r="E1473" s="104" t="s">
        <v>93</v>
      </c>
      <c r="F1473" s="104" t="s">
        <v>456</v>
      </c>
      <c r="J1473" s="61">
        <v>12000</v>
      </c>
      <c r="L1473" s="49">
        <f t="shared" si="88"/>
        <v>42000</v>
      </c>
    </row>
    <row r="1474" spans="1:12" x14ac:dyDescent="0.25">
      <c r="A1474" s="80">
        <v>45504</v>
      </c>
      <c r="B1474" s="155">
        <v>7</v>
      </c>
      <c r="C1474" s="155">
        <v>2024</v>
      </c>
      <c r="D1474" s="107" t="s">
        <v>122</v>
      </c>
      <c r="E1474" s="107" t="s">
        <v>93</v>
      </c>
      <c r="F1474" s="107"/>
      <c r="G1474" s="107"/>
      <c r="H1474" s="81"/>
      <c r="I1474" s="81"/>
      <c r="J1474" s="52"/>
      <c r="K1474" s="52">
        <v>12000</v>
      </c>
      <c r="L1474" s="49">
        <f t="shared" si="88"/>
        <v>30000</v>
      </c>
    </row>
    <row r="1475" spans="1:12" x14ac:dyDescent="0.25">
      <c r="A1475" s="54">
        <v>45505</v>
      </c>
      <c r="B1475" s="25">
        <f t="shared" ref="B1475:B1538" si="89">MONTH(A1475)</f>
        <v>8</v>
      </c>
      <c r="C1475" s="25">
        <v>2024</v>
      </c>
      <c r="D1475" s="104" t="s">
        <v>384</v>
      </c>
      <c r="E1475" s="104" t="s">
        <v>93</v>
      </c>
      <c r="J1475" s="61">
        <v>250000</v>
      </c>
      <c r="L1475" s="49">
        <f t="shared" si="88"/>
        <v>280000</v>
      </c>
    </row>
    <row r="1476" spans="1:12" x14ac:dyDescent="0.25">
      <c r="A1476" s="54">
        <v>45505</v>
      </c>
      <c r="B1476" s="25">
        <f t="shared" si="89"/>
        <v>8</v>
      </c>
      <c r="C1476" s="25">
        <v>2024</v>
      </c>
      <c r="D1476" s="104" t="s">
        <v>124</v>
      </c>
      <c r="E1476" s="104" t="s">
        <v>93</v>
      </c>
      <c r="G1476" s="104" t="s">
        <v>852</v>
      </c>
      <c r="K1476" s="61">
        <v>250000</v>
      </c>
      <c r="L1476" s="49">
        <f t="shared" ref="L1476:L1539" si="90">IF((L1475+M1475+J1476-K1476)&gt;0,(L1475+M1475+J1476-K1476),0)</f>
        <v>30000</v>
      </c>
    </row>
    <row r="1477" spans="1:12" x14ac:dyDescent="0.25">
      <c r="A1477" s="54">
        <v>45505</v>
      </c>
      <c r="B1477" s="25">
        <f t="shared" si="89"/>
        <v>8</v>
      </c>
      <c r="C1477" s="25">
        <v>2024</v>
      </c>
      <c r="D1477" s="104" t="s">
        <v>384</v>
      </c>
      <c r="E1477" s="104" t="s">
        <v>93</v>
      </c>
      <c r="J1477" s="61">
        <v>240700</v>
      </c>
      <c r="L1477" s="49">
        <f t="shared" si="90"/>
        <v>270700</v>
      </c>
    </row>
    <row r="1478" spans="1:12" x14ac:dyDescent="0.25">
      <c r="A1478" s="54">
        <v>45505</v>
      </c>
      <c r="B1478" s="25">
        <f t="shared" si="89"/>
        <v>8</v>
      </c>
      <c r="C1478" s="25">
        <v>2024</v>
      </c>
      <c r="D1478" s="104" t="s">
        <v>124</v>
      </c>
      <c r="E1478" s="104" t="s">
        <v>93</v>
      </c>
      <c r="F1478" s="104" t="s">
        <v>1025</v>
      </c>
      <c r="K1478" s="61">
        <v>240700</v>
      </c>
      <c r="L1478" s="49">
        <f t="shared" si="90"/>
        <v>30000</v>
      </c>
    </row>
    <row r="1479" spans="1:12" x14ac:dyDescent="0.25">
      <c r="A1479" s="54">
        <v>45506</v>
      </c>
      <c r="B1479" s="25">
        <f t="shared" si="89"/>
        <v>8</v>
      </c>
      <c r="C1479" s="25">
        <v>2024</v>
      </c>
      <c r="D1479" s="104" t="s">
        <v>352</v>
      </c>
      <c r="E1479" s="104" t="s">
        <v>93</v>
      </c>
      <c r="F1479" s="104" t="s">
        <v>1032</v>
      </c>
      <c r="J1479" s="61">
        <v>201000</v>
      </c>
      <c r="L1479" s="49">
        <f t="shared" si="90"/>
        <v>231000</v>
      </c>
    </row>
    <row r="1480" spans="1:12" x14ac:dyDescent="0.25">
      <c r="A1480" s="54">
        <v>45506</v>
      </c>
      <c r="B1480" s="25">
        <f t="shared" si="89"/>
        <v>8</v>
      </c>
      <c r="C1480" s="25">
        <v>2024</v>
      </c>
      <c r="D1480" s="104" t="s">
        <v>352</v>
      </c>
      <c r="E1480" s="104" t="s">
        <v>93</v>
      </c>
      <c r="F1480" s="104" t="s">
        <v>1033</v>
      </c>
      <c r="J1480" s="61">
        <v>161000</v>
      </c>
      <c r="L1480" s="49">
        <f t="shared" si="90"/>
        <v>392000</v>
      </c>
    </row>
    <row r="1481" spans="1:12" x14ac:dyDescent="0.25">
      <c r="A1481" s="54">
        <v>45506</v>
      </c>
      <c r="B1481" s="25">
        <f t="shared" si="89"/>
        <v>8</v>
      </c>
      <c r="C1481" s="25">
        <v>2024</v>
      </c>
      <c r="D1481" s="104" t="s">
        <v>352</v>
      </c>
      <c r="E1481" s="104" t="s">
        <v>93</v>
      </c>
      <c r="F1481" s="104" t="s">
        <v>965</v>
      </c>
      <c r="J1481" s="61">
        <v>1170000</v>
      </c>
      <c r="L1481" s="49">
        <f t="shared" si="90"/>
        <v>1562000</v>
      </c>
    </row>
    <row r="1482" spans="1:12" x14ac:dyDescent="0.25">
      <c r="A1482" s="80">
        <v>45506</v>
      </c>
      <c r="B1482" s="155">
        <f t="shared" si="89"/>
        <v>8</v>
      </c>
      <c r="C1482" s="155">
        <v>2024</v>
      </c>
      <c r="D1482" s="107" t="s">
        <v>122</v>
      </c>
      <c r="E1482" s="107" t="s">
        <v>93</v>
      </c>
      <c r="F1482" s="107"/>
      <c r="G1482" s="107"/>
      <c r="H1482" s="81"/>
      <c r="I1482" s="81"/>
      <c r="J1482" s="52"/>
      <c r="K1482" s="52">
        <v>1532000</v>
      </c>
      <c r="L1482" s="49">
        <f t="shared" si="90"/>
        <v>30000</v>
      </c>
    </row>
    <row r="1483" spans="1:12" x14ac:dyDescent="0.25">
      <c r="A1483" s="54">
        <v>45507</v>
      </c>
      <c r="B1483" s="25">
        <f t="shared" si="89"/>
        <v>8</v>
      </c>
      <c r="C1483" s="25">
        <v>2024</v>
      </c>
      <c r="D1483" s="104" t="s">
        <v>384</v>
      </c>
      <c r="E1483" s="104" t="s">
        <v>93</v>
      </c>
      <c r="J1483" s="61">
        <v>450000</v>
      </c>
      <c r="L1483" s="49">
        <f t="shared" si="90"/>
        <v>480000</v>
      </c>
    </row>
    <row r="1484" spans="1:12" x14ac:dyDescent="0.25">
      <c r="A1484" s="54">
        <v>45507</v>
      </c>
      <c r="B1484" s="25">
        <f t="shared" si="89"/>
        <v>8</v>
      </c>
      <c r="C1484" s="25">
        <v>2024</v>
      </c>
      <c r="D1484" s="104" t="s">
        <v>501</v>
      </c>
      <c r="E1484" s="104" t="s">
        <v>93</v>
      </c>
      <c r="F1484" s="104" t="s">
        <v>655</v>
      </c>
      <c r="K1484" s="61">
        <v>200000</v>
      </c>
      <c r="L1484" s="49">
        <f t="shared" si="90"/>
        <v>280000</v>
      </c>
    </row>
    <row r="1485" spans="1:12" x14ac:dyDescent="0.25">
      <c r="A1485" s="54">
        <v>45507</v>
      </c>
      <c r="B1485" s="25">
        <f t="shared" si="89"/>
        <v>8</v>
      </c>
      <c r="C1485" s="25">
        <v>2024</v>
      </c>
      <c r="D1485" s="104" t="s">
        <v>501</v>
      </c>
      <c r="E1485" s="104" t="s">
        <v>93</v>
      </c>
      <c r="F1485" s="104" t="s">
        <v>1035</v>
      </c>
      <c r="K1485" s="61">
        <v>250000</v>
      </c>
      <c r="L1485" s="49">
        <f t="shared" si="90"/>
        <v>30000</v>
      </c>
    </row>
    <row r="1486" spans="1:12" x14ac:dyDescent="0.25">
      <c r="A1486" s="54">
        <v>45509</v>
      </c>
      <c r="B1486" s="25">
        <f t="shared" si="89"/>
        <v>8</v>
      </c>
      <c r="C1486" s="25">
        <v>2024</v>
      </c>
      <c r="D1486" s="104" t="s">
        <v>384</v>
      </c>
      <c r="E1486" s="104" t="s">
        <v>93</v>
      </c>
      <c r="J1486" s="61">
        <v>123568</v>
      </c>
      <c r="L1486" s="49">
        <f t="shared" si="90"/>
        <v>153568</v>
      </c>
    </row>
    <row r="1487" spans="1:12" x14ac:dyDescent="0.25">
      <c r="A1487" s="54">
        <v>45509</v>
      </c>
      <c r="B1487" s="25">
        <f t="shared" si="89"/>
        <v>8</v>
      </c>
      <c r="C1487" s="25">
        <v>2024</v>
      </c>
      <c r="D1487" s="104" t="s">
        <v>148</v>
      </c>
      <c r="E1487" s="104" t="s">
        <v>93</v>
      </c>
      <c r="K1487" s="61">
        <v>123568</v>
      </c>
      <c r="L1487" s="49">
        <f t="shared" si="90"/>
        <v>30000</v>
      </c>
    </row>
    <row r="1488" spans="1:12" x14ac:dyDescent="0.25">
      <c r="A1488" s="54">
        <v>45509</v>
      </c>
      <c r="B1488" s="25">
        <f t="shared" si="89"/>
        <v>8</v>
      </c>
      <c r="C1488" s="25">
        <v>2024</v>
      </c>
      <c r="D1488" s="104" t="s">
        <v>109</v>
      </c>
      <c r="E1488" s="104" t="s">
        <v>93</v>
      </c>
      <c r="K1488" s="61">
        <v>9000</v>
      </c>
      <c r="L1488" s="49">
        <f t="shared" si="90"/>
        <v>21000</v>
      </c>
    </row>
    <row r="1489" spans="1:12" x14ac:dyDescent="0.25">
      <c r="A1489" s="54">
        <v>45509</v>
      </c>
      <c r="B1489" s="25">
        <f t="shared" si="89"/>
        <v>8</v>
      </c>
      <c r="C1489" s="25">
        <v>2024</v>
      </c>
      <c r="D1489" s="104" t="s">
        <v>384</v>
      </c>
      <c r="E1489" s="104" t="s">
        <v>93</v>
      </c>
      <c r="J1489" s="61">
        <v>155320</v>
      </c>
      <c r="L1489" s="49">
        <f t="shared" si="90"/>
        <v>176320</v>
      </c>
    </row>
    <row r="1490" spans="1:12" x14ac:dyDescent="0.25">
      <c r="A1490" s="54">
        <v>45509</v>
      </c>
      <c r="B1490" s="25">
        <f t="shared" si="89"/>
        <v>8</v>
      </c>
      <c r="C1490" s="25">
        <v>2024</v>
      </c>
      <c r="D1490" s="104" t="s">
        <v>124</v>
      </c>
      <c r="E1490" s="104" t="s">
        <v>93</v>
      </c>
      <c r="F1490" s="104" t="s">
        <v>994</v>
      </c>
      <c r="K1490" s="61">
        <v>155320</v>
      </c>
      <c r="L1490" s="49">
        <f t="shared" si="90"/>
        <v>21000</v>
      </c>
    </row>
    <row r="1491" spans="1:12" x14ac:dyDescent="0.25">
      <c r="A1491" s="54">
        <v>45509</v>
      </c>
      <c r="B1491" s="25">
        <f t="shared" si="89"/>
        <v>8</v>
      </c>
      <c r="C1491" s="25">
        <v>2024</v>
      </c>
      <c r="D1491" s="104" t="s">
        <v>352</v>
      </c>
      <c r="E1491" s="104" t="s">
        <v>93</v>
      </c>
      <c r="F1491" s="104" t="s">
        <v>1033</v>
      </c>
      <c r="J1491" s="61">
        <v>42600</v>
      </c>
      <c r="L1491" s="49">
        <f t="shared" si="90"/>
        <v>63600</v>
      </c>
    </row>
    <row r="1492" spans="1:12" x14ac:dyDescent="0.25">
      <c r="A1492" s="80">
        <v>45509</v>
      </c>
      <c r="B1492" s="155">
        <f t="shared" si="89"/>
        <v>8</v>
      </c>
      <c r="C1492" s="155">
        <v>2024</v>
      </c>
      <c r="D1492" s="107" t="s">
        <v>122</v>
      </c>
      <c r="E1492" s="107" t="s">
        <v>93</v>
      </c>
      <c r="F1492" s="107"/>
      <c r="G1492" s="107"/>
      <c r="H1492" s="81"/>
      <c r="I1492" s="81"/>
      <c r="J1492" s="52"/>
      <c r="K1492" s="52">
        <v>33600</v>
      </c>
      <c r="L1492" s="49">
        <f t="shared" si="90"/>
        <v>30000</v>
      </c>
    </row>
    <row r="1493" spans="1:12" x14ac:dyDescent="0.25">
      <c r="A1493" s="54">
        <v>45510</v>
      </c>
      <c r="B1493" s="25">
        <f t="shared" si="89"/>
        <v>8</v>
      </c>
      <c r="C1493" s="25">
        <v>2024</v>
      </c>
      <c r="D1493" s="104" t="s">
        <v>124</v>
      </c>
      <c r="E1493" s="104" t="s">
        <v>93</v>
      </c>
      <c r="F1493" s="104" t="s">
        <v>162</v>
      </c>
      <c r="K1493" s="61">
        <v>7300</v>
      </c>
      <c r="L1493" s="49">
        <f t="shared" si="90"/>
        <v>22700</v>
      </c>
    </row>
    <row r="1494" spans="1:12" x14ac:dyDescent="0.25">
      <c r="A1494" s="54">
        <v>45510</v>
      </c>
      <c r="B1494" s="25">
        <f t="shared" si="89"/>
        <v>8</v>
      </c>
      <c r="C1494" s="25">
        <v>2024</v>
      </c>
      <c r="D1494" s="104" t="s">
        <v>352</v>
      </c>
      <c r="E1494" s="104" t="s">
        <v>93</v>
      </c>
      <c r="F1494" s="104" t="s">
        <v>835</v>
      </c>
      <c r="J1494" s="61">
        <v>104000</v>
      </c>
      <c r="L1494" s="49">
        <f t="shared" si="90"/>
        <v>126700</v>
      </c>
    </row>
    <row r="1495" spans="1:12" x14ac:dyDescent="0.25">
      <c r="A1495" s="80">
        <v>45510</v>
      </c>
      <c r="B1495" s="155">
        <f t="shared" si="89"/>
        <v>8</v>
      </c>
      <c r="C1495" s="155">
        <v>2024</v>
      </c>
      <c r="D1495" s="107" t="s">
        <v>122</v>
      </c>
      <c r="E1495" s="107" t="s">
        <v>93</v>
      </c>
      <c r="F1495" s="107"/>
      <c r="G1495" s="107"/>
      <c r="H1495" s="81"/>
      <c r="I1495" s="81"/>
      <c r="J1495" s="52"/>
      <c r="K1495" s="52">
        <v>96700</v>
      </c>
      <c r="L1495" s="49">
        <f t="shared" si="90"/>
        <v>30000</v>
      </c>
    </row>
    <row r="1496" spans="1:12" x14ac:dyDescent="0.25">
      <c r="A1496" s="54">
        <v>45511</v>
      </c>
      <c r="B1496" s="25">
        <f t="shared" si="89"/>
        <v>8</v>
      </c>
      <c r="C1496" s="25">
        <v>2024</v>
      </c>
      <c r="D1496" s="104" t="s">
        <v>384</v>
      </c>
      <c r="E1496" s="104" t="s">
        <v>93</v>
      </c>
      <c r="J1496" s="61">
        <v>200000</v>
      </c>
      <c r="L1496" s="49">
        <f t="shared" si="90"/>
        <v>230000</v>
      </c>
    </row>
    <row r="1497" spans="1:12" x14ac:dyDescent="0.25">
      <c r="A1497" s="54">
        <v>45511</v>
      </c>
      <c r="B1497" s="25">
        <f t="shared" si="89"/>
        <v>8</v>
      </c>
      <c r="C1497" s="25">
        <v>2024</v>
      </c>
      <c r="D1497" s="104" t="s">
        <v>124</v>
      </c>
      <c r="E1497" s="104" t="s">
        <v>93</v>
      </c>
      <c r="F1497" s="104" t="s">
        <v>826</v>
      </c>
      <c r="K1497" s="61">
        <v>200000</v>
      </c>
      <c r="L1497" s="49">
        <f t="shared" si="90"/>
        <v>30000</v>
      </c>
    </row>
    <row r="1498" spans="1:12" x14ac:dyDescent="0.25">
      <c r="A1498" s="54">
        <v>45514</v>
      </c>
      <c r="B1498" s="25">
        <f t="shared" si="89"/>
        <v>8</v>
      </c>
      <c r="C1498" s="25">
        <v>2024</v>
      </c>
      <c r="D1498" s="104" t="s">
        <v>384</v>
      </c>
      <c r="E1498" s="104" t="s">
        <v>93</v>
      </c>
      <c r="J1498" s="61">
        <v>200000</v>
      </c>
      <c r="L1498" s="49">
        <f t="shared" si="90"/>
        <v>230000</v>
      </c>
    </row>
    <row r="1499" spans="1:12" x14ac:dyDescent="0.25">
      <c r="A1499" s="54">
        <v>45514</v>
      </c>
      <c r="B1499" s="25">
        <f t="shared" si="89"/>
        <v>8</v>
      </c>
      <c r="C1499" s="25">
        <v>2024</v>
      </c>
      <c r="D1499" s="104" t="s">
        <v>501</v>
      </c>
      <c r="E1499" s="104" t="s">
        <v>93</v>
      </c>
      <c r="F1499" s="104" t="s">
        <v>655</v>
      </c>
      <c r="K1499" s="61">
        <v>200000</v>
      </c>
      <c r="L1499" s="49">
        <f t="shared" si="90"/>
        <v>30000</v>
      </c>
    </row>
    <row r="1500" spans="1:12" x14ac:dyDescent="0.25">
      <c r="A1500" s="54">
        <v>45516</v>
      </c>
      <c r="B1500" s="25">
        <f t="shared" si="89"/>
        <v>8</v>
      </c>
      <c r="C1500" s="25">
        <v>2024</v>
      </c>
      <c r="D1500" s="104" t="s">
        <v>124</v>
      </c>
      <c r="E1500" s="104" t="s">
        <v>93</v>
      </c>
      <c r="F1500" s="104" t="s">
        <v>717</v>
      </c>
      <c r="K1500" s="61">
        <v>11300</v>
      </c>
      <c r="L1500" s="49">
        <f t="shared" si="90"/>
        <v>18700</v>
      </c>
    </row>
    <row r="1501" spans="1:12" x14ac:dyDescent="0.25">
      <c r="A1501" s="54">
        <v>45516</v>
      </c>
      <c r="B1501" s="25">
        <f t="shared" si="89"/>
        <v>8</v>
      </c>
      <c r="C1501" s="25">
        <v>2024</v>
      </c>
      <c r="D1501" s="104" t="s">
        <v>384</v>
      </c>
      <c r="E1501" s="104" t="s">
        <v>93</v>
      </c>
      <c r="J1501" s="61">
        <v>446873</v>
      </c>
      <c r="L1501" s="49">
        <f t="shared" si="90"/>
        <v>465573</v>
      </c>
    </row>
    <row r="1502" spans="1:12" x14ac:dyDescent="0.25">
      <c r="A1502" s="54">
        <v>45516</v>
      </c>
      <c r="B1502" s="25">
        <f t="shared" si="89"/>
        <v>8</v>
      </c>
      <c r="C1502" s="25">
        <v>2024</v>
      </c>
      <c r="D1502" s="104" t="s">
        <v>124</v>
      </c>
      <c r="E1502" s="104" t="s">
        <v>93</v>
      </c>
      <c r="G1502" s="104" t="s">
        <v>333</v>
      </c>
      <c r="K1502" s="61">
        <v>446873</v>
      </c>
      <c r="L1502" s="49">
        <f t="shared" si="90"/>
        <v>18700</v>
      </c>
    </row>
    <row r="1503" spans="1:12" x14ac:dyDescent="0.25">
      <c r="A1503" s="134">
        <v>45516</v>
      </c>
      <c r="B1503" s="158">
        <f t="shared" si="89"/>
        <v>8</v>
      </c>
      <c r="C1503" s="158">
        <v>2024</v>
      </c>
      <c r="D1503" s="135" t="s">
        <v>384</v>
      </c>
      <c r="E1503" s="135" t="s">
        <v>93</v>
      </c>
      <c r="F1503" s="135"/>
      <c r="G1503" s="135"/>
      <c r="H1503" s="136"/>
      <c r="I1503" s="136"/>
      <c r="J1503" s="137">
        <v>11300</v>
      </c>
      <c r="L1503" s="49">
        <f t="shared" si="90"/>
        <v>30000</v>
      </c>
    </row>
    <row r="1504" spans="1:12" x14ac:dyDescent="0.25">
      <c r="A1504" s="54">
        <v>45517</v>
      </c>
      <c r="B1504" s="25">
        <f t="shared" si="89"/>
        <v>8</v>
      </c>
      <c r="C1504" s="25">
        <v>2024</v>
      </c>
      <c r="D1504" s="104" t="s">
        <v>384</v>
      </c>
      <c r="E1504" s="104" t="s">
        <v>93</v>
      </c>
      <c r="J1504" s="61">
        <v>34800</v>
      </c>
      <c r="L1504" s="49">
        <f t="shared" si="90"/>
        <v>64800</v>
      </c>
    </row>
    <row r="1505" spans="1:12" x14ac:dyDescent="0.25">
      <c r="A1505" s="54">
        <v>45517</v>
      </c>
      <c r="B1505" s="25">
        <f t="shared" si="89"/>
        <v>8</v>
      </c>
      <c r="C1505" s="25">
        <v>2024</v>
      </c>
      <c r="D1505" s="104" t="s">
        <v>124</v>
      </c>
      <c r="E1505" s="104" t="s">
        <v>93</v>
      </c>
      <c r="F1505" s="104" t="s">
        <v>1043</v>
      </c>
      <c r="K1505" s="61">
        <v>34800</v>
      </c>
      <c r="L1505" s="49">
        <f t="shared" si="90"/>
        <v>30000</v>
      </c>
    </row>
    <row r="1506" spans="1:12" x14ac:dyDescent="0.25">
      <c r="A1506" s="54">
        <v>45518</v>
      </c>
      <c r="B1506" s="25">
        <f t="shared" si="89"/>
        <v>8</v>
      </c>
      <c r="C1506" s="25">
        <v>2024</v>
      </c>
      <c r="D1506" s="104" t="s">
        <v>384</v>
      </c>
      <c r="E1506" s="104" t="s">
        <v>93</v>
      </c>
      <c r="J1506" s="61">
        <v>188000</v>
      </c>
      <c r="L1506" s="49">
        <f t="shared" si="90"/>
        <v>218000</v>
      </c>
    </row>
    <row r="1507" spans="1:12" x14ac:dyDescent="0.25">
      <c r="A1507" s="54">
        <v>45518</v>
      </c>
      <c r="B1507" s="25">
        <f t="shared" si="89"/>
        <v>8</v>
      </c>
      <c r="C1507" s="25">
        <v>2024</v>
      </c>
      <c r="D1507" s="104" t="s">
        <v>124</v>
      </c>
      <c r="E1507" s="104" t="s">
        <v>93</v>
      </c>
      <c r="F1507" s="104" t="s">
        <v>1044</v>
      </c>
      <c r="K1507" s="61">
        <v>188000</v>
      </c>
      <c r="L1507" s="49">
        <f t="shared" si="90"/>
        <v>30000</v>
      </c>
    </row>
    <row r="1508" spans="1:12" x14ac:dyDescent="0.25">
      <c r="A1508" s="54">
        <v>45519</v>
      </c>
      <c r="B1508" s="25">
        <f t="shared" si="89"/>
        <v>8</v>
      </c>
      <c r="C1508" s="25">
        <v>2024</v>
      </c>
      <c r="D1508" s="104" t="s">
        <v>352</v>
      </c>
      <c r="E1508" s="104" t="s">
        <v>93</v>
      </c>
      <c r="F1508" s="104" t="s">
        <v>1045</v>
      </c>
      <c r="J1508" s="61">
        <v>400000</v>
      </c>
      <c r="L1508" s="49">
        <f t="shared" si="90"/>
        <v>430000</v>
      </c>
    </row>
    <row r="1509" spans="1:12" x14ac:dyDescent="0.25">
      <c r="A1509" s="54">
        <v>45519</v>
      </c>
      <c r="B1509" s="25">
        <f t="shared" si="89"/>
        <v>8</v>
      </c>
      <c r="C1509" s="25">
        <v>2024</v>
      </c>
      <c r="D1509" s="104" t="s">
        <v>352</v>
      </c>
      <c r="E1509" s="104" t="s">
        <v>93</v>
      </c>
      <c r="F1509" s="104" t="s">
        <v>1046</v>
      </c>
      <c r="J1509" s="61">
        <v>25000</v>
      </c>
      <c r="L1509" s="49">
        <f t="shared" si="90"/>
        <v>455000</v>
      </c>
    </row>
    <row r="1510" spans="1:12" x14ac:dyDescent="0.25">
      <c r="A1510" s="80">
        <v>45519</v>
      </c>
      <c r="B1510" s="155">
        <f t="shared" si="89"/>
        <v>8</v>
      </c>
      <c r="C1510" s="155">
        <v>2024</v>
      </c>
      <c r="D1510" s="107" t="s">
        <v>122</v>
      </c>
      <c r="E1510" s="107" t="s">
        <v>93</v>
      </c>
      <c r="F1510" s="107"/>
      <c r="G1510" s="107"/>
      <c r="H1510" s="81"/>
      <c r="I1510" s="81"/>
      <c r="J1510" s="52"/>
      <c r="K1510" s="52">
        <v>425000</v>
      </c>
      <c r="L1510" s="49">
        <f t="shared" si="90"/>
        <v>30000</v>
      </c>
    </row>
    <row r="1511" spans="1:12" x14ac:dyDescent="0.25">
      <c r="A1511" s="54">
        <v>45520</v>
      </c>
      <c r="B1511" s="25">
        <f t="shared" si="89"/>
        <v>8</v>
      </c>
      <c r="C1511" s="25">
        <v>2024</v>
      </c>
      <c r="D1511" s="104" t="s">
        <v>352</v>
      </c>
      <c r="E1511" s="104" t="s">
        <v>93</v>
      </c>
      <c r="F1511" s="104" t="s">
        <v>1047</v>
      </c>
      <c r="J1511" s="61">
        <v>989000</v>
      </c>
      <c r="L1511" s="49">
        <f t="shared" si="90"/>
        <v>1019000</v>
      </c>
    </row>
    <row r="1512" spans="1:12" x14ac:dyDescent="0.25">
      <c r="A1512" s="54">
        <v>45520</v>
      </c>
      <c r="B1512" s="25">
        <f t="shared" si="89"/>
        <v>8</v>
      </c>
      <c r="C1512" s="25">
        <v>2024</v>
      </c>
      <c r="D1512" s="104" t="s">
        <v>352</v>
      </c>
      <c r="E1512" s="104" t="s">
        <v>93</v>
      </c>
      <c r="F1512" s="104" t="s">
        <v>1008</v>
      </c>
      <c r="J1512" s="61">
        <v>80000</v>
      </c>
      <c r="L1512" s="49">
        <f t="shared" si="90"/>
        <v>1099000</v>
      </c>
    </row>
    <row r="1513" spans="1:12" x14ac:dyDescent="0.25">
      <c r="A1513" s="54">
        <v>45520</v>
      </c>
      <c r="B1513" s="25">
        <f t="shared" si="89"/>
        <v>8</v>
      </c>
      <c r="C1513" s="25">
        <v>2024</v>
      </c>
      <c r="D1513" s="104" t="s">
        <v>352</v>
      </c>
      <c r="E1513" s="104" t="s">
        <v>93</v>
      </c>
      <c r="F1513" s="104" t="s">
        <v>456</v>
      </c>
      <c r="J1513" s="61">
        <v>13000</v>
      </c>
      <c r="L1513" s="49">
        <f t="shared" si="90"/>
        <v>1112000</v>
      </c>
    </row>
    <row r="1514" spans="1:12" x14ac:dyDescent="0.25">
      <c r="A1514" s="54">
        <v>45520</v>
      </c>
      <c r="B1514" s="25">
        <f t="shared" si="89"/>
        <v>8</v>
      </c>
      <c r="C1514" s="25">
        <v>2024</v>
      </c>
      <c r="D1514" s="104" t="s">
        <v>109</v>
      </c>
      <c r="E1514" s="104" t="s">
        <v>93</v>
      </c>
      <c r="K1514" s="61">
        <v>4000</v>
      </c>
      <c r="L1514" s="49">
        <f t="shared" si="90"/>
        <v>1108000</v>
      </c>
    </row>
    <row r="1515" spans="1:12" x14ac:dyDescent="0.25">
      <c r="A1515" s="80">
        <v>45520</v>
      </c>
      <c r="B1515" s="155">
        <f t="shared" si="89"/>
        <v>8</v>
      </c>
      <c r="C1515" s="155">
        <v>2024</v>
      </c>
      <c r="D1515" s="107" t="s">
        <v>122</v>
      </c>
      <c r="E1515" s="107" t="s">
        <v>93</v>
      </c>
      <c r="F1515" s="107"/>
      <c r="G1515" s="107"/>
      <c r="H1515" s="81"/>
      <c r="I1515" s="81"/>
      <c r="J1515" s="52"/>
      <c r="K1515" s="52">
        <v>1078000</v>
      </c>
      <c r="L1515" s="49">
        <f t="shared" si="90"/>
        <v>30000</v>
      </c>
    </row>
    <row r="1516" spans="1:12" x14ac:dyDescent="0.25">
      <c r="A1516" s="54">
        <v>45521</v>
      </c>
      <c r="B1516" s="25">
        <f t="shared" si="89"/>
        <v>8</v>
      </c>
      <c r="C1516" s="25">
        <v>2024</v>
      </c>
      <c r="D1516" s="104" t="s">
        <v>352</v>
      </c>
      <c r="E1516" s="104" t="s">
        <v>93</v>
      </c>
      <c r="F1516" s="104" t="s">
        <v>377</v>
      </c>
      <c r="J1516" s="61">
        <v>300000</v>
      </c>
      <c r="L1516" s="49">
        <f t="shared" si="90"/>
        <v>330000</v>
      </c>
    </row>
    <row r="1517" spans="1:12" x14ac:dyDescent="0.25">
      <c r="A1517" s="54">
        <v>45521</v>
      </c>
      <c r="B1517" s="25">
        <f t="shared" si="89"/>
        <v>8</v>
      </c>
      <c r="C1517" s="25">
        <v>2024</v>
      </c>
      <c r="D1517" s="104" t="s">
        <v>501</v>
      </c>
      <c r="E1517" s="104" t="s">
        <v>343</v>
      </c>
      <c r="F1517" s="104" t="s">
        <v>655</v>
      </c>
      <c r="K1517" s="61">
        <v>200000</v>
      </c>
      <c r="L1517" s="49">
        <f t="shared" si="90"/>
        <v>130000</v>
      </c>
    </row>
    <row r="1518" spans="1:12" x14ac:dyDescent="0.25">
      <c r="A1518" s="80">
        <v>45521</v>
      </c>
      <c r="B1518" s="155">
        <f t="shared" si="89"/>
        <v>8</v>
      </c>
      <c r="C1518" s="155">
        <v>2024</v>
      </c>
      <c r="D1518" s="107" t="s">
        <v>122</v>
      </c>
      <c r="E1518" s="107" t="s">
        <v>343</v>
      </c>
      <c r="F1518" s="107"/>
      <c r="G1518" s="107"/>
      <c r="H1518" s="81"/>
      <c r="I1518" s="81"/>
      <c r="J1518" s="52"/>
      <c r="K1518" s="52">
        <v>100000</v>
      </c>
      <c r="L1518" s="49">
        <f t="shared" si="90"/>
        <v>30000</v>
      </c>
    </row>
    <row r="1519" spans="1:12" x14ac:dyDescent="0.25">
      <c r="A1519" s="54">
        <v>45523</v>
      </c>
      <c r="B1519" s="25">
        <f t="shared" si="89"/>
        <v>8</v>
      </c>
      <c r="C1519" s="25">
        <v>2024</v>
      </c>
      <c r="D1519" s="104" t="s">
        <v>352</v>
      </c>
      <c r="E1519" s="104" t="s">
        <v>343</v>
      </c>
      <c r="F1519" s="104" t="s">
        <v>1050</v>
      </c>
      <c r="J1519" s="61">
        <v>134500</v>
      </c>
      <c r="L1519" s="49">
        <f t="shared" si="90"/>
        <v>164500</v>
      </c>
    </row>
    <row r="1520" spans="1:12" x14ac:dyDescent="0.25">
      <c r="A1520" s="80">
        <v>45523</v>
      </c>
      <c r="B1520" s="155">
        <f t="shared" si="89"/>
        <v>8</v>
      </c>
      <c r="C1520" s="155">
        <v>2024</v>
      </c>
      <c r="D1520" s="107" t="s">
        <v>384</v>
      </c>
      <c r="E1520" s="107" t="s">
        <v>343</v>
      </c>
      <c r="F1520" s="107"/>
      <c r="G1520" s="107"/>
      <c r="H1520" s="81"/>
      <c r="I1520" s="81"/>
      <c r="J1520" s="52"/>
      <c r="K1520" s="52">
        <v>134500</v>
      </c>
      <c r="L1520" s="49">
        <f t="shared" si="90"/>
        <v>30000</v>
      </c>
    </row>
    <row r="1521" spans="1:12" x14ac:dyDescent="0.25">
      <c r="A1521" s="54">
        <v>45524</v>
      </c>
      <c r="B1521" s="25">
        <f t="shared" si="89"/>
        <v>8</v>
      </c>
      <c r="C1521" s="25">
        <v>2024</v>
      </c>
      <c r="D1521" s="104" t="s">
        <v>352</v>
      </c>
      <c r="E1521" s="104" t="s">
        <v>93</v>
      </c>
      <c r="F1521" s="104" t="s">
        <v>901</v>
      </c>
      <c r="J1521" s="61">
        <v>104000</v>
      </c>
      <c r="L1521" s="49">
        <f t="shared" si="90"/>
        <v>134000</v>
      </c>
    </row>
    <row r="1522" spans="1:12" x14ac:dyDescent="0.25">
      <c r="A1522" s="80">
        <v>45524</v>
      </c>
      <c r="B1522" s="155">
        <f t="shared" si="89"/>
        <v>8</v>
      </c>
      <c r="C1522" s="155">
        <v>2024</v>
      </c>
      <c r="D1522" s="107" t="s">
        <v>361</v>
      </c>
      <c r="E1522" s="107" t="s">
        <v>93</v>
      </c>
      <c r="F1522" s="107"/>
      <c r="G1522" s="107"/>
      <c r="H1522" s="81"/>
      <c r="I1522" s="81"/>
      <c r="J1522" s="52"/>
      <c r="K1522" s="52">
        <v>104000</v>
      </c>
      <c r="L1522" s="49">
        <f t="shared" si="90"/>
        <v>30000</v>
      </c>
    </row>
    <row r="1523" spans="1:12" x14ac:dyDescent="0.25">
      <c r="A1523" s="54">
        <v>45525</v>
      </c>
      <c r="B1523" s="25">
        <f t="shared" si="89"/>
        <v>8</v>
      </c>
      <c r="C1523" s="25">
        <v>2024</v>
      </c>
      <c r="D1523" s="104" t="s">
        <v>352</v>
      </c>
      <c r="E1523" s="104" t="s">
        <v>93</v>
      </c>
      <c r="F1523" s="104" t="s">
        <v>319</v>
      </c>
      <c r="J1523" s="61">
        <v>30000</v>
      </c>
      <c r="L1523" s="49">
        <f t="shared" si="90"/>
        <v>60000</v>
      </c>
    </row>
    <row r="1524" spans="1:12" x14ac:dyDescent="0.25">
      <c r="A1524" s="54">
        <v>45525</v>
      </c>
      <c r="B1524" s="25">
        <f t="shared" si="89"/>
        <v>8</v>
      </c>
      <c r="C1524" s="25">
        <v>2024</v>
      </c>
      <c r="D1524" s="104" t="s">
        <v>109</v>
      </c>
      <c r="E1524" s="104" t="s">
        <v>93</v>
      </c>
      <c r="K1524" s="61">
        <v>10500</v>
      </c>
      <c r="L1524" s="49">
        <f t="shared" si="90"/>
        <v>49500</v>
      </c>
    </row>
    <row r="1525" spans="1:12" x14ac:dyDescent="0.25">
      <c r="A1525" s="80">
        <v>45525</v>
      </c>
      <c r="B1525" s="155">
        <f t="shared" si="89"/>
        <v>8</v>
      </c>
      <c r="C1525" s="155">
        <v>2024</v>
      </c>
      <c r="D1525" s="107" t="s">
        <v>122</v>
      </c>
      <c r="E1525" s="107" t="s">
        <v>93</v>
      </c>
      <c r="F1525" s="107"/>
      <c r="G1525" s="107"/>
      <c r="H1525" s="81"/>
      <c r="I1525" s="81"/>
      <c r="J1525" s="52"/>
      <c r="K1525" s="52">
        <v>19500</v>
      </c>
      <c r="L1525" s="49">
        <f t="shared" si="90"/>
        <v>30000</v>
      </c>
    </row>
    <row r="1526" spans="1:12" x14ac:dyDescent="0.25">
      <c r="A1526" s="54">
        <v>45526</v>
      </c>
      <c r="B1526" s="25">
        <f t="shared" si="89"/>
        <v>8</v>
      </c>
      <c r="C1526" s="25">
        <v>2024</v>
      </c>
      <c r="D1526" s="104" t="s">
        <v>352</v>
      </c>
      <c r="E1526" s="104" t="s">
        <v>93</v>
      </c>
      <c r="F1526" s="104" t="s">
        <v>938</v>
      </c>
      <c r="J1526" s="61">
        <v>500000</v>
      </c>
      <c r="L1526" s="49">
        <f t="shared" si="90"/>
        <v>530000</v>
      </c>
    </row>
    <row r="1527" spans="1:12" x14ac:dyDescent="0.25">
      <c r="A1527" s="54">
        <v>45526</v>
      </c>
      <c r="B1527" s="25">
        <f t="shared" si="89"/>
        <v>8</v>
      </c>
      <c r="C1527" s="25">
        <v>2024</v>
      </c>
      <c r="D1527" s="104" t="s">
        <v>109</v>
      </c>
      <c r="E1527" s="104" t="s">
        <v>93</v>
      </c>
      <c r="K1527" s="61">
        <v>8000</v>
      </c>
      <c r="L1527" s="49">
        <f t="shared" si="90"/>
        <v>522000</v>
      </c>
    </row>
    <row r="1528" spans="1:12" x14ac:dyDescent="0.25">
      <c r="A1528" s="54">
        <v>45526</v>
      </c>
      <c r="B1528" s="25">
        <f t="shared" si="89"/>
        <v>8</v>
      </c>
      <c r="C1528" s="25">
        <v>2024</v>
      </c>
      <c r="D1528" s="104" t="s">
        <v>352</v>
      </c>
      <c r="E1528" s="104" t="s">
        <v>93</v>
      </c>
      <c r="F1528" s="104" t="s">
        <v>1056</v>
      </c>
      <c r="J1528" s="61">
        <v>383000</v>
      </c>
      <c r="L1528" s="49">
        <f t="shared" si="90"/>
        <v>905000</v>
      </c>
    </row>
    <row r="1529" spans="1:12" x14ac:dyDescent="0.25">
      <c r="A1529" s="80">
        <v>45526</v>
      </c>
      <c r="B1529" s="155">
        <f t="shared" si="89"/>
        <v>8</v>
      </c>
      <c r="C1529" s="155">
        <v>2024</v>
      </c>
      <c r="D1529" s="107" t="s">
        <v>122</v>
      </c>
      <c r="E1529" s="107" t="s">
        <v>93</v>
      </c>
      <c r="F1529" s="107"/>
      <c r="G1529" s="107"/>
      <c r="H1529" s="81"/>
      <c r="I1529" s="81"/>
      <c r="J1529" s="52"/>
      <c r="K1529" s="52">
        <v>875000</v>
      </c>
      <c r="L1529" s="49">
        <f t="shared" si="90"/>
        <v>30000</v>
      </c>
    </row>
    <row r="1530" spans="1:12" x14ac:dyDescent="0.25">
      <c r="A1530" s="54">
        <v>45527</v>
      </c>
      <c r="B1530" s="25">
        <f t="shared" si="89"/>
        <v>8</v>
      </c>
      <c r="C1530" s="25">
        <v>2024</v>
      </c>
      <c r="D1530" s="104" t="s">
        <v>352</v>
      </c>
      <c r="E1530" s="104" t="s">
        <v>93</v>
      </c>
      <c r="F1530" s="104" t="s">
        <v>456</v>
      </c>
      <c r="J1530" s="61">
        <v>24000</v>
      </c>
      <c r="L1530" s="49">
        <f t="shared" si="90"/>
        <v>54000</v>
      </c>
    </row>
    <row r="1531" spans="1:12" x14ac:dyDescent="0.25">
      <c r="A1531" s="54">
        <v>45527</v>
      </c>
      <c r="B1531" s="25">
        <f t="shared" si="89"/>
        <v>8</v>
      </c>
      <c r="C1531" s="25">
        <v>2024</v>
      </c>
      <c r="D1531" s="104" t="s">
        <v>109</v>
      </c>
      <c r="E1531" s="104" t="s">
        <v>93</v>
      </c>
      <c r="K1531" s="61">
        <v>5000</v>
      </c>
      <c r="L1531" s="49">
        <f t="shared" si="90"/>
        <v>49000</v>
      </c>
    </row>
    <row r="1532" spans="1:12" x14ac:dyDescent="0.25">
      <c r="A1532" s="80">
        <v>45527</v>
      </c>
      <c r="B1532" s="155">
        <f t="shared" si="89"/>
        <v>8</v>
      </c>
      <c r="C1532" s="155">
        <v>2024</v>
      </c>
      <c r="D1532" s="107" t="s">
        <v>122</v>
      </c>
      <c r="E1532" s="107" t="s">
        <v>93</v>
      </c>
      <c r="F1532" s="107"/>
      <c r="G1532" s="107"/>
      <c r="H1532" s="81"/>
      <c r="I1532" s="81"/>
      <c r="J1532" s="52"/>
      <c r="K1532" s="52">
        <v>19000</v>
      </c>
      <c r="L1532" s="49">
        <f t="shared" si="90"/>
        <v>30000</v>
      </c>
    </row>
    <row r="1533" spans="1:12" x14ac:dyDescent="0.25">
      <c r="A1533" s="54">
        <v>45528</v>
      </c>
      <c r="B1533" s="25">
        <f t="shared" si="89"/>
        <v>8</v>
      </c>
      <c r="C1533" s="25">
        <v>2024</v>
      </c>
      <c r="D1533" s="104" t="s">
        <v>384</v>
      </c>
      <c r="E1533" s="104" t="s">
        <v>93</v>
      </c>
      <c r="J1533" s="61">
        <v>200000</v>
      </c>
      <c r="L1533" s="49">
        <f t="shared" si="90"/>
        <v>230000</v>
      </c>
    </row>
    <row r="1534" spans="1:12" x14ac:dyDescent="0.25">
      <c r="A1534" s="54">
        <v>45528</v>
      </c>
      <c r="B1534" s="25">
        <f t="shared" si="89"/>
        <v>8</v>
      </c>
      <c r="C1534" s="25">
        <v>2024</v>
      </c>
      <c r="D1534" s="104" t="s">
        <v>501</v>
      </c>
      <c r="E1534" s="104" t="s">
        <v>93</v>
      </c>
      <c r="F1534" s="104" t="s">
        <v>655</v>
      </c>
      <c r="K1534" s="61">
        <v>200000</v>
      </c>
      <c r="L1534" s="49">
        <f t="shared" si="90"/>
        <v>30000</v>
      </c>
    </row>
    <row r="1535" spans="1:12" x14ac:dyDescent="0.25">
      <c r="A1535" s="54">
        <v>45530</v>
      </c>
      <c r="B1535" s="25">
        <f t="shared" si="89"/>
        <v>8</v>
      </c>
      <c r="C1535" s="25">
        <v>2024</v>
      </c>
      <c r="D1535" s="104" t="s">
        <v>384</v>
      </c>
      <c r="E1535" s="104" t="s">
        <v>93</v>
      </c>
      <c r="J1535" s="61">
        <v>15000</v>
      </c>
      <c r="L1535" s="49">
        <f t="shared" si="90"/>
        <v>45000</v>
      </c>
    </row>
    <row r="1536" spans="1:12" x14ac:dyDescent="0.25">
      <c r="A1536" s="54">
        <v>45530</v>
      </c>
      <c r="B1536" s="25">
        <f t="shared" si="89"/>
        <v>8</v>
      </c>
      <c r="C1536" s="25">
        <v>2024</v>
      </c>
      <c r="D1536" s="104" t="s">
        <v>360</v>
      </c>
      <c r="E1536" s="104" t="s">
        <v>93</v>
      </c>
      <c r="K1536" s="61">
        <v>15000</v>
      </c>
      <c r="L1536" s="49">
        <f t="shared" si="90"/>
        <v>30000</v>
      </c>
    </row>
    <row r="1537" spans="1:12" x14ac:dyDescent="0.25">
      <c r="A1537" s="54">
        <v>45532</v>
      </c>
      <c r="B1537" s="25">
        <f t="shared" si="89"/>
        <v>8</v>
      </c>
      <c r="C1537" s="25">
        <v>2024</v>
      </c>
      <c r="D1537" s="104" t="s">
        <v>109</v>
      </c>
      <c r="E1537" s="104" t="s">
        <v>93</v>
      </c>
      <c r="K1537" s="61">
        <v>10000</v>
      </c>
      <c r="L1537" s="49">
        <f t="shared" si="90"/>
        <v>20000</v>
      </c>
    </row>
    <row r="1538" spans="1:12" x14ac:dyDescent="0.25">
      <c r="A1538" s="54">
        <v>45532</v>
      </c>
      <c r="B1538" s="25">
        <f t="shared" si="89"/>
        <v>8</v>
      </c>
      <c r="C1538" s="25">
        <v>2024</v>
      </c>
      <c r="D1538" s="104" t="s">
        <v>352</v>
      </c>
      <c r="E1538" s="104" t="s">
        <v>93</v>
      </c>
      <c r="F1538" s="104" t="s">
        <v>988</v>
      </c>
      <c r="J1538" s="61">
        <v>18500</v>
      </c>
      <c r="L1538" s="49">
        <f t="shared" si="90"/>
        <v>38500</v>
      </c>
    </row>
    <row r="1539" spans="1:12" x14ac:dyDescent="0.25">
      <c r="A1539" s="54">
        <v>45532</v>
      </c>
      <c r="B1539" s="25">
        <f t="shared" ref="B1539:B1602" si="91">MONTH(A1539)</f>
        <v>8</v>
      </c>
      <c r="C1539" s="25">
        <v>2024</v>
      </c>
      <c r="D1539" s="104" t="s">
        <v>122</v>
      </c>
      <c r="E1539" s="104" t="s">
        <v>93</v>
      </c>
      <c r="K1539" s="61">
        <v>8500</v>
      </c>
      <c r="L1539" s="49">
        <f t="shared" si="90"/>
        <v>30000</v>
      </c>
    </row>
    <row r="1540" spans="1:12" x14ac:dyDescent="0.25">
      <c r="A1540" s="54">
        <v>45533</v>
      </c>
      <c r="B1540" s="25">
        <f t="shared" si="91"/>
        <v>8</v>
      </c>
      <c r="C1540" s="25">
        <v>2024</v>
      </c>
      <c r="D1540" s="104" t="s">
        <v>384</v>
      </c>
      <c r="E1540" s="104" t="s">
        <v>93</v>
      </c>
      <c r="J1540" s="61">
        <v>183900</v>
      </c>
      <c r="L1540" s="49">
        <f t="shared" ref="L1540:L1603" si="92">IF((L1539+M1539+J1540-K1540)&gt;0,(L1539+M1539+J1540-K1540),0)</f>
        <v>213900</v>
      </c>
    </row>
    <row r="1541" spans="1:12" x14ac:dyDescent="0.25">
      <c r="A1541" s="54">
        <v>45533</v>
      </c>
      <c r="B1541" s="25">
        <f t="shared" si="91"/>
        <v>8</v>
      </c>
      <c r="C1541" s="25">
        <v>2024</v>
      </c>
      <c r="D1541" s="104" t="s">
        <v>124</v>
      </c>
      <c r="E1541" s="104" t="s">
        <v>93</v>
      </c>
      <c r="F1541" s="104" t="s">
        <v>826</v>
      </c>
      <c r="K1541" s="61">
        <v>183900</v>
      </c>
      <c r="L1541" s="49">
        <f t="shared" si="92"/>
        <v>30000</v>
      </c>
    </row>
    <row r="1542" spans="1:12" x14ac:dyDescent="0.25">
      <c r="A1542" s="54">
        <v>45533</v>
      </c>
      <c r="B1542" s="25">
        <f t="shared" si="91"/>
        <v>8</v>
      </c>
      <c r="C1542" s="25">
        <v>2024</v>
      </c>
      <c r="D1542" s="104" t="s">
        <v>384</v>
      </c>
      <c r="E1542" s="104" t="s">
        <v>93</v>
      </c>
      <c r="J1542" s="61">
        <v>104850</v>
      </c>
      <c r="L1542" s="49">
        <f t="shared" si="92"/>
        <v>134850</v>
      </c>
    </row>
    <row r="1543" spans="1:12" x14ac:dyDescent="0.25">
      <c r="A1543" s="54">
        <v>45533</v>
      </c>
      <c r="B1543" s="25">
        <f t="shared" si="91"/>
        <v>8</v>
      </c>
      <c r="C1543" s="25">
        <v>2024</v>
      </c>
      <c r="D1543" s="104" t="s">
        <v>124</v>
      </c>
      <c r="E1543" s="104" t="s">
        <v>93</v>
      </c>
      <c r="G1543" s="104" t="s">
        <v>852</v>
      </c>
      <c r="K1543" s="61">
        <v>104850</v>
      </c>
      <c r="L1543" s="49">
        <f t="shared" si="92"/>
        <v>30000</v>
      </c>
    </row>
    <row r="1544" spans="1:12" x14ac:dyDescent="0.25">
      <c r="A1544" s="54">
        <v>45533</v>
      </c>
      <c r="B1544" s="25">
        <f t="shared" si="91"/>
        <v>8</v>
      </c>
      <c r="C1544" s="25">
        <v>2024</v>
      </c>
      <c r="D1544" s="104" t="s">
        <v>109</v>
      </c>
      <c r="E1544" s="104" t="s">
        <v>93</v>
      </c>
      <c r="K1544" s="61">
        <v>2000</v>
      </c>
      <c r="L1544" s="49">
        <f t="shared" si="92"/>
        <v>28000</v>
      </c>
    </row>
    <row r="1545" spans="1:12" x14ac:dyDescent="0.25">
      <c r="A1545" s="54">
        <v>45533</v>
      </c>
      <c r="B1545" s="25">
        <f t="shared" si="91"/>
        <v>8</v>
      </c>
      <c r="C1545" s="25">
        <v>2024</v>
      </c>
      <c r="D1545" s="104" t="s">
        <v>109</v>
      </c>
      <c r="E1545" s="104" t="s">
        <v>93</v>
      </c>
      <c r="F1545" s="104" t="s">
        <v>204</v>
      </c>
      <c r="K1545" s="61">
        <v>7300</v>
      </c>
      <c r="L1545" s="49">
        <f t="shared" si="92"/>
        <v>20700</v>
      </c>
    </row>
    <row r="1546" spans="1:12" x14ac:dyDescent="0.25">
      <c r="A1546" s="134">
        <v>45533</v>
      </c>
      <c r="B1546" s="158">
        <f t="shared" si="91"/>
        <v>8</v>
      </c>
      <c r="C1546" s="158">
        <v>2024</v>
      </c>
      <c r="D1546" s="135" t="s">
        <v>384</v>
      </c>
      <c r="E1546" s="135" t="s">
        <v>93</v>
      </c>
      <c r="F1546" s="135"/>
      <c r="G1546" s="135"/>
      <c r="H1546" s="136"/>
      <c r="I1546" s="136"/>
      <c r="J1546" s="137">
        <v>9300</v>
      </c>
      <c r="L1546" s="49">
        <f t="shared" si="92"/>
        <v>30000</v>
      </c>
    </row>
    <row r="1547" spans="1:12" x14ac:dyDescent="0.25">
      <c r="A1547" s="54">
        <v>45534</v>
      </c>
      <c r="B1547" s="25">
        <f t="shared" si="91"/>
        <v>8</v>
      </c>
      <c r="C1547" s="25">
        <v>2024</v>
      </c>
      <c r="D1547" s="104" t="s">
        <v>352</v>
      </c>
      <c r="E1547" s="104" t="s">
        <v>93</v>
      </c>
      <c r="F1547" s="104" t="s">
        <v>1062</v>
      </c>
      <c r="J1547" s="61">
        <v>104600</v>
      </c>
      <c r="L1547" s="49">
        <f t="shared" si="92"/>
        <v>134600</v>
      </c>
    </row>
    <row r="1548" spans="1:12" x14ac:dyDescent="0.25">
      <c r="A1548" s="54">
        <v>45534</v>
      </c>
      <c r="B1548" s="25">
        <f t="shared" si="91"/>
        <v>8</v>
      </c>
      <c r="C1548" s="25">
        <v>2024</v>
      </c>
      <c r="D1548" s="104" t="s">
        <v>352</v>
      </c>
      <c r="E1548" s="104" t="s">
        <v>93</v>
      </c>
      <c r="F1548" s="104" t="s">
        <v>654</v>
      </c>
      <c r="J1548" s="61">
        <v>50000</v>
      </c>
      <c r="L1548" s="49">
        <f t="shared" si="92"/>
        <v>184600</v>
      </c>
    </row>
    <row r="1549" spans="1:12" x14ac:dyDescent="0.25">
      <c r="A1549" s="54">
        <v>45534</v>
      </c>
      <c r="B1549" s="25">
        <f t="shared" si="91"/>
        <v>8</v>
      </c>
      <c r="C1549" s="25">
        <v>2024</v>
      </c>
      <c r="D1549" s="104" t="s">
        <v>384</v>
      </c>
      <c r="E1549" s="104" t="s">
        <v>93</v>
      </c>
      <c r="J1549" s="61">
        <v>184000</v>
      </c>
      <c r="L1549" s="49">
        <f t="shared" si="92"/>
        <v>368600</v>
      </c>
    </row>
    <row r="1550" spans="1:12" x14ac:dyDescent="0.25">
      <c r="A1550" s="54">
        <v>45534</v>
      </c>
      <c r="B1550" s="25">
        <f t="shared" si="91"/>
        <v>8</v>
      </c>
      <c r="C1550" s="25">
        <v>2024</v>
      </c>
      <c r="D1550" s="104" t="s">
        <v>501</v>
      </c>
      <c r="E1550" s="104" t="s">
        <v>93</v>
      </c>
      <c r="F1550" s="104" t="s">
        <v>1064</v>
      </c>
      <c r="K1550" s="61">
        <v>195000</v>
      </c>
      <c r="L1550" s="49">
        <f t="shared" si="92"/>
        <v>173600</v>
      </c>
    </row>
    <row r="1551" spans="1:12" x14ac:dyDescent="0.25">
      <c r="A1551" s="134">
        <v>45534</v>
      </c>
      <c r="B1551" s="158">
        <f t="shared" si="91"/>
        <v>8</v>
      </c>
      <c r="C1551" s="158">
        <v>2024</v>
      </c>
      <c r="D1551" s="135" t="s">
        <v>122</v>
      </c>
      <c r="E1551" s="135" t="s">
        <v>93</v>
      </c>
      <c r="F1551" s="135"/>
      <c r="G1551" s="135"/>
      <c r="H1551" s="136"/>
      <c r="I1551" s="136"/>
      <c r="J1551" s="137"/>
      <c r="K1551" s="137">
        <v>143600</v>
      </c>
      <c r="L1551" s="49">
        <f t="shared" si="92"/>
        <v>30000</v>
      </c>
    </row>
    <row r="1552" spans="1:12" x14ac:dyDescent="0.25">
      <c r="A1552" s="54">
        <v>45535</v>
      </c>
      <c r="B1552" s="25">
        <f t="shared" si="91"/>
        <v>8</v>
      </c>
      <c r="C1552" s="25">
        <v>2024</v>
      </c>
      <c r="D1552" s="104" t="s">
        <v>384</v>
      </c>
      <c r="E1552" s="104" t="s">
        <v>93</v>
      </c>
      <c r="J1552" s="61">
        <v>200000</v>
      </c>
      <c r="L1552" s="49">
        <f t="shared" si="92"/>
        <v>230000</v>
      </c>
    </row>
    <row r="1553" spans="1:12" x14ac:dyDescent="0.25">
      <c r="A1553" s="54">
        <v>45535</v>
      </c>
      <c r="B1553" s="25">
        <f t="shared" si="91"/>
        <v>8</v>
      </c>
      <c r="C1553" s="25">
        <v>2024</v>
      </c>
      <c r="D1553" s="104" t="s">
        <v>501</v>
      </c>
      <c r="E1553" s="104" t="s">
        <v>93</v>
      </c>
      <c r="F1553" s="104" t="s">
        <v>655</v>
      </c>
      <c r="K1553" s="61">
        <v>200000</v>
      </c>
      <c r="L1553" s="49">
        <f t="shared" si="92"/>
        <v>30000</v>
      </c>
    </row>
    <row r="1554" spans="1:12" x14ac:dyDescent="0.25">
      <c r="A1554" s="54">
        <v>45538</v>
      </c>
      <c r="B1554" s="25">
        <f t="shared" si="91"/>
        <v>9</v>
      </c>
      <c r="C1554" s="25">
        <v>2024</v>
      </c>
      <c r="D1554" s="104" t="s">
        <v>352</v>
      </c>
      <c r="E1554" s="104" t="s">
        <v>93</v>
      </c>
      <c r="F1554" s="104" t="s">
        <v>659</v>
      </c>
      <c r="J1554" s="61">
        <v>332000</v>
      </c>
      <c r="L1554" s="49">
        <f t="shared" si="92"/>
        <v>362000</v>
      </c>
    </row>
    <row r="1555" spans="1:12" x14ac:dyDescent="0.25">
      <c r="A1555" s="54">
        <v>45538</v>
      </c>
      <c r="B1555" s="25">
        <f t="shared" si="91"/>
        <v>9</v>
      </c>
      <c r="C1555" s="25">
        <v>2024</v>
      </c>
      <c r="D1555" s="104" t="s">
        <v>352</v>
      </c>
      <c r="E1555" s="104" t="s">
        <v>93</v>
      </c>
      <c r="F1555" s="104" t="s">
        <v>377</v>
      </c>
      <c r="J1555" s="61">
        <v>210000</v>
      </c>
      <c r="L1555" s="49">
        <f t="shared" si="92"/>
        <v>572000</v>
      </c>
    </row>
    <row r="1556" spans="1:12" x14ac:dyDescent="0.25">
      <c r="A1556" s="80">
        <v>45538</v>
      </c>
      <c r="B1556" s="155">
        <f t="shared" si="91"/>
        <v>9</v>
      </c>
      <c r="C1556" s="155">
        <v>2024</v>
      </c>
      <c r="D1556" s="107" t="s">
        <v>122</v>
      </c>
      <c r="E1556" s="107" t="s">
        <v>93</v>
      </c>
      <c r="F1556" s="107"/>
      <c r="G1556" s="107"/>
      <c r="H1556" s="81"/>
      <c r="I1556" s="81"/>
      <c r="J1556" s="52"/>
      <c r="K1556" s="52">
        <v>542000</v>
      </c>
      <c r="L1556" s="49">
        <f t="shared" si="92"/>
        <v>30000</v>
      </c>
    </row>
    <row r="1557" spans="1:12" x14ac:dyDescent="0.25">
      <c r="A1557" s="54">
        <v>45539</v>
      </c>
      <c r="B1557" s="25">
        <f t="shared" si="91"/>
        <v>9</v>
      </c>
      <c r="C1557" s="25">
        <v>2024</v>
      </c>
      <c r="D1557" s="104" t="s">
        <v>352</v>
      </c>
      <c r="E1557" s="104" t="s">
        <v>93</v>
      </c>
      <c r="F1557" s="104" t="s">
        <v>1069</v>
      </c>
      <c r="J1557" s="61">
        <v>310000</v>
      </c>
      <c r="L1557" s="49">
        <f t="shared" si="92"/>
        <v>340000</v>
      </c>
    </row>
    <row r="1558" spans="1:12" x14ac:dyDescent="0.25">
      <c r="A1558" s="54">
        <v>45539</v>
      </c>
      <c r="B1558" s="25">
        <f t="shared" si="91"/>
        <v>9</v>
      </c>
      <c r="C1558" s="25">
        <v>2024</v>
      </c>
      <c r="D1558" s="104" t="s">
        <v>352</v>
      </c>
      <c r="E1558" s="104" t="s">
        <v>93</v>
      </c>
      <c r="F1558" s="104" t="s">
        <v>1070</v>
      </c>
      <c r="J1558" s="61">
        <v>6000</v>
      </c>
      <c r="L1558" s="49">
        <f t="shared" si="92"/>
        <v>346000</v>
      </c>
    </row>
    <row r="1559" spans="1:12" x14ac:dyDescent="0.25">
      <c r="A1559" s="80">
        <v>45539</v>
      </c>
      <c r="B1559" s="155">
        <f t="shared" si="91"/>
        <v>9</v>
      </c>
      <c r="C1559" s="155">
        <v>2024</v>
      </c>
      <c r="D1559" s="107" t="s">
        <v>122</v>
      </c>
      <c r="E1559" s="107" t="s">
        <v>93</v>
      </c>
      <c r="F1559" s="107"/>
      <c r="G1559" s="107"/>
      <c r="H1559" s="81"/>
      <c r="I1559" s="81"/>
      <c r="J1559" s="52"/>
      <c r="K1559" s="52">
        <v>316000</v>
      </c>
      <c r="L1559" s="49">
        <f t="shared" si="92"/>
        <v>30000</v>
      </c>
    </row>
    <row r="1560" spans="1:12" x14ac:dyDescent="0.25">
      <c r="A1560" s="54">
        <v>45540</v>
      </c>
      <c r="B1560" s="25">
        <f t="shared" si="91"/>
        <v>9</v>
      </c>
      <c r="C1560" s="25">
        <v>2024</v>
      </c>
      <c r="D1560" s="104" t="s">
        <v>352</v>
      </c>
      <c r="E1560" s="104" t="s">
        <v>93</v>
      </c>
      <c r="F1560" s="104" t="s">
        <v>654</v>
      </c>
      <c r="J1560" s="61">
        <v>57500</v>
      </c>
      <c r="L1560" s="49">
        <f t="shared" si="92"/>
        <v>87500</v>
      </c>
    </row>
    <row r="1561" spans="1:12" x14ac:dyDescent="0.25">
      <c r="A1561" s="54">
        <v>45540</v>
      </c>
      <c r="B1561" s="25">
        <f t="shared" si="91"/>
        <v>9</v>
      </c>
      <c r="C1561" s="25">
        <v>2024</v>
      </c>
      <c r="D1561" s="104" t="s">
        <v>109</v>
      </c>
      <c r="E1561" s="104" t="s">
        <v>93</v>
      </c>
      <c r="K1561" s="61">
        <v>5000</v>
      </c>
      <c r="L1561" s="49">
        <f t="shared" si="92"/>
        <v>82500</v>
      </c>
    </row>
    <row r="1562" spans="1:12" x14ac:dyDescent="0.25">
      <c r="A1562" s="54">
        <v>45540</v>
      </c>
      <c r="B1562" s="25">
        <f t="shared" si="91"/>
        <v>9</v>
      </c>
      <c r="C1562" s="25">
        <v>2024</v>
      </c>
      <c r="D1562" s="104" t="s">
        <v>352</v>
      </c>
      <c r="E1562" s="104" t="s">
        <v>93</v>
      </c>
      <c r="F1562" s="104" t="s">
        <v>456</v>
      </c>
      <c r="J1562" s="61">
        <v>45000</v>
      </c>
      <c r="L1562" s="49">
        <f t="shared" si="92"/>
        <v>127500</v>
      </c>
    </row>
    <row r="1563" spans="1:12" x14ac:dyDescent="0.25">
      <c r="A1563" s="54">
        <v>45540</v>
      </c>
      <c r="B1563" s="25">
        <f t="shared" si="91"/>
        <v>9</v>
      </c>
      <c r="C1563" s="25">
        <v>2024</v>
      </c>
      <c r="D1563" s="104" t="s">
        <v>352</v>
      </c>
      <c r="E1563" s="104" t="s">
        <v>93</v>
      </c>
      <c r="F1563" s="104" t="s">
        <v>1008</v>
      </c>
      <c r="J1563" s="61">
        <v>33000</v>
      </c>
      <c r="L1563" s="49">
        <f t="shared" si="92"/>
        <v>160500</v>
      </c>
    </row>
    <row r="1564" spans="1:12" x14ac:dyDescent="0.25">
      <c r="A1564" s="80">
        <v>45540</v>
      </c>
      <c r="B1564" s="155">
        <f t="shared" si="91"/>
        <v>9</v>
      </c>
      <c r="C1564" s="155">
        <v>2024</v>
      </c>
      <c r="D1564" s="107" t="s">
        <v>122</v>
      </c>
      <c r="E1564" s="107" t="s">
        <v>93</v>
      </c>
      <c r="F1564" s="107"/>
      <c r="G1564" s="107"/>
      <c r="H1564" s="81"/>
      <c r="I1564" s="81"/>
      <c r="J1564" s="52"/>
      <c r="K1564" s="52">
        <v>130500</v>
      </c>
      <c r="L1564" s="49">
        <f t="shared" si="92"/>
        <v>30000</v>
      </c>
    </row>
    <row r="1565" spans="1:12" x14ac:dyDescent="0.25">
      <c r="A1565" s="54">
        <v>45541</v>
      </c>
      <c r="B1565" s="25">
        <f t="shared" si="91"/>
        <v>9</v>
      </c>
      <c r="C1565" s="25">
        <v>2024</v>
      </c>
      <c r="D1565" s="104" t="s">
        <v>384</v>
      </c>
      <c r="E1565" s="104" t="s">
        <v>93</v>
      </c>
      <c r="J1565" s="61">
        <v>143175</v>
      </c>
      <c r="L1565" s="49">
        <f t="shared" si="92"/>
        <v>173175</v>
      </c>
    </row>
    <row r="1566" spans="1:12" x14ac:dyDescent="0.25">
      <c r="A1566" s="54">
        <v>45541</v>
      </c>
      <c r="B1566" s="25">
        <f t="shared" si="91"/>
        <v>9</v>
      </c>
      <c r="C1566" s="25">
        <v>2024</v>
      </c>
      <c r="D1566" s="104" t="s">
        <v>148</v>
      </c>
      <c r="E1566" s="104" t="s">
        <v>93</v>
      </c>
      <c r="K1566" s="61">
        <v>143175</v>
      </c>
      <c r="L1566" s="49">
        <f t="shared" si="92"/>
        <v>30000</v>
      </c>
    </row>
    <row r="1567" spans="1:12" x14ac:dyDescent="0.25">
      <c r="A1567" s="54">
        <v>45541</v>
      </c>
      <c r="B1567" s="25">
        <f t="shared" si="91"/>
        <v>9</v>
      </c>
      <c r="C1567" s="25">
        <v>2024</v>
      </c>
      <c r="D1567" s="104" t="s">
        <v>352</v>
      </c>
      <c r="E1567" s="104" t="s">
        <v>343</v>
      </c>
      <c r="F1567" s="104" t="s">
        <v>1076</v>
      </c>
      <c r="J1567" s="61">
        <v>201000</v>
      </c>
      <c r="L1567" s="49">
        <f t="shared" si="92"/>
        <v>231000</v>
      </c>
    </row>
    <row r="1568" spans="1:12" x14ac:dyDescent="0.25">
      <c r="A1568" s="54">
        <v>45541</v>
      </c>
      <c r="B1568" s="25">
        <f t="shared" si="91"/>
        <v>9</v>
      </c>
      <c r="C1568" s="25">
        <v>2024</v>
      </c>
      <c r="D1568" s="104" t="s">
        <v>352</v>
      </c>
      <c r="E1568" s="104" t="s">
        <v>343</v>
      </c>
      <c r="F1568" s="104" t="s">
        <v>997</v>
      </c>
      <c r="J1568" s="61">
        <v>200000</v>
      </c>
      <c r="L1568" s="49">
        <f t="shared" si="92"/>
        <v>431000</v>
      </c>
    </row>
    <row r="1569" spans="1:12" x14ac:dyDescent="0.25">
      <c r="A1569" s="80">
        <v>45541</v>
      </c>
      <c r="B1569" s="155">
        <f t="shared" si="91"/>
        <v>9</v>
      </c>
      <c r="C1569" s="155">
        <v>2024</v>
      </c>
      <c r="D1569" s="107" t="s">
        <v>361</v>
      </c>
      <c r="E1569" s="107" t="s">
        <v>343</v>
      </c>
      <c r="F1569" s="107"/>
      <c r="G1569" s="107"/>
      <c r="H1569" s="81"/>
      <c r="I1569" s="81"/>
      <c r="J1569" s="52"/>
      <c r="K1569" s="52">
        <v>401000</v>
      </c>
      <c r="L1569" s="49">
        <f t="shared" si="92"/>
        <v>30000</v>
      </c>
    </row>
    <row r="1570" spans="1:12" x14ac:dyDescent="0.25">
      <c r="A1570" s="54">
        <v>45542</v>
      </c>
      <c r="B1570" s="25">
        <f t="shared" si="91"/>
        <v>9</v>
      </c>
      <c r="C1570" s="25">
        <v>2024</v>
      </c>
      <c r="D1570" s="104" t="s">
        <v>352</v>
      </c>
      <c r="E1570" s="104" t="s">
        <v>343</v>
      </c>
      <c r="F1570" s="104" t="s">
        <v>1077</v>
      </c>
      <c r="J1570" s="61">
        <v>296000</v>
      </c>
      <c r="L1570" s="49">
        <f t="shared" si="92"/>
        <v>326000</v>
      </c>
    </row>
    <row r="1571" spans="1:12" x14ac:dyDescent="0.25">
      <c r="A1571" s="54">
        <v>45542</v>
      </c>
      <c r="B1571" s="25">
        <f t="shared" si="91"/>
        <v>9</v>
      </c>
      <c r="C1571" s="25">
        <v>2024</v>
      </c>
      <c r="D1571" s="104" t="s">
        <v>501</v>
      </c>
      <c r="E1571" s="104" t="s">
        <v>93</v>
      </c>
      <c r="F1571" s="104" t="s">
        <v>655</v>
      </c>
      <c r="K1571" s="61">
        <v>200000</v>
      </c>
      <c r="L1571" s="49">
        <f t="shared" si="92"/>
        <v>126000</v>
      </c>
    </row>
    <row r="1572" spans="1:12" x14ac:dyDescent="0.25">
      <c r="A1572" s="80">
        <v>45542</v>
      </c>
      <c r="B1572" s="155">
        <f t="shared" si="91"/>
        <v>9</v>
      </c>
      <c r="C1572" s="155">
        <v>2024</v>
      </c>
      <c r="D1572" s="107" t="s">
        <v>361</v>
      </c>
      <c r="E1572" s="107" t="s">
        <v>93</v>
      </c>
      <c r="F1572" s="107"/>
      <c r="G1572" s="107"/>
      <c r="H1572" s="81"/>
      <c r="I1572" s="81"/>
      <c r="J1572" s="52"/>
      <c r="K1572" s="52">
        <v>96000</v>
      </c>
      <c r="L1572" s="49">
        <f t="shared" si="92"/>
        <v>30000</v>
      </c>
    </row>
    <row r="1573" spans="1:12" x14ac:dyDescent="0.25">
      <c r="A1573" s="54">
        <v>45544</v>
      </c>
      <c r="B1573" s="25">
        <f t="shared" si="91"/>
        <v>9</v>
      </c>
      <c r="C1573" s="25">
        <v>2024</v>
      </c>
      <c r="D1573" s="104" t="s">
        <v>352</v>
      </c>
      <c r="E1573" s="104" t="s">
        <v>93</v>
      </c>
      <c r="F1573" s="104" t="s">
        <v>540</v>
      </c>
      <c r="J1573" s="61">
        <v>250000</v>
      </c>
      <c r="L1573" s="49">
        <f t="shared" si="92"/>
        <v>280000</v>
      </c>
    </row>
    <row r="1574" spans="1:12" x14ac:dyDescent="0.25">
      <c r="A1574" s="66">
        <v>45544</v>
      </c>
      <c r="B1574" s="77">
        <f t="shared" si="91"/>
        <v>9</v>
      </c>
      <c r="C1574" s="77">
        <v>2024</v>
      </c>
      <c r="D1574" s="109" t="s">
        <v>124</v>
      </c>
      <c r="E1574" s="109" t="s">
        <v>93</v>
      </c>
      <c r="F1574" s="109" t="s">
        <v>1079</v>
      </c>
      <c r="G1574" s="109"/>
      <c r="H1574" s="14"/>
      <c r="I1574" s="14"/>
      <c r="J1574" s="118"/>
      <c r="K1574" s="118">
        <v>60000</v>
      </c>
      <c r="L1574" s="49">
        <f t="shared" si="92"/>
        <v>220000</v>
      </c>
    </row>
    <row r="1575" spans="1:12" x14ac:dyDescent="0.25">
      <c r="A1575" s="80">
        <v>45544</v>
      </c>
      <c r="B1575" s="155">
        <f t="shared" si="91"/>
        <v>9</v>
      </c>
      <c r="C1575" s="155">
        <v>2024</v>
      </c>
      <c r="D1575" s="107" t="s">
        <v>122</v>
      </c>
      <c r="E1575" s="107" t="s">
        <v>93</v>
      </c>
      <c r="F1575" s="107"/>
      <c r="G1575" s="107"/>
      <c r="H1575" s="81"/>
      <c r="I1575" s="81"/>
      <c r="J1575" s="52"/>
      <c r="K1575" s="52">
        <v>190000</v>
      </c>
      <c r="L1575" s="49">
        <f t="shared" si="92"/>
        <v>30000</v>
      </c>
    </row>
    <row r="1576" spans="1:12" x14ac:dyDescent="0.25">
      <c r="A1576" s="54">
        <v>45545</v>
      </c>
      <c r="B1576" s="25">
        <f t="shared" si="91"/>
        <v>9</v>
      </c>
      <c r="C1576" s="25">
        <v>2024</v>
      </c>
      <c r="D1576" s="104" t="s">
        <v>384</v>
      </c>
      <c r="E1576" s="104" t="s">
        <v>93</v>
      </c>
      <c r="J1576" s="61">
        <v>129470</v>
      </c>
      <c r="L1576" s="49">
        <f t="shared" si="92"/>
        <v>159470</v>
      </c>
    </row>
    <row r="1577" spans="1:12" x14ac:dyDescent="0.25">
      <c r="A1577" s="54">
        <v>45545</v>
      </c>
      <c r="B1577" s="25">
        <f t="shared" si="91"/>
        <v>9</v>
      </c>
      <c r="C1577" s="25">
        <v>2024</v>
      </c>
      <c r="D1577" s="104" t="s">
        <v>124</v>
      </c>
      <c r="E1577" s="104" t="s">
        <v>93</v>
      </c>
      <c r="F1577" s="104" t="s">
        <v>980</v>
      </c>
      <c r="K1577" s="61">
        <v>129470</v>
      </c>
      <c r="L1577" s="49">
        <f t="shared" si="92"/>
        <v>30000</v>
      </c>
    </row>
    <row r="1578" spans="1:12" x14ac:dyDescent="0.25">
      <c r="A1578" s="54">
        <v>45546</v>
      </c>
      <c r="B1578" s="25">
        <f t="shared" si="91"/>
        <v>9</v>
      </c>
      <c r="C1578" s="25">
        <v>2024</v>
      </c>
      <c r="D1578" s="104" t="s">
        <v>352</v>
      </c>
      <c r="E1578" s="104" t="s">
        <v>93</v>
      </c>
      <c r="F1578" s="104" t="s">
        <v>1080</v>
      </c>
      <c r="J1578" s="61">
        <v>300000</v>
      </c>
      <c r="L1578" s="49">
        <f t="shared" si="92"/>
        <v>330000</v>
      </c>
    </row>
    <row r="1579" spans="1:12" x14ac:dyDescent="0.25">
      <c r="A1579" s="80">
        <v>45546</v>
      </c>
      <c r="B1579" s="155">
        <f t="shared" si="91"/>
        <v>9</v>
      </c>
      <c r="C1579" s="155">
        <v>2024</v>
      </c>
      <c r="D1579" s="107" t="s">
        <v>122</v>
      </c>
      <c r="E1579" s="107" t="s">
        <v>93</v>
      </c>
      <c r="F1579" s="107"/>
      <c r="G1579" s="107"/>
      <c r="H1579" s="81"/>
      <c r="I1579" s="81"/>
      <c r="J1579" s="52"/>
      <c r="K1579" s="52">
        <v>300000</v>
      </c>
      <c r="L1579" s="49">
        <f t="shared" si="92"/>
        <v>30000</v>
      </c>
    </row>
    <row r="1580" spans="1:12" x14ac:dyDescent="0.25">
      <c r="A1580" s="54">
        <v>45547</v>
      </c>
      <c r="B1580" s="25">
        <f t="shared" si="91"/>
        <v>9</v>
      </c>
      <c r="C1580" s="25">
        <v>2024</v>
      </c>
      <c r="D1580" s="104" t="s">
        <v>384</v>
      </c>
      <c r="E1580" s="104" t="s">
        <v>93</v>
      </c>
      <c r="J1580" s="61">
        <v>19980</v>
      </c>
      <c r="L1580" s="49">
        <f t="shared" si="92"/>
        <v>49980</v>
      </c>
    </row>
    <row r="1581" spans="1:12" x14ac:dyDescent="0.25">
      <c r="A1581" s="54">
        <v>45547</v>
      </c>
      <c r="B1581" s="25">
        <f t="shared" si="91"/>
        <v>9</v>
      </c>
      <c r="C1581" s="25">
        <v>2024</v>
      </c>
      <c r="D1581" s="104" t="s">
        <v>124</v>
      </c>
      <c r="E1581" s="104" t="s">
        <v>93</v>
      </c>
      <c r="F1581" s="104" t="s">
        <v>717</v>
      </c>
      <c r="K1581" s="61">
        <v>19980</v>
      </c>
      <c r="L1581" s="49">
        <f t="shared" si="92"/>
        <v>30000</v>
      </c>
    </row>
    <row r="1582" spans="1:12" x14ac:dyDescent="0.25">
      <c r="A1582" s="54">
        <v>45547</v>
      </c>
      <c r="B1582" s="25">
        <f t="shared" si="91"/>
        <v>9</v>
      </c>
      <c r="C1582" s="25">
        <v>2024</v>
      </c>
      <c r="D1582" s="104" t="s">
        <v>384</v>
      </c>
      <c r="E1582" s="104" t="s">
        <v>93</v>
      </c>
      <c r="J1582" s="61">
        <v>82000</v>
      </c>
      <c r="L1582" s="49">
        <f t="shared" si="92"/>
        <v>112000</v>
      </c>
    </row>
    <row r="1583" spans="1:12" x14ac:dyDescent="0.25">
      <c r="A1583" s="54">
        <v>45547</v>
      </c>
      <c r="B1583" s="25">
        <f t="shared" si="91"/>
        <v>9</v>
      </c>
      <c r="C1583" s="25">
        <v>2024</v>
      </c>
      <c r="D1583" s="104" t="s">
        <v>124</v>
      </c>
      <c r="E1583" s="104" t="s">
        <v>93</v>
      </c>
      <c r="F1583" s="104" t="s">
        <v>184</v>
      </c>
      <c r="K1583" s="61">
        <v>82000</v>
      </c>
      <c r="L1583" s="49">
        <f t="shared" si="92"/>
        <v>30000</v>
      </c>
    </row>
    <row r="1584" spans="1:12" x14ac:dyDescent="0.25">
      <c r="A1584" s="54">
        <v>45548</v>
      </c>
      <c r="B1584" s="25">
        <f t="shared" si="91"/>
        <v>9</v>
      </c>
      <c r="C1584" s="25">
        <v>2024</v>
      </c>
      <c r="D1584" s="104" t="s">
        <v>352</v>
      </c>
      <c r="E1584" s="104" t="s">
        <v>93</v>
      </c>
      <c r="F1584" s="104" t="s">
        <v>456</v>
      </c>
      <c r="J1584" s="61">
        <v>15000</v>
      </c>
      <c r="L1584" s="49">
        <f t="shared" si="92"/>
        <v>45000</v>
      </c>
    </row>
    <row r="1585" spans="1:12" x14ac:dyDescent="0.25">
      <c r="A1585" s="54">
        <v>45548</v>
      </c>
      <c r="B1585" s="25">
        <f t="shared" si="91"/>
        <v>9</v>
      </c>
      <c r="C1585" s="25">
        <v>2024</v>
      </c>
      <c r="D1585" s="104" t="s">
        <v>352</v>
      </c>
      <c r="E1585" s="104" t="s">
        <v>93</v>
      </c>
      <c r="F1585" s="104" t="s">
        <v>1085</v>
      </c>
      <c r="J1585" s="61">
        <v>58900</v>
      </c>
      <c r="L1585" s="49">
        <f t="shared" si="92"/>
        <v>103900</v>
      </c>
    </row>
    <row r="1586" spans="1:12" x14ac:dyDescent="0.25">
      <c r="A1586" s="80">
        <v>45548</v>
      </c>
      <c r="B1586" s="155">
        <f t="shared" si="91"/>
        <v>9</v>
      </c>
      <c r="C1586" s="155">
        <v>2024</v>
      </c>
      <c r="D1586" s="107" t="s">
        <v>122</v>
      </c>
      <c r="E1586" s="107" t="s">
        <v>93</v>
      </c>
      <c r="F1586" s="107"/>
      <c r="G1586" s="107"/>
      <c r="H1586" s="81"/>
      <c r="I1586" s="81"/>
      <c r="J1586" s="52"/>
      <c r="K1586" s="52">
        <v>73900</v>
      </c>
      <c r="L1586" s="49">
        <f t="shared" si="92"/>
        <v>30000</v>
      </c>
    </row>
    <row r="1587" spans="1:12" x14ac:dyDescent="0.25">
      <c r="A1587" s="54">
        <v>45549</v>
      </c>
      <c r="B1587" s="25">
        <f t="shared" si="91"/>
        <v>9</v>
      </c>
      <c r="C1587" s="25">
        <v>2024</v>
      </c>
      <c r="D1587" s="104" t="s">
        <v>384</v>
      </c>
      <c r="E1587" s="104" t="s">
        <v>93</v>
      </c>
      <c r="J1587" s="61">
        <v>200000</v>
      </c>
      <c r="L1587" s="49">
        <f t="shared" si="92"/>
        <v>230000</v>
      </c>
    </row>
    <row r="1588" spans="1:12" x14ac:dyDescent="0.25">
      <c r="A1588" s="54">
        <v>45549</v>
      </c>
      <c r="B1588" s="25">
        <f t="shared" si="91"/>
        <v>9</v>
      </c>
      <c r="C1588" s="25">
        <v>2024</v>
      </c>
      <c r="D1588" s="104" t="s">
        <v>501</v>
      </c>
      <c r="E1588" s="104" t="s">
        <v>93</v>
      </c>
      <c r="F1588" s="104" t="s">
        <v>655</v>
      </c>
      <c r="K1588" s="61">
        <v>200000</v>
      </c>
      <c r="L1588" s="49">
        <f t="shared" si="92"/>
        <v>30000</v>
      </c>
    </row>
    <row r="1589" spans="1:12" x14ac:dyDescent="0.25">
      <c r="A1589" s="54">
        <v>45551</v>
      </c>
      <c r="B1589" s="25">
        <f t="shared" si="91"/>
        <v>9</v>
      </c>
      <c r="C1589" s="25">
        <v>2024</v>
      </c>
      <c r="D1589" s="104" t="s">
        <v>123</v>
      </c>
      <c r="E1589" s="104" t="s">
        <v>93</v>
      </c>
      <c r="F1589" s="104" t="s">
        <v>1086</v>
      </c>
      <c r="J1589" s="61">
        <v>55000</v>
      </c>
      <c r="L1589" s="49">
        <f t="shared" si="92"/>
        <v>85000</v>
      </c>
    </row>
    <row r="1590" spans="1:12" x14ac:dyDescent="0.25">
      <c r="A1590" s="54">
        <v>45551</v>
      </c>
      <c r="B1590" s="25">
        <f t="shared" si="91"/>
        <v>9</v>
      </c>
      <c r="C1590" s="25">
        <v>2024</v>
      </c>
      <c r="D1590" s="104" t="s">
        <v>109</v>
      </c>
      <c r="E1590" s="104" t="s">
        <v>93</v>
      </c>
      <c r="K1590" s="61">
        <v>14000</v>
      </c>
      <c r="L1590" s="49">
        <f t="shared" si="92"/>
        <v>71000</v>
      </c>
    </row>
    <row r="1591" spans="1:12" x14ac:dyDescent="0.25">
      <c r="A1591" s="80">
        <v>45551</v>
      </c>
      <c r="B1591" s="155">
        <f t="shared" si="91"/>
        <v>9</v>
      </c>
      <c r="C1591" s="155">
        <v>2024</v>
      </c>
      <c r="D1591" s="107" t="s">
        <v>122</v>
      </c>
      <c r="E1591" s="107" t="s">
        <v>93</v>
      </c>
      <c r="F1591" s="107"/>
      <c r="G1591" s="107"/>
      <c r="H1591" s="81"/>
      <c r="I1591" s="81"/>
      <c r="J1591" s="52"/>
      <c r="K1591" s="52">
        <v>41000</v>
      </c>
      <c r="L1591" s="49">
        <f t="shared" si="92"/>
        <v>30000</v>
      </c>
    </row>
    <row r="1592" spans="1:12" x14ac:dyDescent="0.25">
      <c r="A1592" s="54">
        <v>45552</v>
      </c>
      <c r="B1592" s="25">
        <f t="shared" si="91"/>
        <v>9</v>
      </c>
      <c r="C1592" s="25">
        <v>2024</v>
      </c>
      <c r="D1592" s="104" t="s">
        <v>352</v>
      </c>
      <c r="E1592" s="104" t="s">
        <v>93</v>
      </c>
      <c r="F1592" s="104" t="s">
        <v>985</v>
      </c>
      <c r="J1592" s="61">
        <v>358500</v>
      </c>
      <c r="L1592" s="49">
        <f t="shared" si="92"/>
        <v>388500</v>
      </c>
    </row>
    <row r="1593" spans="1:12" x14ac:dyDescent="0.25">
      <c r="A1593" s="54">
        <v>45552</v>
      </c>
      <c r="B1593" s="25">
        <f t="shared" si="91"/>
        <v>9</v>
      </c>
      <c r="C1593" s="25">
        <v>2024</v>
      </c>
      <c r="D1593" s="104" t="s">
        <v>352</v>
      </c>
      <c r="E1593" s="104" t="s">
        <v>93</v>
      </c>
      <c r="F1593" s="104" t="s">
        <v>997</v>
      </c>
      <c r="J1593" s="61">
        <v>100000</v>
      </c>
      <c r="L1593" s="49">
        <f t="shared" si="92"/>
        <v>488500</v>
      </c>
    </row>
    <row r="1594" spans="1:12" x14ac:dyDescent="0.25">
      <c r="A1594" s="80">
        <v>45552</v>
      </c>
      <c r="B1594" s="155">
        <f t="shared" si="91"/>
        <v>9</v>
      </c>
      <c r="C1594" s="155">
        <v>2024</v>
      </c>
      <c r="D1594" s="107" t="s">
        <v>122</v>
      </c>
      <c r="E1594" s="107" t="s">
        <v>93</v>
      </c>
      <c r="F1594" s="107"/>
      <c r="G1594" s="107"/>
      <c r="H1594" s="81"/>
      <c r="I1594" s="81"/>
      <c r="J1594" s="52"/>
      <c r="K1594" s="52">
        <v>458500</v>
      </c>
      <c r="L1594" s="49">
        <f t="shared" si="92"/>
        <v>30000</v>
      </c>
    </row>
    <row r="1595" spans="1:12" x14ac:dyDescent="0.25">
      <c r="A1595" s="54">
        <v>45553</v>
      </c>
      <c r="B1595" s="25">
        <f t="shared" si="91"/>
        <v>9</v>
      </c>
      <c r="C1595" s="25">
        <v>2024</v>
      </c>
      <c r="D1595" s="104" t="s">
        <v>352</v>
      </c>
      <c r="E1595" s="104" t="s">
        <v>93</v>
      </c>
      <c r="F1595" s="104" t="s">
        <v>1090</v>
      </c>
      <c r="J1595" s="61">
        <v>1339400</v>
      </c>
      <c r="L1595" s="49">
        <f t="shared" si="92"/>
        <v>1369400</v>
      </c>
    </row>
    <row r="1596" spans="1:12" x14ac:dyDescent="0.25">
      <c r="A1596" s="54">
        <v>45553</v>
      </c>
      <c r="B1596" s="25">
        <f t="shared" si="91"/>
        <v>9</v>
      </c>
      <c r="C1596" s="25">
        <v>2024</v>
      </c>
      <c r="D1596" s="104" t="s">
        <v>352</v>
      </c>
      <c r="E1596" s="104" t="s">
        <v>93</v>
      </c>
      <c r="F1596" s="104" t="s">
        <v>1032</v>
      </c>
      <c r="J1596" s="61">
        <v>53500</v>
      </c>
      <c r="L1596" s="49">
        <f t="shared" si="92"/>
        <v>1422900</v>
      </c>
    </row>
    <row r="1597" spans="1:12" x14ac:dyDescent="0.25">
      <c r="A1597" s="80">
        <v>45553</v>
      </c>
      <c r="B1597" s="155">
        <f t="shared" si="91"/>
        <v>9</v>
      </c>
      <c r="C1597" s="155">
        <v>2024</v>
      </c>
      <c r="D1597" s="107" t="s">
        <v>122</v>
      </c>
      <c r="E1597" s="107" t="s">
        <v>93</v>
      </c>
      <c r="F1597" s="107"/>
      <c r="G1597" s="107"/>
      <c r="H1597" s="81"/>
      <c r="I1597" s="81"/>
      <c r="J1597" s="52"/>
      <c r="K1597" s="52">
        <v>1392900</v>
      </c>
      <c r="L1597" s="49">
        <f t="shared" si="92"/>
        <v>30000</v>
      </c>
    </row>
    <row r="1598" spans="1:12" x14ac:dyDescent="0.25">
      <c r="A1598" s="54">
        <v>45556</v>
      </c>
      <c r="B1598" s="25">
        <f t="shared" si="91"/>
        <v>9</v>
      </c>
      <c r="C1598" s="25">
        <v>2024</v>
      </c>
      <c r="D1598" s="104" t="s">
        <v>122</v>
      </c>
      <c r="E1598" s="104" t="s">
        <v>93</v>
      </c>
      <c r="J1598" s="61">
        <v>200000</v>
      </c>
      <c r="L1598" s="49">
        <f t="shared" si="92"/>
        <v>230000</v>
      </c>
    </row>
    <row r="1599" spans="1:12" x14ac:dyDescent="0.25">
      <c r="A1599" s="54">
        <v>45556</v>
      </c>
      <c r="B1599" s="25">
        <f t="shared" si="91"/>
        <v>9</v>
      </c>
      <c r="C1599" s="25">
        <v>2024</v>
      </c>
      <c r="D1599" s="104" t="s">
        <v>501</v>
      </c>
      <c r="E1599" s="104" t="s">
        <v>93</v>
      </c>
      <c r="F1599" s="104" t="s">
        <v>655</v>
      </c>
      <c r="K1599" s="61">
        <v>200000</v>
      </c>
      <c r="L1599" s="49">
        <f t="shared" si="92"/>
        <v>30000</v>
      </c>
    </row>
    <row r="1600" spans="1:12" x14ac:dyDescent="0.25">
      <c r="A1600" s="54">
        <v>45556</v>
      </c>
      <c r="B1600" s="25">
        <f t="shared" si="91"/>
        <v>9</v>
      </c>
      <c r="C1600" s="25">
        <v>2024</v>
      </c>
      <c r="D1600" s="104" t="s">
        <v>352</v>
      </c>
      <c r="E1600" s="104" t="s">
        <v>93</v>
      </c>
      <c r="F1600" s="104" t="s">
        <v>1092</v>
      </c>
      <c r="J1600" s="61">
        <v>92000</v>
      </c>
      <c r="L1600" s="49">
        <f t="shared" si="92"/>
        <v>122000</v>
      </c>
    </row>
    <row r="1601" spans="1:12" x14ac:dyDescent="0.25">
      <c r="A1601" s="80">
        <v>45556</v>
      </c>
      <c r="B1601" s="155">
        <f t="shared" si="91"/>
        <v>9</v>
      </c>
      <c r="C1601" s="155">
        <v>2024</v>
      </c>
      <c r="D1601" s="107" t="s">
        <v>122</v>
      </c>
      <c r="E1601" s="107" t="s">
        <v>93</v>
      </c>
      <c r="F1601" s="107"/>
      <c r="G1601" s="107"/>
      <c r="H1601" s="81"/>
      <c r="I1601" s="81"/>
      <c r="J1601" s="52"/>
      <c r="K1601" s="52">
        <v>92000</v>
      </c>
      <c r="L1601" s="49">
        <f t="shared" si="92"/>
        <v>30000</v>
      </c>
    </row>
    <row r="1602" spans="1:12" x14ac:dyDescent="0.25">
      <c r="A1602" s="54">
        <v>45560</v>
      </c>
      <c r="B1602" s="25">
        <f t="shared" si="91"/>
        <v>9</v>
      </c>
      <c r="C1602" s="25">
        <v>2024</v>
      </c>
      <c r="D1602" s="104" t="s">
        <v>352</v>
      </c>
      <c r="E1602" s="104" t="s">
        <v>93</v>
      </c>
      <c r="F1602" s="104" t="s">
        <v>1095</v>
      </c>
      <c r="J1602" s="61">
        <v>123800</v>
      </c>
      <c r="L1602" s="49">
        <f t="shared" si="92"/>
        <v>153800</v>
      </c>
    </row>
    <row r="1603" spans="1:12" x14ac:dyDescent="0.25">
      <c r="A1603" s="54">
        <v>45560</v>
      </c>
      <c r="B1603" s="25">
        <f t="shared" ref="B1603:B1666" si="93">MONTH(A1603)</f>
        <v>9</v>
      </c>
      <c r="C1603" s="25">
        <v>2024</v>
      </c>
      <c r="D1603" s="104" t="s">
        <v>352</v>
      </c>
      <c r="E1603" s="104" t="s">
        <v>93</v>
      </c>
      <c r="F1603" s="104" t="s">
        <v>1096</v>
      </c>
      <c r="J1603" s="61">
        <v>160000</v>
      </c>
      <c r="L1603" s="49">
        <f t="shared" si="92"/>
        <v>313800</v>
      </c>
    </row>
    <row r="1604" spans="1:12" x14ac:dyDescent="0.25">
      <c r="A1604" s="80">
        <v>38255</v>
      </c>
      <c r="B1604" s="155">
        <f t="shared" si="93"/>
        <v>9</v>
      </c>
      <c r="C1604" s="155">
        <v>2024</v>
      </c>
      <c r="D1604" s="107" t="s">
        <v>122</v>
      </c>
      <c r="E1604" s="107" t="s">
        <v>93</v>
      </c>
      <c r="F1604" s="107"/>
      <c r="G1604" s="107"/>
      <c r="H1604" s="81"/>
      <c r="I1604" s="81"/>
      <c r="J1604" s="52"/>
      <c r="K1604" s="52">
        <v>283800</v>
      </c>
      <c r="L1604" s="49">
        <f t="shared" ref="L1604:L1667" si="94">IF((L1603+M1603+J1604-K1604)&gt;0,(L1603+M1603+J1604-K1604),0)</f>
        <v>30000</v>
      </c>
    </row>
    <row r="1605" spans="1:12" x14ac:dyDescent="0.25">
      <c r="A1605" s="54">
        <v>45561</v>
      </c>
      <c r="B1605" s="25">
        <f t="shared" si="93"/>
        <v>9</v>
      </c>
      <c r="C1605" s="25">
        <v>2024</v>
      </c>
      <c r="D1605" s="104" t="s">
        <v>352</v>
      </c>
      <c r="E1605" s="104" t="s">
        <v>93</v>
      </c>
      <c r="F1605" s="104" t="s">
        <v>1098</v>
      </c>
      <c r="J1605" s="61">
        <v>154000</v>
      </c>
      <c r="L1605" s="49">
        <f t="shared" si="94"/>
        <v>184000</v>
      </c>
    </row>
    <row r="1606" spans="1:12" x14ac:dyDescent="0.25">
      <c r="A1606" s="54">
        <v>45561</v>
      </c>
      <c r="B1606" s="25">
        <f t="shared" si="93"/>
        <v>9</v>
      </c>
      <c r="C1606" s="25">
        <v>2024</v>
      </c>
      <c r="D1606" s="104" t="s">
        <v>109</v>
      </c>
      <c r="E1606" s="104" t="s">
        <v>93</v>
      </c>
      <c r="F1606" s="104" t="s">
        <v>204</v>
      </c>
      <c r="K1606" s="61">
        <v>9500</v>
      </c>
      <c r="L1606" s="49">
        <f t="shared" si="94"/>
        <v>174500</v>
      </c>
    </row>
    <row r="1607" spans="1:12" x14ac:dyDescent="0.25">
      <c r="A1607" s="80">
        <v>45561</v>
      </c>
      <c r="B1607" s="155">
        <f t="shared" si="93"/>
        <v>9</v>
      </c>
      <c r="C1607" s="155">
        <v>2024</v>
      </c>
      <c r="D1607" s="107" t="s">
        <v>122</v>
      </c>
      <c r="E1607" s="107" t="s">
        <v>93</v>
      </c>
      <c r="F1607" s="107"/>
      <c r="G1607" s="107"/>
      <c r="H1607" s="81"/>
      <c r="I1607" s="81"/>
      <c r="J1607" s="52"/>
      <c r="K1607" s="52">
        <v>144500</v>
      </c>
      <c r="L1607" s="49">
        <f t="shared" si="94"/>
        <v>30000</v>
      </c>
    </row>
    <row r="1608" spans="1:12" x14ac:dyDescent="0.25">
      <c r="A1608" s="54">
        <v>45561</v>
      </c>
      <c r="B1608" s="25">
        <f t="shared" si="93"/>
        <v>9</v>
      </c>
      <c r="C1608" s="25">
        <v>2024</v>
      </c>
      <c r="D1608" s="104" t="s">
        <v>352</v>
      </c>
      <c r="E1608" s="104" t="s">
        <v>93</v>
      </c>
      <c r="F1608" s="104" t="s">
        <v>1099</v>
      </c>
      <c r="J1608" s="61">
        <v>80000</v>
      </c>
      <c r="L1608" s="49">
        <f t="shared" si="94"/>
        <v>110000</v>
      </c>
    </row>
    <row r="1609" spans="1:12" x14ac:dyDescent="0.25">
      <c r="A1609" s="54">
        <v>45561</v>
      </c>
      <c r="B1609" s="25">
        <f t="shared" si="93"/>
        <v>9</v>
      </c>
      <c r="C1609" s="25">
        <v>2024</v>
      </c>
      <c r="D1609" s="104" t="s">
        <v>384</v>
      </c>
      <c r="E1609" s="104" t="s">
        <v>93</v>
      </c>
      <c r="J1609" s="61">
        <v>150000</v>
      </c>
      <c r="L1609" s="49">
        <f t="shared" si="94"/>
        <v>260000</v>
      </c>
    </row>
    <row r="1610" spans="1:12" x14ac:dyDescent="0.25">
      <c r="A1610" s="54">
        <v>45561</v>
      </c>
      <c r="B1610" s="25">
        <f t="shared" si="93"/>
        <v>9</v>
      </c>
      <c r="C1610" s="25">
        <v>2024</v>
      </c>
      <c r="D1610" s="104" t="s">
        <v>501</v>
      </c>
      <c r="E1610" s="104" t="s">
        <v>93</v>
      </c>
      <c r="F1610" s="104" t="s">
        <v>1100</v>
      </c>
      <c r="K1610" s="61">
        <v>150000</v>
      </c>
      <c r="L1610" s="49">
        <f t="shared" si="94"/>
        <v>110000</v>
      </c>
    </row>
    <row r="1611" spans="1:12" x14ac:dyDescent="0.25">
      <c r="A1611" s="54">
        <v>45561</v>
      </c>
      <c r="B1611" s="25">
        <f t="shared" si="93"/>
        <v>9</v>
      </c>
      <c r="C1611" s="25">
        <v>2024</v>
      </c>
      <c r="D1611" s="104" t="s">
        <v>122</v>
      </c>
      <c r="E1611" s="104" t="s">
        <v>93</v>
      </c>
      <c r="K1611" s="61">
        <v>80000</v>
      </c>
      <c r="L1611" s="49">
        <f t="shared" si="94"/>
        <v>30000</v>
      </c>
    </row>
    <row r="1612" spans="1:12" x14ac:dyDescent="0.25">
      <c r="A1612" s="54">
        <v>45563</v>
      </c>
      <c r="B1612" s="25">
        <f t="shared" si="93"/>
        <v>9</v>
      </c>
      <c r="C1612" s="25">
        <v>2024</v>
      </c>
      <c r="D1612" s="104" t="s">
        <v>384</v>
      </c>
      <c r="E1612" s="104" t="s">
        <v>93</v>
      </c>
      <c r="J1612" s="61">
        <v>200000</v>
      </c>
      <c r="L1612" s="49">
        <f t="shared" si="94"/>
        <v>230000</v>
      </c>
    </row>
    <row r="1613" spans="1:12" x14ac:dyDescent="0.25">
      <c r="A1613" s="54">
        <v>45563</v>
      </c>
      <c r="B1613" s="25">
        <f t="shared" si="93"/>
        <v>9</v>
      </c>
      <c r="C1613" s="25">
        <v>2024</v>
      </c>
      <c r="D1613" s="104" t="s">
        <v>501</v>
      </c>
      <c r="E1613" s="104" t="s">
        <v>93</v>
      </c>
      <c r="F1613" s="104" t="s">
        <v>655</v>
      </c>
      <c r="K1613" s="61">
        <v>200000</v>
      </c>
      <c r="L1613" s="49">
        <f t="shared" si="94"/>
        <v>30000</v>
      </c>
    </row>
    <row r="1614" spans="1:12" x14ac:dyDescent="0.25">
      <c r="A1614" s="54">
        <v>45568</v>
      </c>
      <c r="B1614" s="25">
        <f t="shared" si="93"/>
        <v>10</v>
      </c>
      <c r="C1614" s="25">
        <v>2024</v>
      </c>
      <c r="D1614" s="104" t="s">
        <v>110</v>
      </c>
      <c r="E1614" s="104" t="s">
        <v>93</v>
      </c>
      <c r="J1614" s="61">
        <v>18000</v>
      </c>
      <c r="L1614" s="49">
        <f t="shared" si="94"/>
        <v>48000</v>
      </c>
    </row>
    <row r="1615" spans="1:12" x14ac:dyDescent="0.25">
      <c r="A1615" s="54">
        <v>45568</v>
      </c>
      <c r="B1615" s="25">
        <f t="shared" si="93"/>
        <v>10</v>
      </c>
      <c r="C1615" s="25">
        <v>2024</v>
      </c>
      <c r="D1615" s="104" t="s">
        <v>352</v>
      </c>
      <c r="E1615" s="104" t="s">
        <v>93</v>
      </c>
      <c r="F1615" s="104" t="s">
        <v>1104</v>
      </c>
      <c r="J1615" s="61">
        <v>150000</v>
      </c>
      <c r="L1615" s="49">
        <f t="shared" si="94"/>
        <v>198000</v>
      </c>
    </row>
    <row r="1616" spans="1:12" x14ac:dyDescent="0.25">
      <c r="A1616" s="54">
        <v>45568</v>
      </c>
      <c r="B1616" s="25">
        <f t="shared" si="93"/>
        <v>10</v>
      </c>
      <c r="C1616" s="25">
        <v>2024</v>
      </c>
      <c r="D1616" s="104" t="s">
        <v>109</v>
      </c>
      <c r="E1616" s="104" t="s">
        <v>93</v>
      </c>
      <c r="F1616" s="104" t="s">
        <v>1103</v>
      </c>
      <c r="K1616" s="61">
        <v>16000</v>
      </c>
      <c r="L1616" s="49">
        <f t="shared" si="94"/>
        <v>182000</v>
      </c>
    </row>
    <row r="1617" spans="1:12" x14ac:dyDescent="0.25">
      <c r="A1617" s="80">
        <v>45568</v>
      </c>
      <c r="B1617" s="155">
        <f t="shared" si="93"/>
        <v>10</v>
      </c>
      <c r="C1617" s="155">
        <v>2024</v>
      </c>
      <c r="D1617" s="107" t="s">
        <v>361</v>
      </c>
      <c r="E1617" s="107" t="s">
        <v>343</v>
      </c>
      <c r="F1617" s="107"/>
      <c r="G1617" s="107"/>
      <c r="H1617" s="81"/>
      <c r="I1617" s="81"/>
      <c r="J1617" s="52"/>
      <c r="K1617" s="52">
        <v>152000</v>
      </c>
      <c r="L1617" s="49">
        <f t="shared" si="94"/>
        <v>30000</v>
      </c>
    </row>
    <row r="1618" spans="1:12" x14ac:dyDescent="0.25">
      <c r="A1618" s="54">
        <v>45569</v>
      </c>
      <c r="B1618" s="25">
        <f t="shared" si="93"/>
        <v>10</v>
      </c>
      <c r="C1618" s="25">
        <v>2024</v>
      </c>
      <c r="D1618" s="104" t="s">
        <v>384</v>
      </c>
      <c r="E1618" s="104" t="s">
        <v>343</v>
      </c>
      <c r="J1618" s="61">
        <v>150350</v>
      </c>
      <c r="L1618" s="49">
        <f t="shared" si="94"/>
        <v>180350</v>
      </c>
    </row>
    <row r="1619" spans="1:12" x14ac:dyDescent="0.25">
      <c r="A1619" s="54">
        <v>45569</v>
      </c>
      <c r="B1619" s="25">
        <f t="shared" si="93"/>
        <v>10</v>
      </c>
      <c r="C1619" s="25">
        <v>2024</v>
      </c>
      <c r="D1619" s="104" t="s">
        <v>124</v>
      </c>
      <c r="E1619" s="104" t="s">
        <v>343</v>
      </c>
      <c r="F1619" s="104" t="s">
        <v>1105</v>
      </c>
      <c r="K1619" s="61">
        <v>108000</v>
      </c>
      <c r="L1619" s="49">
        <f t="shared" si="94"/>
        <v>72350</v>
      </c>
    </row>
    <row r="1620" spans="1:12" x14ac:dyDescent="0.25">
      <c r="A1620" s="54">
        <v>45569</v>
      </c>
      <c r="B1620" s="25">
        <f t="shared" si="93"/>
        <v>10</v>
      </c>
      <c r="C1620" s="25">
        <v>2024</v>
      </c>
      <c r="D1620" s="104" t="s">
        <v>360</v>
      </c>
      <c r="E1620" s="104" t="s">
        <v>343</v>
      </c>
      <c r="F1620" s="104" t="s">
        <v>1004</v>
      </c>
      <c r="K1620" s="61">
        <v>42350</v>
      </c>
      <c r="L1620" s="49">
        <f t="shared" si="94"/>
        <v>30000</v>
      </c>
    </row>
    <row r="1621" spans="1:12" x14ac:dyDescent="0.25">
      <c r="A1621" s="54">
        <v>45569</v>
      </c>
      <c r="B1621" s="25">
        <f t="shared" si="93"/>
        <v>10</v>
      </c>
      <c r="C1621" s="25">
        <v>2024</v>
      </c>
      <c r="D1621" s="104" t="s">
        <v>352</v>
      </c>
      <c r="E1621" s="104" t="s">
        <v>93</v>
      </c>
      <c r="F1621" s="104" t="s">
        <v>1080</v>
      </c>
      <c r="J1621" s="61">
        <v>69000</v>
      </c>
      <c r="L1621" s="49">
        <f t="shared" si="94"/>
        <v>99000</v>
      </c>
    </row>
    <row r="1622" spans="1:12" x14ac:dyDescent="0.25">
      <c r="A1622" s="54">
        <v>45569</v>
      </c>
      <c r="B1622" s="25">
        <f t="shared" si="93"/>
        <v>10</v>
      </c>
      <c r="C1622" s="25">
        <v>2024</v>
      </c>
      <c r="D1622" s="104" t="s">
        <v>352</v>
      </c>
      <c r="E1622" s="104" t="s">
        <v>93</v>
      </c>
      <c r="F1622" s="104" t="s">
        <v>997</v>
      </c>
      <c r="J1622" s="61">
        <v>100000</v>
      </c>
      <c r="L1622" s="49">
        <f t="shared" si="94"/>
        <v>199000</v>
      </c>
    </row>
    <row r="1623" spans="1:12" x14ac:dyDescent="0.25">
      <c r="A1623" s="80">
        <v>45569</v>
      </c>
      <c r="B1623" s="155">
        <f t="shared" si="93"/>
        <v>10</v>
      </c>
      <c r="C1623" s="155">
        <v>2024</v>
      </c>
      <c r="D1623" s="107" t="s">
        <v>122</v>
      </c>
      <c r="E1623" s="107" t="s">
        <v>93</v>
      </c>
      <c r="F1623" s="107"/>
      <c r="G1623" s="107"/>
      <c r="H1623" s="81"/>
      <c r="I1623" s="81"/>
      <c r="J1623" s="52"/>
      <c r="K1623" s="52">
        <v>169000</v>
      </c>
      <c r="L1623" s="49">
        <f t="shared" si="94"/>
        <v>30000</v>
      </c>
    </row>
    <row r="1624" spans="1:12" x14ac:dyDescent="0.25">
      <c r="A1624" s="54">
        <v>45570</v>
      </c>
      <c r="B1624" s="25">
        <f t="shared" si="93"/>
        <v>10</v>
      </c>
      <c r="C1624" s="25">
        <v>2024</v>
      </c>
      <c r="D1624" s="104" t="s">
        <v>384</v>
      </c>
      <c r="E1624" s="104" t="s">
        <v>93</v>
      </c>
      <c r="J1624" s="61">
        <v>400000</v>
      </c>
      <c r="L1624" s="49">
        <f t="shared" si="94"/>
        <v>430000</v>
      </c>
    </row>
    <row r="1625" spans="1:12" x14ac:dyDescent="0.25">
      <c r="A1625" s="54">
        <v>45570</v>
      </c>
      <c r="B1625" s="25">
        <f t="shared" si="93"/>
        <v>10</v>
      </c>
      <c r="C1625" s="25">
        <v>2024</v>
      </c>
      <c r="D1625" s="104" t="s">
        <v>501</v>
      </c>
      <c r="E1625" s="104" t="s">
        <v>93</v>
      </c>
      <c r="F1625" s="104" t="s">
        <v>655</v>
      </c>
      <c r="K1625" s="61">
        <v>200000</v>
      </c>
      <c r="L1625" s="49">
        <f t="shared" si="94"/>
        <v>230000</v>
      </c>
    </row>
    <row r="1626" spans="1:12" x14ac:dyDescent="0.25">
      <c r="A1626" s="54">
        <v>45570</v>
      </c>
      <c r="B1626" s="25">
        <f t="shared" si="93"/>
        <v>10</v>
      </c>
      <c r="C1626" s="25">
        <v>2024</v>
      </c>
      <c r="D1626" s="104" t="s">
        <v>501</v>
      </c>
      <c r="E1626" s="104" t="s">
        <v>93</v>
      </c>
      <c r="F1626" s="104" t="s">
        <v>1064</v>
      </c>
      <c r="K1626" s="61">
        <v>200000</v>
      </c>
      <c r="L1626" s="49">
        <f t="shared" si="94"/>
        <v>30000</v>
      </c>
    </row>
    <row r="1627" spans="1:12" x14ac:dyDescent="0.25">
      <c r="A1627" s="54">
        <v>45572</v>
      </c>
      <c r="B1627" s="25">
        <f t="shared" si="93"/>
        <v>10</v>
      </c>
      <c r="C1627" s="25">
        <v>2024</v>
      </c>
      <c r="D1627" s="104" t="s">
        <v>352</v>
      </c>
      <c r="E1627" s="104" t="s">
        <v>93</v>
      </c>
      <c r="F1627" s="104" t="s">
        <v>1107</v>
      </c>
      <c r="J1627" s="61">
        <v>80000</v>
      </c>
      <c r="L1627" s="49">
        <f t="shared" si="94"/>
        <v>110000</v>
      </c>
    </row>
    <row r="1628" spans="1:12" x14ac:dyDescent="0.25">
      <c r="A1628" s="54">
        <v>45572</v>
      </c>
      <c r="B1628" s="25">
        <f t="shared" si="93"/>
        <v>10</v>
      </c>
      <c r="C1628" s="25">
        <v>2024</v>
      </c>
      <c r="D1628" s="104" t="s">
        <v>352</v>
      </c>
      <c r="E1628" s="104" t="s">
        <v>93</v>
      </c>
      <c r="F1628" s="104" t="s">
        <v>1009</v>
      </c>
      <c r="J1628" s="61">
        <v>90000</v>
      </c>
      <c r="L1628" s="49">
        <f t="shared" si="94"/>
        <v>200000</v>
      </c>
    </row>
    <row r="1629" spans="1:12" x14ac:dyDescent="0.25">
      <c r="A1629" s="54">
        <v>45572</v>
      </c>
      <c r="B1629" s="25">
        <f t="shared" si="93"/>
        <v>10</v>
      </c>
      <c r="C1629" s="25">
        <v>2024</v>
      </c>
      <c r="D1629" s="104" t="s">
        <v>352</v>
      </c>
      <c r="E1629" s="104" t="s">
        <v>93</v>
      </c>
      <c r="F1629" s="104" t="s">
        <v>1033</v>
      </c>
      <c r="J1629" s="61">
        <v>252000</v>
      </c>
      <c r="L1629" s="49">
        <f t="shared" si="94"/>
        <v>452000</v>
      </c>
    </row>
    <row r="1630" spans="1:12" x14ac:dyDescent="0.25">
      <c r="A1630" s="80">
        <v>45572</v>
      </c>
      <c r="B1630" s="155">
        <f t="shared" si="93"/>
        <v>10</v>
      </c>
      <c r="C1630" s="155">
        <v>2024</v>
      </c>
      <c r="D1630" s="107" t="s">
        <v>122</v>
      </c>
      <c r="E1630" s="107" t="s">
        <v>93</v>
      </c>
      <c r="F1630" s="107"/>
      <c r="G1630" s="107"/>
      <c r="H1630" s="81"/>
      <c r="I1630" s="81"/>
      <c r="J1630" s="52"/>
      <c r="K1630" s="52">
        <v>422000</v>
      </c>
      <c r="L1630" s="49">
        <f t="shared" si="94"/>
        <v>30000</v>
      </c>
    </row>
    <row r="1631" spans="1:12" x14ac:dyDescent="0.25">
      <c r="A1631" s="54">
        <v>45573</v>
      </c>
      <c r="B1631" s="25">
        <f t="shared" si="93"/>
        <v>10</v>
      </c>
      <c r="C1631" s="25">
        <v>2024</v>
      </c>
      <c r="D1631" s="104" t="s">
        <v>110</v>
      </c>
      <c r="E1631" s="104" t="s">
        <v>93</v>
      </c>
      <c r="F1631" s="104" t="s">
        <v>1108</v>
      </c>
      <c r="J1631" s="61">
        <v>13000</v>
      </c>
      <c r="L1631" s="49">
        <f t="shared" si="94"/>
        <v>43000</v>
      </c>
    </row>
    <row r="1632" spans="1:12" x14ac:dyDescent="0.25">
      <c r="A1632" s="54">
        <v>45573</v>
      </c>
      <c r="B1632" s="25">
        <f t="shared" si="93"/>
        <v>10</v>
      </c>
      <c r="C1632" s="25">
        <v>2024</v>
      </c>
      <c r="D1632" s="104" t="s">
        <v>352</v>
      </c>
      <c r="E1632" s="104" t="s">
        <v>93</v>
      </c>
      <c r="F1632" s="104" t="s">
        <v>1109</v>
      </c>
      <c r="J1632" s="61">
        <v>172000</v>
      </c>
      <c r="L1632" s="49">
        <f t="shared" si="94"/>
        <v>215000</v>
      </c>
    </row>
    <row r="1633" spans="1:12" x14ac:dyDescent="0.25">
      <c r="A1633" s="80">
        <v>45573</v>
      </c>
      <c r="B1633" s="155">
        <f t="shared" si="93"/>
        <v>10</v>
      </c>
      <c r="C1633" s="155">
        <v>2024</v>
      </c>
      <c r="D1633" s="107" t="s">
        <v>122</v>
      </c>
      <c r="E1633" s="107" t="s">
        <v>93</v>
      </c>
      <c r="F1633" s="107"/>
      <c r="G1633" s="107"/>
      <c r="H1633" s="81"/>
      <c r="I1633" s="81"/>
      <c r="J1633" s="52"/>
      <c r="K1633" s="52">
        <v>185000</v>
      </c>
      <c r="L1633" s="49">
        <f t="shared" si="94"/>
        <v>30000</v>
      </c>
    </row>
    <row r="1634" spans="1:12" x14ac:dyDescent="0.25">
      <c r="A1634" s="54">
        <v>45574</v>
      </c>
      <c r="B1634" s="25">
        <f t="shared" si="93"/>
        <v>10</v>
      </c>
      <c r="C1634" s="25">
        <v>2024</v>
      </c>
      <c r="D1634" s="104" t="s">
        <v>384</v>
      </c>
      <c r="E1634" s="104" t="s">
        <v>93</v>
      </c>
      <c r="J1634" s="61">
        <v>139000</v>
      </c>
      <c r="L1634" s="49">
        <f t="shared" si="94"/>
        <v>169000</v>
      </c>
    </row>
    <row r="1635" spans="1:12" x14ac:dyDescent="0.25">
      <c r="A1635" s="54">
        <v>45574</v>
      </c>
      <c r="B1635" s="25">
        <f t="shared" si="93"/>
        <v>10</v>
      </c>
      <c r="C1635" s="25">
        <v>2024</v>
      </c>
      <c r="D1635" s="104" t="s">
        <v>148</v>
      </c>
      <c r="E1635" s="104" t="s">
        <v>93</v>
      </c>
      <c r="K1635" s="61">
        <v>139000</v>
      </c>
      <c r="L1635" s="49">
        <f t="shared" si="94"/>
        <v>30000</v>
      </c>
    </row>
    <row r="1636" spans="1:12" x14ac:dyDescent="0.25">
      <c r="A1636" s="54">
        <v>45574</v>
      </c>
      <c r="B1636" s="25">
        <f t="shared" si="93"/>
        <v>10</v>
      </c>
      <c r="C1636" s="25">
        <v>2024</v>
      </c>
      <c r="D1636" s="104" t="s">
        <v>384</v>
      </c>
      <c r="E1636" s="104" t="s">
        <v>93</v>
      </c>
      <c r="J1636" s="61">
        <v>232800</v>
      </c>
      <c r="L1636" s="49">
        <f t="shared" si="94"/>
        <v>262800</v>
      </c>
    </row>
    <row r="1637" spans="1:12" x14ac:dyDescent="0.25">
      <c r="A1637" s="54">
        <v>45574</v>
      </c>
      <c r="B1637" s="25">
        <f t="shared" si="93"/>
        <v>10</v>
      </c>
      <c r="C1637" s="25">
        <v>2024</v>
      </c>
      <c r="D1637" s="104" t="s">
        <v>124</v>
      </c>
      <c r="E1637" s="104" t="s">
        <v>93</v>
      </c>
      <c r="G1637" s="104" t="s">
        <v>333</v>
      </c>
      <c r="K1637" s="61">
        <v>232800</v>
      </c>
      <c r="L1637" s="49">
        <f t="shared" si="94"/>
        <v>30000</v>
      </c>
    </row>
    <row r="1638" spans="1:12" x14ac:dyDescent="0.25">
      <c r="A1638" s="54">
        <v>45576</v>
      </c>
      <c r="B1638" s="25">
        <f t="shared" si="93"/>
        <v>10</v>
      </c>
      <c r="C1638" s="25">
        <v>2024</v>
      </c>
      <c r="D1638" s="104" t="s">
        <v>352</v>
      </c>
      <c r="E1638" s="104" t="s">
        <v>93</v>
      </c>
      <c r="F1638" s="104" t="s">
        <v>546</v>
      </c>
      <c r="J1638" s="61">
        <v>91300</v>
      </c>
      <c r="L1638" s="49">
        <f t="shared" si="94"/>
        <v>121300</v>
      </c>
    </row>
    <row r="1639" spans="1:12" x14ac:dyDescent="0.25">
      <c r="A1639" s="80">
        <v>45576</v>
      </c>
      <c r="B1639" s="155">
        <f t="shared" si="93"/>
        <v>10</v>
      </c>
      <c r="C1639" s="155">
        <v>2024</v>
      </c>
      <c r="D1639" s="107" t="s">
        <v>122</v>
      </c>
      <c r="E1639" s="107" t="s">
        <v>93</v>
      </c>
      <c r="F1639" s="107"/>
      <c r="G1639" s="107"/>
      <c r="H1639" s="81"/>
      <c r="I1639" s="81"/>
      <c r="J1639" s="52"/>
      <c r="K1639" s="52">
        <v>91300</v>
      </c>
      <c r="L1639" s="49">
        <f t="shared" si="94"/>
        <v>30000</v>
      </c>
    </row>
    <row r="1640" spans="1:12" x14ac:dyDescent="0.25">
      <c r="A1640" s="54">
        <v>45580</v>
      </c>
      <c r="B1640" s="25">
        <f t="shared" si="93"/>
        <v>10</v>
      </c>
      <c r="C1640" s="25">
        <v>2024</v>
      </c>
      <c r="D1640" s="104" t="s">
        <v>352</v>
      </c>
      <c r="E1640" s="104" t="s">
        <v>93</v>
      </c>
      <c r="F1640" s="104" t="s">
        <v>1122</v>
      </c>
      <c r="J1640" s="61">
        <v>200000</v>
      </c>
      <c r="L1640" s="49">
        <f t="shared" si="94"/>
        <v>230000</v>
      </c>
    </row>
    <row r="1641" spans="1:12" x14ac:dyDescent="0.25">
      <c r="A1641" s="54">
        <v>45580</v>
      </c>
      <c r="B1641" s="25">
        <f t="shared" si="93"/>
        <v>10</v>
      </c>
      <c r="C1641" s="25">
        <v>2024</v>
      </c>
      <c r="D1641" s="104" t="s">
        <v>109</v>
      </c>
      <c r="E1641" s="104" t="s">
        <v>93</v>
      </c>
      <c r="K1641" s="61">
        <v>4000</v>
      </c>
      <c r="L1641" s="49">
        <f t="shared" si="94"/>
        <v>226000</v>
      </c>
    </row>
    <row r="1642" spans="1:12" x14ac:dyDescent="0.25">
      <c r="A1642" s="80">
        <v>45580</v>
      </c>
      <c r="B1642" s="155">
        <f t="shared" si="93"/>
        <v>10</v>
      </c>
      <c r="C1642" s="155">
        <v>2024</v>
      </c>
      <c r="D1642" s="107" t="s">
        <v>122</v>
      </c>
      <c r="E1642" s="107" t="s">
        <v>93</v>
      </c>
      <c r="F1642" s="107"/>
      <c r="G1642" s="107"/>
      <c r="H1642" s="81"/>
      <c r="I1642" s="81"/>
      <c r="J1642" s="52"/>
      <c r="K1642" s="52">
        <v>196000</v>
      </c>
      <c r="L1642" s="49">
        <f t="shared" si="94"/>
        <v>30000</v>
      </c>
    </row>
    <row r="1643" spans="1:12" x14ac:dyDescent="0.25">
      <c r="A1643" s="54">
        <v>45581</v>
      </c>
      <c r="B1643" s="25">
        <f t="shared" si="93"/>
        <v>10</v>
      </c>
      <c r="C1643" s="25">
        <v>2024</v>
      </c>
      <c r="D1643" s="104" t="s">
        <v>384</v>
      </c>
      <c r="E1643" s="104" t="s">
        <v>93</v>
      </c>
      <c r="J1643" s="61">
        <v>598730</v>
      </c>
      <c r="L1643" s="49">
        <f t="shared" si="94"/>
        <v>628730</v>
      </c>
    </row>
    <row r="1644" spans="1:12" x14ac:dyDescent="0.25">
      <c r="A1644" s="54">
        <v>45581</v>
      </c>
      <c r="B1644" s="25">
        <f t="shared" si="93"/>
        <v>10</v>
      </c>
      <c r="C1644" s="25">
        <v>2024</v>
      </c>
      <c r="D1644" s="104" t="s">
        <v>124</v>
      </c>
      <c r="E1644" s="104" t="s">
        <v>93</v>
      </c>
      <c r="G1644" s="104" t="s">
        <v>234</v>
      </c>
      <c r="K1644" s="61">
        <v>301890</v>
      </c>
      <c r="L1644" s="49">
        <f t="shared" si="94"/>
        <v>326840</v>
      </c>
    </row>
    <row r="1645" spans="1:12" x14ac:dyDescent="0.25">
      <c r="A1645" s="54">
        <v>45581</v>
      </c>
      <c r="B1645" s="25">
        <f t="shared" si="93"/>
        <v>10</v>
      </c>
      <c r="C1645" s="25">
        <v>2024</v>
      </c>
      <c r="D1645" s="104" t="s">
        <v>124</v>
      </c>
      <c r="E1645" s="104" t="s">
        <v>93</v>
      </c>
      <c r="G1645" s="104" t="s">
        <v>125</v>
      </c>
      <c r="K1645" s="61">
        <v>296840</v>
      </c>
      <c r="L1645" s="49">
        <f t="shared" si="94"/>
        <v>30000</v>
      </c>
    </row>
    <row r="1646" spans="1:12" x14ac:dyDescent="0.25">
      <c r="A1646" s="54">
        <v>45581</v>
      </c>
      <c r="B1646" s="25">
        <f t="shared" si="93"/>
        <v>10</v>
      </c>
      <c r="C1646" s="25">
        <v>2024</v>
      </c>
      <c r="D1646" s="104" t="s">
        <v>352</v>
      </c>
      <c r="E1646" s="104" t="s">
        <v>93</v>
      </c>
      <c r="F1646" s="104" t="s">
        <v>1124</v>
      </c>
      <c r="J1646" s="61">
        <v>520000</v>
      </c>
      <c r="L1646" s="49">
        <f t="shared" si="94"/>
        <v>550000</v>
      </c>
    </row>
    <row r="1647" spans="1:12" x14ac:dyDescent="0.25">
      <c r="A1647" s="80">
        <v>45581</v>
      </c>
      <c r="B1647" s="155">
        <f t="shared" si="93"/>
        <v>10</v>
      </c>
      <c r="C1647" s="155">
        <v>2024</v>
      </c>
      <c r="D1647" s="107" t="s">
        <v>122</v>
      </c>
      <c r="E1647" s="107" t="s">
        <v>93</v>
      </c>
      <c r="F1647" s="107"/>
      <c r="G1647" s="107"/>
      <c r="H1647" s="81"/>
      <c r="I1647" s="81"/>
      <c r="J1647" s="52"/>
      <c r="K1647" s="52">
        <v>520000</v>
      </c>
      <c r="L1647" s="49">
        <f t="shared" si="94"/>
        <v>30000</v>
      </c>
    </row>
    <row r="1648" spans="1:12" x14ac:dyDescent="0.25">
      <c r="A1648" s="54">
        <v>45583</v>
      </c>
      <c r="B1648" s="25">
        <f t="shared" si="93"/>
        <v>10</v>
      </c>
      <c r="C1648" s="25">
        <v>2024</v>
      </c>
      <c r="D1648" s="104" t="s">
        <v>352</v>
      </c>
      <c r="E1648" s="104" t="s">
        <v>93</v>
      </c>
      <c r="F1648" s="104" t="s">
        <v>1125</v>
      </c>
      <c r="J1648" s="61">
        <v>70000</v>
      </c>
      <c r="L1648" s="49">
        <f t="shared" si="94"/>
        <v>100000</v>
      </c>
    </row>
    <row r="1649" spans="1:12" x14ac:dyDescent="0.25">
      <c r="A1649" s="54">
        <v>45583</v>
      </c>
      <c r="B1649" s="25">
        <f t="shared" si="93"/>
        <v>10</v>
      </c>
      <c r="C1649" s="25">
        <v>2024</v>
      </c>
      <c r="D1649" s="104" t="s">
        <v>360</v>
      </c>
      <c r="E1649" s="104" t="s">
        <v>93</v>
      </c>
      <c r="K1649" s="61">
        <v>18150</v>
      </c>
      <c r="L1649" s="49">
        <f t="shared" si="94"/>
        <v>81850</v>
      </c>
    </row>
    <row r="1650" spans="1:12" x14ac:dyDescent="0.25">
      <c r="A1650" s="54">
        <v>45583</v>
      </c>
      <c r="B1650" s="25">
        <f t="shared" si="93"/>
        <v>10</v>
      </c>
      <c r="C1650" s="25">
        <v>2024</v>
      </c>
      <c r="D1650" s="104" t="s">
        <v>360</v>
      </c>
      <c r="E1650" s="104" t="s">
        <v>93</v>
      </c>
      <c r="K1650" s="61">
        <v>12000</v>
      </c>
      <c r="L1650" s="49">
        <f t="shared" si="94"/>
        <v>69850</v>
      </c>
    </row>
    <row r="1651" spans="1:12" x14ac:dyDescent="0.25">
      <c r="A1651" s="54">
        <v>45583</v>
      </c>
      <c r="B1651" s="25">
        <f t="shared" si="93"/>
        <v>10</v>
      </c>
      <c r="C1651" s="25">
        <v>2024</v>
      </c>
      <c r="D1651" s="104" t="s">
        <v>109</v>
      </c>
      <c r="E1651" s="104" t="s">
        <v>93</v>
      </c>
      <c r="F1651" s="104" t="s">
        <v>204</v>
      </c>
      <c r="K1651" s="61">
        <v>9500</v>
      </c>
      <c r="L1651" s="49">
        <f t="shared" si="94"/>
        <v>60350</v>
      </c>
    </row>
    <row r="1652" spans="1:12" x14ac:dyDescent="0.25">
      <c r="A1652" s="54">
        <v>45583</v>
      </c>
      <c r="B1652" s="25">
        <f t="shared" si="93"/>
        <v>10</v>
      </c>
      <c r="C1652" s="25">
        <v>2024</v>
      </c>
      <c r="D1652" s="104" t="s">
        <v>384</v>
      </c>
      <c r="E1652" s="104" t="s">
        <v>93</v>
      </c>
      <c r="J1652" s="61">
        <v>380000</v>
      </c>
      <c r="L1652" s="49">
        <f t="shared" si="94"/>
        <v>440350</v>
      </c>
    </row>
    <row r="1653" spans="1:12" x14ac:dyDescent="0.25">
      <c r="A1653" s="54">
        <v>45583</v>
      </c>
      <c r="B1653" s="25">
        <f t="shared" si="93"/>
        <v>10</v>
      </c>
      <c r="C1653" s="25">
        <v>2024</v>
      </c>
      <c r="D1653" s="104" t="s">
        <v>501</v>
      </c>
      <c r="E1653" s="104" t="s">
        <v>93</v>
      </c>
      <c r="F1653" s="104" t="s">
        <v>655</v>
      </c>
      <c r="K1653" s="61">
        <v>230000</v>
      </c>
      <c r="L1653" s="49">
        <f t="shared" si="94"/>
        <v>210350</v>
      </c>
    </row>
    <row r="1654" spans="1:12" x14ac:dyDescent="0.25">
      <c r="A1654" s="54">
        <v>45583</v>
      </c>
      <c r="B1654" s="25">
        <f t="shared" si="93"/>
        <v>10</v>
      </c>
      <c r="C1654" s="25">
        <v>2024</v>
      </c>
      <c r="D1654" s="104" t="s">
        <v>501</v>
      </c>
      <c r="E1654" s="104" t="s">
        <v>93</v>
      </c>
      <c r="F1654" s="104" t="s">
        <v>1100</v>
      </c>
      <c r="K1654" s="61">
        <v>150000</v>
      </c>
      <c r="L1654" s="49">
        <f t="shared" si="94"/>
        <v>60350</v>
      </c>
    </row>
    <row r="1655" spans="1:12" x14ac:dyDescent="0.25">
      <c r="A1655" s="80">
        <v>45583</v>
      </c>
      <c r="B1655" s="155">
        <f t="shared" si="93"/>
        <v>10</v>
      </c>
      <c r="C1655" s="155">
        <v>2024</v>
      </c>
      <c r="D1655" s="107" t="s">
        <v>122</v>
      </c>
      <c r="E1655" s="107" t="s">
        <v>93</v>
      </c>
      <c r="F1655" s="107"/>
      <c r="G1655" s="107"/>
      <c r="H1655" s="81"/>
      <c r="I1655" s="81"/>
      <c r="J1655" s="52"/>
      <c r="K1655" s="52">
        <v>30350</v>
      </c>
      <c r="L1655" s="49">
        <f t="shared" si="94"/>
        <v>30000</v>
      </c>
    </row>
    <row r="1656" spans="1:12" x14ac:dyDescent="0.25">
      <c r="A1656" s="54">
        <v>45586</v>
      </c>
      <c r="B1656" s="25">
        <f t="shared" si="93"/>
        <v>10</v>
      </c>
      <c r="C1656" s="25">
        <v>2024</v>
      </c>
      <c r="D1656" s="104" t="s">
        <v>110</v>
      </c>
      <c r="E1656" s="104" t="s">
        <v>93</v>
      </c>
      <c r="F1656" s="104" t="s">
        <v>735</v>
      </c>
      <c r="J1656" s="61">
        <v>10000</v>
      </c>
      <c r="L1656" s="49">
        <f t="shared" si="94"/>
        <v>40000</v>
      </c>
    </row>
    <row r="1657" spans="1:12" x14ac:dyDescent="0.25">
      <c r="A1657" s="54">
        <v>45586</v>
      </c>
      <c r="B1657" s="25">
        <f t="shared" si="93"/>
        <v>10</v>
      </c>
      <c r="C1657" s="25">
        <v>2024</v>
      </c>
      <c r="D1657" s="104" t="s">
        <v>124</v>
      </c>
      <c r="E1657" s="104" t="s">
        <v>93</v>
      </c>
      <c r="F1657" s="104" t="s">
        <v>1127</v>
      </c>
      <c r="K1657" s="61">
        <v>18000</v>
      </c>
      <c r="L1657" s="49">
        <f t="shared" si="94"/>
        <v>22000</v>
      </c>
    </row>
    <row r="1658" spans="1:12" x14ac:dyDescent="0.25">
      <c r="A1658" s="134">
        <v>45586</v>
      </c>
      <c r="B1658" s="158">
        <f t="shared" si="93"/>
        <v>10</v>
      </c>
      <c r="C1658" s="158">
        <v>2024</v>
      </c>
      <c r="D1658" s="135" t="s">
        <v>384</v>
      </c>
      <c r="E1658" s="135" t="s">
        <v>93</v>
      </c>
      <c r="F1658" s="135"/>
      <c r="G1658" s="135"/>
      <c r="H1658" s="136"/>
      <c r="I1658" s="136"/>
      <c r="J1658" s="137">
        <v>8000</v>
      </c>
      <c r="L1658" s="49">
        <f t="shared" si="94"/>
        <v>30000</v>
      </c>
    </row>
    <row r="1659" spans="1:12" x14ac:dyDescent="0.25">
      <c r="A1659" s="54">
        <v>45587</v>
      </c>
      <c r="B1659" s="25">
        <f t="shared" si="93"/>
        <v>10</v>
      </c>
      <c r="C1659" s="25">
        <v>2024</v>
      </c>
      <c r="D1659" s="104" t="s">
        <v>360</v>
      </c>
      <c r="E1659" s="104" t="s">
        <v>93</v>
      </c>
      <c r="K1659" s="61">
        <v>7000</v>
      </c>
      <c r="L1659" s="49">
        <f t="shared" si="94"/>
        <v>23000</v>
      </c>
    </row>
    <row r="1660" spans="1:12" x14ac:dyDescent="0.25">
      <c r="A1660" s="54">
        <v>45587</v>
      </c>
      <c r="B1660" s="25">
        <f t="shared" si="93"/>
        <v>10</v>
      </c>
      <c r="C1660" s="25">
        <v>2024</v>
      </c>
      <c r="D1660" s="104" t="s">
        <v>352</v>
      </c>
      <c r="E1660" s="104" t="s">
        <v>93</v>
      </c>
      <c r="F1660" s="104" t="s">
        <v>456</v>
      </c>
      <c r="J1660" s="61">
        <v>15000</v>
      </c>
      <c r="L1660" s="49">
        <f t="shared" si="94"/>
        <v>38000</v>
      </c>
    </row>
    <row r="1661" spans="1:12" x14ac:dyDescent="0.25">
      <c r="A1661" s="80">
        <v>45587</v>
      </c>
      <c r="B1661" s="155">
        <f t="shared" si="93"/>
        <v>10</v>
      </c>
      <c r="C1661" s="155">
        <v>2024</v>
      </c>
      <c r="D1661" s="107" t="s">
        <v>122</v>
      </c>
      <c r="E1661" s="107" t="s">
        <v>93</v>
      </c>
      <c r="F1661" s="107"/>
      <c r="G1661" s="107"/>
      <c r="H1661" s="81"/>
      <c r="I1661" s="81"/>
      <c r="J1661" s="52"/>
      <c r="K1661" s="52">
        <v>8000</v>
      </c>
      <c r="L1661" s="49">
        <f t="shared" si="94"/>
        <v>30000</v>
      </c>
    </row>
    <row r="1662" spans="1:12" x14ac:dyDescent="0.25">
      <c r="A1662" s="54">
        <v>45589</v>
      </c>
      <c r="B1662" s="25">
        <f t="shared" si="93"/>
        <v>10</v>
      </c>
      <c r="C1662" s="25">
        <v>2024</v>
      </c>
      <c r="D1662" s="104" t="s">
        <v>352</v>
      </c>
      <c r="E1662" s="104" t="s">
        <v>93</v>
      </c>
      <c r="F1662" s="104" t="s">
        <v>1122</v>
      </c>
      <c r="J1662" s="61">
        <v>300000</v>
      </c>
      <c r="L1662" s="49">
        <f t="shared" si="94"/>
        <v>330000</v>
      </c>
    </row>
    <row r="1663" spans="1:12" x14ac:dyDescent="0.25">
      <c r="A1663" s="54">
        <v>45589</v>
      </c>
      <c r="B1663" s="25">
        <f t="shared" si="93"/>
        <v>10</v>
      </c>
      <c r="C1663" s="25">
        <v>2024</v>
      </c>
      <c r="D1663" s="104" t="s">
        <v>352</v>
      </c>
      <c r="E1663" s="104" t="s">
        <v>93</v>
      </c>
      <c r="F1663" s="104" t="s">
        <v>1062</v>
      </c>
      <c r="J1663" s="61">
        <v>601000</v>
      </c>
      <c r="L1663" s="49">
        <f t="shared" si="94"/>
        <v>931000</v>
      </c>
    </row>
    <row r="1664" spans="1:12" x14ac:dyDescent="0.25">
      <c r="A1664" s="80">
        <v>45589</v>
      </c>
      <c r="B1664" s="155">
        <f t="shared" si="93"/>
        <v>10</v>
      </c>
      <c r="C1664" s="155">
        <v>2024</v>
      </c>
      <c r="D1664" s="107" t="s">
        <v>361</v>
      </c>
      <c r="E1664" s="107" t="s">
        <v>93</v>
      </c>
      <c r="F1664" s="107"/>
      <c r="G1664" s="107"/>
      <c r="H1664" s="81"/>
      <c r="I1664" s="81"/>
      <c r="J1664" s="52"/>
      <c r="K1664" s="52">
        <v>901000</v>
      </c>
      <c r="L1664" s="49">
        <f t="shared" si="94"/>
        <v>30000</v>
      </c>
    </row>
    <row r="1665" spans="1:15" x14ac:dyDescent="0.25">
      <c r="A1665" s="54">
        <v>45590</v>
      </c>
      <c r="B1665" s="25">
        <f t="shared" si="93"/>
        <v>10</v>
      </c>
      <c r="C1665" s="25">
        <v>2024</v>
      </c>
      <c r="D1665" s="104" t="s">
        <v>352</v>
      </c>
      <c r="E1665" s="104" t="s">
        <v>93</v>
      </c>
      <c r="F1665" s="104" t="s">
        <v>456</v>
      </c>
      <c r="J1665" s="61">
        <v>30000</v>
      </c>
      <c r="L1665" s="49">
        <f t="shared" si="94"/>
        <v>60000</v>
      </c>
    </row>
    <row r="1666" spans="1:15" x14ac:dyDescent="0.25">
      <c r="A1666" s="54">
        <v>45590</v>
      </c>
      <c r="B1666" s="25">
        <f t="shared" si="93"/>
        <v>10</v>
      </c>
      <c r="C1666" s="25">
        <v>2024</v>
      </c>
      <c r="D1666" s="104" t="s">
        <v>384</v>
      </c>
      <c r="E1666" s="104" t="s">
        <v>93</v>
      </c>
      <c r="J1666" s="61">
        <v>150000</v>
      </c>
      <c r="L1666" s="49">
        <f t="shared" si="94"/>
        <v>210000</v>
      </c>
    </row>
    <row r="1667" spans="1:15" x14ac:dyDescent="0.25">
      <c r="A1667" s="54">
        <v>45590</v>
      </c>
      <c r="B1667" s="25">
        <f t="shared" ref="B1667:B1730" si="95">MONTH(A1667)</f>
        <v>10</v>
      </c>
      <c r="C1667" s="25">
        <v>2024</v>
      </c>
      <c r="D1667" s="104" t="s">
        <v>501</v>
      </c>
      <c r="E1667" s="104" t="s">
        <v>343</v>
      </c>
      <c r="F1667" s="104" t="s">
        <v>1100</v>
      </c>
      <c r="K1667" s="61">
        <v>150000</v>
      </c>
      <c r="L1667" s="49">
        <f t="shared" si="94"/>
        <v>60000</v>
      </c>
    </row>
    <row r="1668" spans="1:15" x14ac:dyDescent="0.25">
      <c r="A1668" s="80">
        <v>45590</v>
      </c>
      <c r="B1668" s="155">
        <f t="shared" si="95"/>
        <v>10</v>
      </c>
      <c r="C1668" s="155">
        <v>2024</v>
      </c>
      <c r="D1668" s="107" t="s">
        <v>122</v>
      </c>
      <c r="E1668" s="107" t="s">
        <v>343</v>
      </c>
      <c r="F1668" s="107"/>
      <c r="G1668" s="107"/>
      <c r="H1668" s="81"/>
      <c r="I1668" s="81"/>
      <c r="J1668" s="52"/>
      <c r="K1668" s="52">
        <v>30000</v>
      </c>
      <c r="L1668" s="49">
        <f t="shared" ref="L1668:L1731" si="96">IF((L1667+M1667+J1668-K1668)&gt;0,(L1667+M1667+J1668-K1668),0)</f>
        <v>30000</v>
      </c>
    </row>
    <row r="1669" spans="1:15" x14ac:dyDescent="0.25">
      <c r="A1669" s="54">
        <v>45591</v>
      </c>
      <c r="B1669" s="25">
        <f t="shared" si="95"/>
        <v>10</v>
      </c>
      <c r="C1669" s="25">
        <v>2024</v>
      </c>
      <c r="D1669" s="104" t="s">
        <v>352</v>
      </c>
      <c r="E1669" s="104" t="s">
        <v>343</v>
      </c>
      <c r="F1669" s="104" t="s">
        <v>1132</v>
      </c>
      <c r="J1669" s="61">
        <v>52000</v>
      </c>
      <c r="L1669" s="49">
        <f t="shared" si="96"/>
        <v>82000</v>
      </c>
    </row>
    <row r="1670" spans="1:15" x14ac:dyDescent="0.25">
      <c r="A1670" s="54">
        <v>45591</v>
      </c>
      <c r="B1670" s="25">
        <f t="shared" si="95"/>
        <v>10</v>
      </c>
      <c r="C1670" s="25">
        <v>2024</v>
      </c>
      <c r="D1670" s="104" t="s">
        <v>122</v>
      </c>
      <c r="E1670" s="104" t="s">
        <v>343</v>
      </c>
      <c r="J1670" s="61">
        <v>680000</v>
      </c>
      <c r="L1670" s="49">
        <f t="shared" si="96"/>
        <v>762000</v>
      </c>
    </row>
    <row r="1671" spans="1:15" x14ac:dyDescent="0.25">
      <c r="A1671" s="54">
        <v>45591</v>
      </c>
      <c r="B1671" s="25">
        <f t="shared" si="95"/>
        <v>10</v>
      </c>
      <c r="C1671" s="25">
        <v>2024</v>
      </c>
      <c r="D1671" s="104" t="s">
        <v>501</v>
      </c>
      <c r="E1671" s="104" t="s">
        <v>93</v>
      </c>
      <c r="F1671" s="104" t="s">
        <v>1133</v>
      </c>
      <c r="K1671" s="61">
        <v>200000</v>
      </c>
      <c r="L1671" s="49">
        <f t="shared" si="96"/>
        <v>562000</v>
      </c>
    </row>
    <row r="1672" spans="1:15" x14ac:dyDescent="0.25">
      <c r="A1672" s="54">
        <v>45591</v>
      </c>
      <c r="B1672" s="25">
        <f t="shared" si="95"/>
        <v>10</v>
      </c>
      <c r="C1672" s="25">
        <v>2024</v>
      </c>
      <c r="D1672" s="104" t="s">
        <v>501</v>
      </c>
      <c r="E1672" s="104" t="s">
        <v>93</v>
      </c>
      <c r="F1672" s="104" t="s">
        <v>655</v>
      </c>
      <c r="K1672" s="61">
        <v>230000</v>
      </c>
      <c r="L1672" s="49">
        <f t="shared" si="96"/>
        <v>332000</v>
      </c>
    </row>
    <row r="1673" spans="1:15" x14ac:dyDescent="0.25">
      <c r="A1673" s="54">
        <v>45591</v>
      </c>
      <c r="B1673" s="25">
        <f t="shared" si="95"/>
        <v>10</v>
      </c>
      <c r="C1673" s="25">
        <v>2024</v>
      </c>
      <c r="D1673" s="104" t="s">
        <v>500</v>
      </c>
      <c r="E1673" s="104" t="s">
        <v>93</v>
      </c>
      <c r="K1673" s="61">
        <v>150000</v>
      </c>
      <c r="L1673" s="49">
        <f t="shared" si="96"/>
        <v>182000</v>
      </c>
    </row>
    <row r="1674" spans="1:15" x14ac:dyDescent="0.25">
      <c r="A1674" s="54">
        <v>45591</v>
      </c>
      <c r="B1674" s="25">
        <f t="shared" si="95"/>
        <v>10</v>
      </c>
      <c r="C1674" s="25">
        <v>2024</v>
      </c>
      <c r="D1674" s="104" t="s">
        <v>501</v>
      </c>
      <c r="E1674" s="104" t="s">
        <v>93</v>
      </c>
      <c r="F1674" s="104" t="s">
        <v>1100</v>
      </c>
      <c r="K1674" s="61">
        <v>150000</v>
      </c>
      <c r="L1674" s="49">
        <f t="shared" si="96"/>
        <v>32000</v>
      </c>
    </row>
    <row r="1675" spans="1:15" x14ac:dyDescent="0.25">
      <c r="A1675" s="80">
        <v>45591</v>
      </c>
      <c r="B1675" s="155">
        <f t="shared" si="95"/>
        <v>10</v>
      </c>
      <c r="C1675" s="155">
        <v>2024</v>
      </c>
      <c r="D1675" s="107" t="s">
        <v>122</v>
      </c>
      <c r="E1675" s="107" t="s">
        <v>93</v>
      </c>
      <c r="F1675" s="107"/>
      <c r="G1675" s="107"/>
      <c r="H1675" s="81"/>
      <c r="I1675" s="81"/>
      <c r="J1675" s="52"/>
      <c r="K1675" s="52">
        <v>2000</v>
      </c>
      <c r="L1675" s="49">
        <f t="shared" si="96"/>
        <v>30000</v>
      </c>
    </row>
    <row r="1676" spans="1:15" x14ac:dyDescent="0.25">
      <c r="A1676" s="54">
        <v>45593</v>
      </c>
      <c r="B1676" s="25">
        <f t="shared" si="95"/>
        <v>10</v>
      </c>
      <c r="C1676" s="25">
        <v>2024</v>
      </c>
      <c r="D1676" s="104" t="s">
        <v>352</v>
      </c>
      <c r="E1676" s="104" t="s">
        <v>93</v>
      </c>
      <c r="F1676" s="104" t="s">
        <v>981</v>
      </c>
      <c r="J1676" s="61">
        <v>200000</v>
      </c>
      <c r="L1676" s="49">
        <f t="shared" si="96"/>
        <v>230000</v>
      </c>
    </row>
    <row r="1677" spans="1:15" s="16" customFormat="1" x14ac:dyDescent="0.25">
      <c r="A1677" s="66">
        <v>45593</v>
      </c>
      <c r="B1677" s="77">
        <f t="shared" si="95"/>
        <v>10</v>
      </c>
      <c r="C1677" s="77">
        <v>2024</v>
      </c>
      <c r="D1677" s="109" t="s">
        <v>352</v>
      </c>
      <c r="E1677" s="109" t="s">
        <v>93</v>
      </c>
      <c r="F1677" s="109" t="s">
        <v>997</v>
      </c>
      <c r="G1677" s="109"/>
      <c r="H1677" s="14"/>
      <c r="I1677" s="14"/>
      <c r="J1677" s="118">
        <v>150000</v>
      </c>
      <c r="K1677" s="118"/>
      <c r="L1677" s="49">
        <f t="shared" si="96"/>
        <v>380000</v>
      </c>
      <c r="M1677" s="163"/>
      <c r="N1677" s="138"/>
      <c r="O1677" s="138"/>
    </row>
    <row r="1678" spans="1:15" x14ac:dyDescent="0.25">
      <c r="A1678" s="80">
        <v>45593</v>
      </c>
      <c r="B1678" s="155">
        <f t="shared" si="95"/>
        <v>10</v>
      </c>
      <c r="C1678" s="155">
        <v>2024</v>
      </c>
      <c r="D1678" s="107" t="s">
        <v>122</v>
      </c>
      <c r="E1678" s="107" t="s">
        <v>93</v>
      </c>
      <c r="F1678" s="107"/>
      <c r="G1678" s="107"/>
      <c r="H1678" s="81"/>
      <c r="I1678" s="81"/>
      <c r="J1678" s="52"/>
      <c r="K1678" s="52">
        <v>350000</v>
      </c>
      <c r="L1678" s="49">
        <f t="shared" si="96"/>
        <v>30000</v>
      </c>
    </row>
    <row r="1679" spans="1:15" x14ac:dyDescent="0.25">
      <c r="A1679" s="54">
        <v>45594</v>
      </c>
      <c r="B1679" s="25">
        <f t="shared" si="95"/>
        <v>10</v>
      </c>
      <c r="C1679" s="25">
        <v>2024</v>
      </c>
      <c r="D1679" s="104" t="s">
        <v>28</v>
      </c>
      <c r="E1679" s="104" t="s">
        <v>93</v>
      </c>
      <c r="K1679" s="61">
        <v>14000</v>
      </c>
      <c r="L1679" s="49">
        <f t="shared" si="96"/>
        <v>16000</v>
      </c>
    </row>
    <row r="1680" spans="1:15" x14ac:dyDescent="0.25">
      <c r="A1680" s="54">
        <v>45594</v>
      </c>
      <c r="B1680" s="25">
        <f t="shared" si="95"/>
        <v>10</v>
      </c>
      <c r="C1680" s="25">
        <v>2024</v>
      </c>
      <c r="D1680" s="104" t="s">
        <v>352</v>
      </c>
      <c r="E1680" s="104" t="s">
        <v>93</v>
      </c>
      <c r="F1680" s="104" t="s">
        <v>1135</v>
      </c>
      <c r="J1680" s="61">
        <v>10000</v>
      </c>
      <c r="L1680" s="49">
        <f t="shared" si="96"/>
        <v>26000</v>
      </c>
    </row>
    <row r="1681" spans="1:12" x14ac:dyDescent="0.25">
      <c r="A1681" s="54">
        <v>45594</v>
      </c>
      <c r="B1681" s="25">
        <f t="shared" si="95"/>
        <v>10</v>
      </c>
      <c r="C1681" s="25">
        <v>2024</v>
      </c>
      <c r="D1681" s="104" t="s">
        <v>360</v>
      </c>
      <c r="E1681" s="104" t="s">
        <v>93</v>
      </c>
      <c r="K1681" s="61">
        <v>10000</v>
      </c>
      <c r="L1681" s="49">
        <f t="shared" si="96"/>
        <v>16000</v>
      </c>
    </row>
    <row r="1682" spans="1:12" x14ac:dyDescent="0.25">
      <c r="A1682" s="54">
        <v>45594</v>
      </c>
      <c r="B1682" s="25">
        <f t="shared" si="95"/>
        <v>10</v>
      </c>
      <c r="C1682" s="25">
        <v>2024</v>
      </c>
      <c r="D1682" s="104" t="s">
        <v>122</v>
      </c>
      <c r="E1682" s="104" t="s">
        <v>93</v>
      </c>
      <c r="J1682" s="61">
        <v>25000</v>
      </c>
      <c r="L1682" s="49">
        <f t="shared" si="96"/>
        <v>41000</v>
      </c>
    </row>
    <row r="1683" spans="1:12" x14ac:dyDescent="0.25">
      <c r="A1683" s="54">
        <v>45594</v>
      </c>
      <c r="B1683" s="25">
        <f t="shared" si="95"/>
        <v>10</v>
      </c>
      <c r="C1683" s="25">
        <v>2024</v>
      </c>
      <c r="D1683" s="104" t="s">
        <v>124</v>
      </c>
      <c r="E1683" s="104" t="s">
        <v>93</v>
      </c>
      <c r="F1683" s="104" t="s">
        <v>1137</v>
      </c>
      <c r="K1683" s="61">
        <v>25000</v>
      </c>
      <c r="L1683" s="49">
        <f t="shared" si="96"/>
        <v>16000</v>
      </c>
    </row>
    <row r="1684" spans="1:12" x14ac:dyDescent="0.25">
      <c r="A1684" s="134">
        <v>45594</v>
      </c>
      <c r="B1684" s="158">
        <f t="shared" si="95"/>
        <v>10</v>
      </c>
      <c r="C1684" s="158">
        <v>2024</v>
      </c>
      <c r="D1684" s="135" t="s">
        <v>123</v>
      </c>
      <c r="E1684" s="135" t="s">
        <v>93</v>
      </c>
      <c r="F1684" s="135"/>
      <c r="G1684" s="135"/>
      <c r="H1684" s="136"/>
      <c r="I1684" s="136"/>
      <c r="J1684" s="137">
        <v>14000</v>
      </c>
      <c r="L1684" s="49">
        <f t="shared" si="96"/>
        <v>30000</v>
      </c>
    </row>
    <row r="1685" spans="1:12" x14ac:dyDescent="0.25">
      <c r="A1685" s="54">
        <v>45596</v>
      </c>
      <c r="B1685" s="25">
        <f t="shared" si="95"/>
        <v>10</v>
      </c>
      <c r="C1685" s="25">
        <v>2024</v>
      </c>
      <c r="D1685" s="104" t="s">
        <v>352</v>
      </c>
      <c r="E1685" s="104" t="s">
        <v>93</v>
      </c>
      <c r="F1685" s="104" t="s">
        <v>1138</v>
      </c>
      <c r="J1685" s="61">
        <v>298500</v>
      </c>
      <c r="L1685" s="49">
        <f t="shared" si="96"/>
        <v>328500</v>
      </c>
    </row>
    <row r="1686" spans="1:12" x14ac:dyDescent="0.25">
      <c r="A1686" s="80">
        <v>45596</v>
      </c>
      <c r="B1686" s="155">
        <f t="shared" si="95"/>
        <v>10</v>
      </c>
      <c r="C1686" s="155">
        <v>2024</v>
      </c>
      <c r="D1686" s="107" t="s">
        <v>122</v>
      </c>
      <c r="E1686" s="107" t="s">
        <v>93</v>
      </c>
      <c r="F1686" s="107"/>
      <c r="G1686" s="107"/>
      <c r="H1686" s="81"/>
      <c r="I1686" s="81"/>
      <c r="J1686" s="52"/>
      <c r="K1686" s="52">
        <v>298500</v>
      </c>
      <c r="L1686" s="49">
        <f t="shared" si="96"/>
        <v>30000</v>
      </c>
    </row>
    <row r="1687" spans="1:12" x14ac:dyDescent="0.25">
      <c r="A1687" s="54">
        <v>45597</v>
      </c>
      <c r="B1687" s="25">
        <f t="shared" si="95"/>
        <v>11</v>
      </c>
      <c r="C1687" s="25">
        <v>2024</v>
      </c>
      <c r="D1687" s="104" t="s">
        <v>352</v>
      </c>
      <c r="E1687" s="104" t="s">
        <v>93</v>
      </c>
      <c r="F1687" s="104" t="s">
        <v>1141</v>
      </c>
      <c r="J1687" s="61">
        <v>200000</v>
      </c>
      <c r="L1687" s="49">
        <f t="shared" si="96"/>
        <v>230000</v>
      </c>
    </row>
    <row r="1688" spans="1:12" x14ac:dyDescent="0.25">
      <c r="A1688" s="54">
        <v>45597</v>
      </c>
      <c r="B1688" s="25">
        <f t="shared" si="95"/>
        <v>11</v>
      </c>
      <c r="C1688" s="25">
        <v>2024</v>
      </c>
      <c r="D1688" s="104" t="s">
        <v>501</v>
      </c>
      <c r="E1688" s="104" t="s">
        <v>93</v>
      </c>
      <c r="F1688" s="104" t="s">
        <v>1100</v>
      </c>
      <c r="K1688" s="61">
        <v>150000</v>
      </c>
      <c r="L1688" s="49">
        <f t="shared" si="96"/>
        <v>80000</v>
      </c>
    </row>
    <row r="1689" spans="1:12" x14ac:dyDescent="0.25">
      <c r="A1689" s="80">
        <v>45597</v>
      </c>
      <c r="B1689" s="155">
        <f t="shared" si="95"/>
        <v>11</v>
      </c>
      <c r="C1689" s="155">
        <v>2024</v>
      </c>
      <c r="D1689" s="107" t="s">
        <v>122</v>
      </c>
      <c r="E1689" s="107" t="s">
        <v>93</v>
      </c>
      <c r="F1689" s="107"/>
      <c r="G1689" s="107"/>
      <c r="H1689" s="81"/>
      <c r="I1689" s="81"/>
      <c r="J1689" s="52"/>
      <c r="K1689" s="52">
        <v>50000</v>
      </c>
      <c r="L1689" s="49">
        <f t="shared" si="96"/>
        <v>30000</v>
      </c>
    </row>
    <row r="1690" spans="1:12" x14ac:dyDescent="0.25">
      <c r="A1690" s="54">
        <v>45598</v>
      </c>
      <c r="B1690" s="25">
        <f t="shared" si="95"/>
        <v>11</v>
      </c>
      <c r="C1690" s="25">
        <v>2024</v>
      </c>
      <c r="D1690" s="104" t="s">
        <v>384</v>
      </c>
      <c r="E1690" s="104" t="s">
        <v>93</v>
      </c>
      <c r="J1690" s="61">
        <v>390000</v>
      </c>
      <c r="L1690" s="49">
        <f t="shared" si="96"/>
        <v>420000</v>
      </c>
    </row>
    <row r="1691" spans="1:12" x14ac:dyDescent="0.25">
      <c r="A1691" s="54">
        <v>45598</v>
      </c>
      <c r="B1691" s="25">
        <f t="shared" si="95"/>
        <v>11</v>
      </c>
      <c r="C1691" s="25">
        <v>2024</v>
      </c>
      <c r="D1691" s="104" t="s">
        <v>501</v>
      </c>
      <c r="E1691" s="104" t="s">
        <v>93</v>
      </c>
      <c r="F1691" s="104" t="s">
        <v>655</v>
      </c>
      <c r="K1691" s="61">
        <v>230000</v>
      </c>
      <c r="L1691" s="49">
        <f t="shared" si="96"/>
        <v>190000</v>
      </c>
    </row>
    <row r="1692" spans="1:12" x14ac:dyDescent="0.25">
      <c r="A1692" s="54">
        <v>45598</v>
      </c>
      <c r="B1692" s="25">
        <f t="shared" si="95"/>
        <v>11</v>
      </c>
      <c r="C1692" s="25">
        <v>2024</v>
      </c>
      <c r="D1692" s="104" t="s">
        <v>501</v>
      </c>
      <c r="E1692" s="104" t="s">
        <v>93</v>
      </c>
      <c r="F1692" s="104" t="s">
        <v>1133</v>
      </c>
      <c r="K1692" s="61">
        <v>160000</v>
      </c>
      <c r="L1692" s="49">
        <f t="shared" si="96"/>
        <v>30000</v>
      </c>
    </row>
    <row r="1693" spans="1:12" x14ac:dyDescent="0.25">
      <c r="A1693" s="54">
        <v>45600</v>
      </c>
      <c r="B1693" s="25">
        <f t="shared" si="95"/>
        <v>11</v>
      </c>
      <c r="C1693" s="25">
        <v>2024</v>
      </c>
      <c r="D1693" s="104" t="s">
        <v>352</v>
      </c>
      <c r="E1693" s="104" t="s">
        <v>93</v>
      </c>
      <c r="F1693" s="104" t="s">
        <v>1144</v>
      </c>
      <c r="J1693" s="61">
        <v>31000</v>
      </c>
      <c r="L1693" s="49">
        <f t="shared" si="96"/>
        <v>61000</v>
      </c>
    </row>
    <row r="1694" spans="1:12" x14ac:dyDescent="0.25">
      <c r="A1694" s="54">
        <v>45600</v>
      </c>
      <c r="B1694" s="25">
        <f t="shared" si="95"/>
        <v>11</v>
      </c>
      <c r="C1694" s="25">
        <v>2024</v>
      </c>
      <c r="D1694" s="104" t="s">
        <v>384</v>
      </c>
      <c r="E1694" s="104" t="s">
        <v>93</v>
      </c>
      <c r="J1694" s="61">
        <v>89285</v>
      </c>
      <c r="L1694" s="49">
        <f t="shared" si="96"/>
        <v>150285</v>
      </c>
    </row>
    <row r="1695" spans="1:12" x14ac:dyDescent="0.25">
      <c r="A1695" s="54">
        <v>45600</v>
      </c>
      <c r="B1695" s="25">
        <f t="shared" si="95"/>
        <v>11</v>
      </c>
      <c r="C1695" s="25">
        <v>2024</v>
      </c>
      <c r="D1695" s="104" t="s">
        <v>124</v>
      </c>
      <c r="E1695" s="104" t="s">
        <v>93</v>
      </c>
      <c r="F1695" s="104" t="s">
        <v>184</v>
      </c>
      <c r="K1695" s="61">
        <v>13385</v>
      </c>
      <c r="L1695" s="49">
        <f t="shared" si="96"/>
        <v>136900</v>
      </c>
    </row>
    <row r="1696" spans="1:12" x14ac:dyDescent="0.25">
      <c r="A1696" s="54">
        <v>45600</v>
      </c>
      <c r="B1696" s="25">
        <f t="shared" si="95"/>
        <v>11</v>
      </c>
      <c r="C1696" s="25">
        <v>2024</v>
      </c>
      <c r="D1696" s="104" t="s">
        <v>124</v>
      </c>
      <c r="E1696" s="104" t="s">
        <v>93</v>
      </c>
      <c r="F1696" s="104" t="s">
        <v>990</v>
      </c>
      <c r="K1696" s="61">
        <v>75900</v>
      </c>
      <c r="L1696" s="49">
        <f t="shared" si="96"/>
        <v>61000</v>
      </c>
    </row>
    <row r="1697" spans="1:12" x14ac:dyDescent="0.25">
      <c r="A1697" s="54">
        <v>45600</v>
      </c>
      <c r="B1697" s="25">
        <f t="shared" si="95"/>
        <v>11</v>
      </c>
      <c r="C1697" s="25">
        <v>2024</v>
      </c>
      <c r="D1697" s="104" t="s">
        <v>352</v>
      </c>
      <c r="E1697" s="104" t="s">
        <v>93</v>
      </c>
      <c r="F1697" s="104" t="s">
        <v>1145</v>
      </c>
      <c r="J1697" s="61">
        <v>604700</v>
      </c>
      <c r="L1697" s="49">
        <f t="shared" si="96"/>
        <v>665700</v>
      </c>
    </row>
    <row r="1698" spans="1:12" x14ac:dyDescent="0.25">
      <c r="A1698" s="80">
        <v>45600</v>
      </c>
      <c r="B1698" s="155">
        <f t="shared" si="95"/>
        <v>11</v>
      </c>
      <c r="C1698" s="155">
        <v>2024</v>
      </c>
      <c r="D1698" s="107" t="s">
        <v>122</v>
      </c>
      <c r="E1698" s="107" t="s">
        <v>93</v>
      </c>
      <c r="F1698" s="107"/>
      <c r="G1698" s="107"/>
      <c r="H1698" s="81"/>
      <c r="I1698" s="81"/>
      <c r="J1698" s="52"/>
      <c r="K1698" s="52">
        <v>635700</v>
      </c>
      <c r="L1698" s="49">
        <f t="shared" si="96"/>
        <v>30000</v>
      </c>
    </row>
    <row r="1699" spans="1:12" x14ac:dyDescent="0.25">
      <c r="A1699" s="54">
        <v>45601</v>
      </c>
      <c r="B1699" s="25">
        <f t="shared" si="95"/>
        <v>11</v>
      </c>
      <c r="C1699" s="25">
        <v>2024</v>
      </c>
      <c r="D1699" s="104" t="s">
        <v>352</v>
      </c>
      <c r="E1699" s="104" t="s">
        <v>93</v>
      </c>
      <c r="F1699" s="104" t="s">
        <v>1147</v>
      </c>
      <c r="J1699" s="61">
        <v>609000</v>
      </c>
      <c r="L1699" s="49">
        <f t="shared" si="96"/>
        <v>639000</v>
      </c>
    </row>
    <row r="1700" spans="1:12" x14ac:dyDescent="0.25">
      <c r="A1700" s="54">
        <v>45601</v>
      </c>
      <c r="B1700" s="25">
        <f t="shared" si="95"/>
        <v>11</v>
      </c>
      <c r="C1700" s="25">
        <v>2024</v>
      </c>
      <c r="D1700" s="104" t="s">
        <v>124</v>
      </c>
      <c r="E1700" s="104" t="s">
        <v>93</v>
      </c>
      <c r="F1700" s="104" t="s">
        <v>1079</v>
      </c>
      <c r="K1700" s="61">
        <v>544000</v>
      </c>
      <c r="L1700" s="49">
        <f t="shared" si="96"/>
        <v>95000</v>
      </c>
    </row>
    <row r="1701" spans="1:12" x14ac:dyDescent="0.25">
      <c r="A1701" s="54">
        <v>45601</v>
      </c>
      <c r="B1701" s="25">
        <f t="shared" si="95"/>
        <v>11</v>
      </c>
      <c r="C1701" s="25">
        <v>2024</v>
      </c>
      <c r="D1701" s="104" t="s">
        <v>352</v>
      </c>
      <c r="E1701" s="104" t="s">
        <v>93</v>
      </c>
      <c r="F1701" s="104" t="s">
        <v>1080</v>
      </c>
      <c r="J1701" s="61">
        <v>155000</v>
      </c>
      <c r="L1701" s="49">
        <f t="shared" si="96"/>
        <v>250000</v>
      </c>
    </row>
    <row r="1702" spans="1:12" x14ac:dyDescent="0.25">
      <c r="A1702" s="54">
        <v>45601</v>
      </c>
      <c r="B1702" s="25">
        <f t="shared" si="95"/>
        <v>11</v>
      </c>
      <c r="C1702" s="25">
        <v>2024</v>
      </c>
      <c r="D1702" s="104" t="s">
        <v>109</v>
      </c>
      <c r="E1702" s="104" t="s">
        <v>93</v>
      </c>
      <c r="F1702" s="104" t="s">
        <v>1150</v>
      </c>
      <c r="K1702" s="61">
        <v>75000</v>
      </c>
      <c r="L1702" s="49">
        <f t="shared" si="96"/>
        <v>175000</v>
      </c>
    </row>
    <row r="1703" spans="1:12" x14ac:dyDescent="0.25">
      <c r="A1703" s="80">
        <v>45601</v>
      </c>
      <c r="B1703" s="155">
        <f t="shared" si="95"/>
        <v>11</v>
      </c>
      <c r="C1703" s="155">
        <v>2024</v>
      </c>
      <c r="D1703" s="107" t="s">
        <v>122</v>
      </c>
      <c r="E1703" s="107" t="s">
        <v>93</v>
      </c>
      <c r="F1703" s="107"/>
      <c r="G1703" s="107"/>
      <c r="H1703" s="81"/>
      <c r="I1703" s="81"/>
      <c r="J1703" s="52"/>
      <c r="K1703" s="52">
        <v>145000</v>
      </c>
      <c r="L1703" s="49">
        <f t="shared" si="96"/>
        <v>30000</v>
      </c>
    </row>
    <row r="1704" spans="1:12" x14ac:dyDescent="0.25">
      <c r="A1704" s="54">
        <v>45602</v>
      </c>
      <c r="B1704" s="25">
        <f t="shared" si="95"/>
        <v>11</v>
      </c>
      <c r="C1704" s="25">
        <v>2024</v>
      </c>
      <c r="D1704" s="104" t="s">
        <v>384</v>
      </c>
      <c r="E1704" s="104" t="s">
        <v>93</v>
      </c>
      <c r="J1704" s="61">
        <v>112000</v>
      </c>
      <c r="L1704" s="49">
        <f t="shared" si="96"/>
        <v>142000</v>
      </c>
    </row>
    <row r="1705" spans="1:12" x14ac:dyDescent="0.25">
      <c r="A1705" s="54">
        <v>45602</v>
      </c>
      <c r="B1705" s="25">
        <f t="shared" si="95"/>
        <v>11</v>
      </c>
      <c r="C1705" s="25">
        <v>2024</v>
      </c>
      <c r="D1705" s="104" t="s">
        <v>124</v>
      </c>
      <c r="E1705" s="104" t="s">
        <v>93</v>
      </c>
      <c r="F1705" s="104" t="s">
        <v>994</v>
      </c>
      <c r="K1705" s="61">
        <v>112000</v>
      </c>
      <c r="L1705" s="49">
        <f t="shared" si="96"/>
        <v>30000</v>
      </c>
    </row>
    <row r="1706" spans="1:12" x14ac:dyDescent="0.25">
      <c r="A1706" s="54">
        <v>45602</v>
      </c>
      <c r="B1706" s="25">
        <f t="shared" si="95"/>
        <v>11</v>
      </c>
      <c r="C1706" s="25">
        <v>2024</v>
      </c>
      <c r="D1706" s="104" t="s">
        <v>384</v>
      </c>
      <c r="E1706" s="104" t="s">
        <v>93</v>
      </c>
      <c r="J1706" s="61">
        <v>172424</v>
      </c>
      <c r="L1706" s="49">
        <f t="shared" si="96"/>
        <v>202424</v>
      </c>
    </row>
    <row r="1707" spans="1:12" x14ac:dyDescent="0.25">
      <c r="A1707" s="54">
        <v>45602</v>
      </c>
      <c r="B1707" s="25">
        <f t="shared" si="95"/>
        <v>11</v>
      </c>
      <c r="C1707" s="25">
        <v>2024</v>
      </c>
      <c r="D1707" s="104" t="s">
        <v>148</v>
      </c>
      <c r="E1707" s="104" t="s">
        <v>93</v>
      </c>
      <c r="K1707" s="61">
        <v>172424</v>
      </c>
      <c r="L1707" s="49">
        <f t="shared" si="96"/>
        <v>30000</v>
      </c>
    </row>
    <row r="1708" spans="1:12" x14ac:dyDescent="0.25">
      <c r="A1708" s="54">
        <v>45602</v>
      </c>
      <c r="B1708" s="25">
        <f t="shared" si="95"/>
        <v>11</v>
      </c>
      <c r="C1708" s="25">
        <v>2024</v>
      </c>
      <c r="D1708" s="104" t="s">
        <v>352</v>
      </c>
      <c r="E1708" s="104" t="s">
        <v>93</v>
      </c>
      <c r="F1708" s="104" t="s">
        <v>1122</v>
      </c>
      <c r="J1708" s="61">
        <v>200000</v>
      </c>
      <c r="L1708" s="49">
        <f t="shared" si="96"/>
        <v>230000</v>
      </c>
    </row>
    <row r="1709" spans="1:12" x14ac:dyDescent="0.25">
      <c r="A1709" s="54">
        <v>45602</v>
      </c>
      <c r="B1709" s="25">
        <f t="shared" si="95"/>
        <v>11</v>
      </c>
      <c r="C1709" s="25">
        <v>2024</v>
      </c>
      <c r="D1709" s="104" t="s">
        <v>352</v>
      </c>
      <c r="E1709" s="104" t="s">
        <v>93</v>
      </c>
      <c r="F1709" s="104" t="s">
        <v>1009</v>
      </c>
      <c r="J1709" s="61">
        <v>557000</v>
      </c>
      <c r="L1709" s="49">
        <f t="shared" si="96"/>
        <v>787000</v>
      </c>
    </row>
    <row r="1710" spans="1:12" x14ac:dyDescent="0.25">
      <c r="A1710" s="54">
        <v>45602</v>
      </c>
      <c r="B1710" s="25">
        <f t="shared" si="95"/>
        <v>11</v>
      </c>
      <c r="C1710" s="25">
        <v>2024</v>
      </c>
      <c r="D1710" s="104" t="s">
        <v>352</v>
      </c>
      <c r="E1710" s="104" t="s">
        <v>93</v>
      </c>
      <c r="F1710" s="104" t="s">
        <v>1151</v>
      </c>
      <c r="J1710" s="61">
        <v>124000</v>
      </c>
      <c r="L1710" s="49">
        <f t="shared" si="96"/>
        <v>911000</v>
      </c>
    </row>
    <row r="1711" spans="1:12" x14ac:dyDescent="0.25">
      <c r="A1711" s="54">
        <v>45602</v>
      </c>
      <c r="B1711" s="25">
        <f t="shared" si="95"/>
        <v>11</v>
      </c>
      <c r="C1711" s="25">
        <v>2024</v>
      </c>
      <c r="D1711" s="104" t="s">
        <v>352</v>
      </c>
      <c r="E1711" s="104" t="s">
        <v>93</v>
      </c>
      <c r="F1711" s="104" t="s">
        <v>1009</v>
      </c>
      <c r="J1711" s="61">
        <v>400000</v>
      </c>
      <c r="L1711" s="49">
        <f t="shared" si="96"/>
        <v>1311000</v>
      </c>
    </row>
    <row r="1712" spans="1:12" x14ac:dyDescent="0.25">
      <c r="A1712" s="80">
        <v>45602</v>
      </c>
      <c r="B1712" s="155">
        <f t="shared" si="95"/>
        <v>11</v>
      </c>
      <c r="C1712" s="155">
        <v>2024</v>
      </c>
      <c r="D1712" s="107" t="s">
        <v>361</v>
      </c>
      <c r="E1712" s="107" t="s">
        <v>93</v>
      </c>
      <c r="F1712" s="107"/>
      <c r="G1712" s="107"/>
      <c r="H1712" s="81"/>
      <c r="I1712" s="81"/>
      <c r="J1712" s="52"/>
      <c r="K1712" s="52">
        <v>1281000</v>
      </c>
      <c r="L1712" s="49">
        <f t="shared" si="96"/>
        <v>30000</v>
      </c>
    </row>
    <row r="1713" spans="1:12" x14ac:dyDescent="0.25">
      <c r="A1713" s="54">
        <v>45603</v>
      </c>
      <c r="B1713" s="25">
        <f t="shared" si="95"/>
        <v>11</v>
      </c>
      <c r="C1713" s="25">
        <v>2024</v>
      </c>
      <c r="D1713" s="104" t="s">
        <v>384</v>
      </c>
      <c r="E1713" s="104" t="s">
        <v>93</v>
      </c>
      <c r="J1713" s="61">
        <v>120500</v>
      </c>
      <c r="L1713" s="49">
        <f t="shared" si="96"/>
        <v>150500</v>
      </c>
    </row>
    <row r="1714" spans="1:12" x14ac:dyDescent="0.25">
      <c r="A1714" s="54">
        <v>45603</v>
      </c>
      <c r="B1714" s="25">
        <f t="shared" si="95"/>
        <v>11</v>
      </c>
      <c r="C1714" s="25">
        <v>2024</v>
      </c>
      <c r="D1714" s="104" t="s">
        <v>124</v>
      </c>
      <c r="E1714" s="104" t="s">
        <v>93</v>
      </c>
      <c r="G1714" s="104" t="s">
        <v>852</v>
      </c>
      <c r="K1714" s="61">
        <v>53500</v>
      </c>
      <c r="L1714" s="49">
        <f t="shared" si="96"/>
        <v>97000</v>
      </c>
    </row>
    <row r="1715" spans="1:12" x14ac:dyDescent="0.25">
      <c r="A1715" s="54">
        <v>45603</v>
      </c>
      <c r="B1715" s="25">
        <f t="shared" si="95"/>
        <v>11</v>
      </c>
      <c r="C1715" s="25">
        <v>2024</v>
      </c>
      <c r="D1715" s="104" t="s">
        <v>109</v>
      </c>
      <c r="E1715" s="104" t="s">
        <v>93</v>
      </c>
      <c r="F1715" s="104" t="s">
        <v>887</v>
      </c>
      <c r="K1715" s="61">
        <v>67000</v>
      </c>
      <c r="L1715" s="49">
        <f t="shared" si="96"/>
        <v>30000</v>
      </c>
    </row>
    <row r="1716" spans="1:12" x14ac:dyDescent="0.25">
      <c r="A1716" s="54">
        <v>45603</v>
      </c>
      <c r="B1716" s="25">
        <f t="shared" si="95"/>
        <v>11</v>
      </c>
      <c r="C1716" s="25">
        <v>2024</v>
      </c>
      <c r="D1716" s="104" t="s">
        <v>352</v>
      </c>
      <c r="E1716" s="104" t="s">
        <v>93</v>
      </c>
      <c r="F1716" s="104" t="s">
        <v>150</v>
      </c>
      <c r="J1716" s="61">
        <v>26400</v>
      </c>
      <c r="L1716" s="49">
        <f t="shared" si="96"/>
        <v>56400</v>
      </c>
    </row>
    <row r="1717" spans="1:12" x14ac:dyDescent="0.25">
      <c r="A1717" s="54">
        <v>45603</v>
      </c>
      <c r="B1717" s="25">
        <f t="shared" si="95"/>
        <v>11</v>
      </c>
      <c r="C1717" s="25">
        <v>2024</v>
      </c>
      <c r="D1717" s="104" t="s">
        <v>109</v>
      </c>
      <c r="E1717" s="104" t="s">
        <v>343</v>
      </c>
      <c r="F1717" s="104" t="s">
        <v>1161</v>
      </c>
      <c r="K1717" s="61">
        <v>26400</v>
      </c>
      <c r="L1717" s="49">
        <f t="shared" si="96"/>
        <v>30000</v>
      </c>
    </row>
    <row r="1718" spans="1:12" x14ac:dyDescent="0.25">
      <c r="A1718" s="54">
        <v>45604</v>
      </c>
      <c r="B1718" s="25">
        <f t="shared" si="95"/>
        <v>11</v>
      </c>
      <c r="C1718" s="25">
        <v>2024</v>
      </c>
      <c r="D1718" s="104" t="s">
        <v>352</v>
      </c>
      <c r="E1718" s="104" t="s">
        <v>343</v>
      </c>
      <c r="F1718" s="104" t="s">
        <v>1162</v>
      </c>
      <c r="J1718" s="61">
        <v>600000</v>
      </c>
      <c r="L1718" s="49">
        <f t="shared" si="96"/>
        <v>630000</v>
      </c>
    </row>
    <row r="1719" spans="1:12" x14ac:dyDescent="0.25">
      <c r="A1719" s="80">
        <v>45604</v>
      </c>
      <c r="B1719" s="155">
        <f t="shared" si="95"/>
        <v>11</v>
      </c>
      <c r="C1719" s="155">
        <v>2024</v>
      </c>
      <c r="D1719" s="107" t="s">
        <v>122</v>
      </c>
      <c r="E1719" s="107" t="s">
        <v>343</v>
      </c>
      <c r="F1719" s="107"/>
      <c r="G1719" s="107"/>
      <c r="H1719" s="81"/>
      <c r="I1719" s="81"/>
      <c r="J1719" s="52"/>
      <c r="K1719" s="52">
        <v>600000</v>
      </c>
      <c r="L1719" s="49">
        <f t="shared" si="96"/>
        <v>30000</v>
      </c>
    </row>
    <row r="1720" spans="1:12" x14ac:dyDescent="0.25">
      <c r="A1720" s="54">
        <v>45605</v>
      </c>
      <c r="B1720" s="25">
        <f t="shared" si="95"/>
        <v>11</v>
      </c>
      <c r="C1720" s="25">
        <v>2024</v>
      </c>
      <c r="D1720" s="104" t="s">
        <v>123</v>
      </c>
      <c r="E1720" s="104" t="s">
        <v>343</v>
      </c>
      <c r="J1720" s="61">
        <v>630000</v>
      </c>
      <c r="L1720" s="49">
        <f t="shared" si="96"/>
        <v>660000</v>
      </c>
    </row>
    <row r="1721" spans="1:12" x14ac:dyDescent="0.25">
      <c r="A1721" s="54">
        <v>45605</v>
      </c>
      <c r="B1721" s="25">
        <f t="shared" si="95"/>
        <v>11</v>
      </c>
      <c r="C1721" s="25">
        <v>2024</v>
      </c>
      <c r="D1721" s="104" t="s">
        <v>501</v>
      </c>
      <c r="E1721" s="104" t="s">
        <v>93</v>
      </c>
      <c r="F1721" s="104" t="s">
        <v>655</v>
      </c>
      <c r="K1721" s="61">
        <v>250000</v>
      </c>
      <c r="L1721" s="49">
        <f t="shared" si="96"/>
        <v>410000</v>
      </c>
    </row>
    <row r="1722" spans="1:12" x14ac:dyDescent="0.25">
      <c r="A1722" s="54">
        <v>45605</v>
      </c>
      <c r="B1722" s="25">
        <f t="shared" si="95"/>
        <v>11</v>
      </c>
      <c r="C1722" s="25">
        <v>2024</v>
      </c>
      <c r="D1722" s="104" t="s">
        <v>501</v>
      </c>
      <c r="E1722" s="104" t="s">
        <v>93</v>
      </c>
      <c r="F1722" s="104" t="s">
        <v>1133</v>
      </c>
      <c r="K1722" s="61">
        <v>230000</v>
      </c>
      <c r="L1722" s="49">
        <f t="shared" si="96"/>
        <v>180000</v>
      </c>
    </row>
    <row r="1723" spans="1:12" x14ac:dyDescent="0.25">
      <c r="A1723" s="54">
        <v>45605</v>
      </c>
      <c r="B1723" s="25">
        <f t="shared" si="95"/>
        <v>11</v>
      </c>
      <c r="C1723" s="25">
        <v>2024</v>
      </c>
      <c r="D1723" s="104" t="s">
        <v>501</v>
      </c>
      <c r="E1723" s="104" t="s">
        <v>93</v>
      </c>
      <c r="F1723" s="104" t="s">
        <v>1100</v>
      </c>
      <c r="K1723" s="61">
        <v>150000</v>
      </c>
      <c r="L1723" s="49">
        <f t="shared" si="96"/>
        <v>30000</v>
      </c>
    </row>
    <row r="1724" spans="1:12" x14ac:dyDescent="0.25">
      <c r="A1724" s="54">
        <v>45607</v>
      </c>
      <c r="B1724" s="25">
        <f t="shared" si="95"/>
        <v>11</v>
      </c>
      <c r="C1724" s="25">
        <v>2024</v>
      </c>
      <c r="D1724" s="104" t="s">
        <v>352</v>
      </c>
      <c r="E1724" s="104" t="s">
        <v>93</v>
      </c>
      <c r="F1724" s="104" t="s">
        <v>1164</v>
      </c>
      <c r="J1724" s="61">
        <v>80000</v>
      </c>
      <c r="L1724" s="49">
        <f t="shared" si="96"/>
        <v>110000</v>
      </c>
    </row>
    <row r="1725" spans="1:12" x14ac:dyDescent="0.25">
      <c r="A1725" s="54">
        <v>45607</v>
      </c>
      <c r="B1725" s="25">
        <f t="shared" si="95"/>
        <v>11</v>
      </c>
      <c r="C1725" s="25">
        <v>2024</v>
      </c>
      <c r="D1725" s="104" t="s">
        <v>352</v>
      </c>
      <c r="E1725" s="104" t="s">
        <v>93</v>
      </c>
      <c r="F1725" s="104" t="s">
        <v>981</v>
      </c>
      <c r="J1725" s="61">
        <v>200000</v>
      </c>
      <c r="L1725" s="49">
        <f t="shared" si="96"/>
        <v>310000</v>
      </c>
    </row>
    <row r="1726" spans="1:12" x14ac:dyDescent="0.25">
      <c r="A1726" s="80">
        <v>45607</v>
      </c>
      <c r="B1726" s="155">
        <f t="shared" si="95"/>
        <v>11</v>
      </c>
      <c r="C1726" s="155">
        <v>2024</v>
      </c>
      <c r="D1726" s="107" t="s">
        <v>122</v>
      </c>
      <c r="E1726" s="107" t="s">
        <v>93</v>
      </c>
      <c r="F1726" s="107"/>
      <c r="G1726" s="107"/>
      <c r="H1726" s="81"/>
      <c r="I1726" s="81"/>
      <c r="J1726" s="52"/>
      <c r="K1726" s="52">
        <v>280000</v>
      </c>
      <c r="L1726" s="49">
        <f t="shared" si="96"/>
        <v>30000</v>
      </c>
    </row>
    <row r="1727" spans="1:12" x14ac:dyDescent="0.25">
      <c r="A1727" s="54">
        <v>45608</v>
      </c>
      <c r="B1727" s="25">
        <f t="shared" si="95"/>
        <v>11</v>
      </c>
      <c r="C1727" s="25">
        <v>2024</v>
      </c>
      <c r="D1727" s="104" t="s">
        <v>352</v>
      </c>
      <c r="E1727" s="104" t="s">
        <v>93</v>
      </c>
      <c r="F1727" s="104" t="s">
        <v>654</v>
      </c>
      <c r="J1727" s="61">
        <v>544000</v>
      </c>
      <c r="L1727" s="49">
        <f t="shared" si="96"/>
        <v>574000</v>
      </c>
    </row>
    <row r="1728" spans="1:12" x14ac:dyDescent="0.25">
      <c r="A1728" s="54">
        <v>45608</v>
      </c>
      <c r="B1728" s="25">
        <f t="shared" si="95"/>
        <v>11</v>
      </c>
      <c r="C1728" s="25">
        <v>2024</v>
      </c>
      <c r="D1728" s="104" t="s">
        <v>352</v>
      </c>
      <c r="E1728" s="104" t="s">
        <v>93</v>
      </c>
      <c r="F1728" s="104" t="s">
        <v>1166</v>
      </c>
      <c r="J1728" s="61">
        <v>338000</v>
      </c>
      <c r="L1728" s="49">
        <f t="shared" si="96"/>
        <v>912000</v>
      </c>
    </row>
    <row r="1729" spans="1:12" x14ac:dyDescent="0.25">
      <c r="A1729" s="80">
        <v>45608</v>
      </c>
      <c r="B1729" s="155">
        <f t="shared" si="95"/>
        <v>11</v>
      </c>
      <c r="C1729" s="155">
        <v>2024</v>
      </c>
      <c r="D1729" s="107" t="s">
        <v>122</v>
      </c>
      <c r="E1729" s="107" t="s">
        <v>93</v>
      </c>
      <c r="F1729" s="107"/>
      <c r="G1729" s="107"/>
      <c r="H1729" s="81"/>
      <c r="I1729" s="81"/>
      <c r="J1729" s="52"/>
      <c r="K1729" s="52">
        <v>882000</v>
      </c>
      <c r="L1729" s="49">
        <f t="shared" si="96"/>
        <v>30000</v>
      </c>
    </row>
    <row r="1730" spans="1:12" x14ac:dyDescent="0.25">
      <c r="A1730" s="54">
        <v>45610</v>
      </c>
      <c r="B1730" s="25">
        <f t="shared" si="95"/>
        <v>11</v>
      </c>
      <c r="C1730" s="25">
        <v>2024</v>
      </c>
      <c r="D1730" s="104" t="s">
        <v>352</v>
      </c>
      <c r="E1730" s="104" t="s">
        <v>93</v>
      </c>
      <c r="F1730" s="104" t="s">
        <v>1125</v>
      </c>
      <c r="J1730" s="61">
        <v>95000</v>
      </c>
      <c r="L1730" s="49">
        <f t="shared" si="96"/>
        <v>125000</v>
      </c>
    </row>
    <row r="1731" spans="1:12" x14ac:dyDescent="0.25">
      <c r="A1731" s="54">
        <v>45610</v>
      </c>
      <c r="B1731" s="25">
        <f t="shared" ref="B1731:B1754" si="97">MONTH(A1731)</f>
        <v>11</v>
      </c>
      <c r="C1731" s="25">
        <v>2024</v>
      </c>
      <c r="D1731" s="104" t="s">
        <v>109</v>
      </c>
      <c r="E1731" s="104" t="s">
        <v>93</v>
      </c>
      <c r="F1731" s="104" t="s">
        <v>354</v>
      </c>
      <c r="K1731" s="61">
        <v>12000</v>
      </c>
      <c r="L1731" s="49">
        <f t="shared" si="96"/>
        <v>113000</v>
      </c>
    </row>
    <row r="1732" spans="1:12" x14ac:dyDescent="0.25">
      <c r="A1732" s="80">
        <v>45610</v>
      </c>
      <c r="B1732" s="155">
        <f t="shared" si="97"/>
        <v>11</v>
      </c>
      <c r="C1732" s="155">
        <v>2024</v>
      </c>
      <c r="D1732" s="107" t="s">
        <v>122</v>
      </c>
      <c r="E1732" s="107" t="s">
        <v>93</v>
      </c>
      <c r="F1732" s="107"/>
      <c r="G1732" s="107"/>
      <c r="H1732" s="81"/>
      <c r="I1732" s="81"/>
      <c r="J1732" s="52"/>
      <c r="K1732" s="52">
        <v>83000</v>
      </c>
      <c r="L1732" s="49">
        <f t="shared" ref="L1732:L1795" si="98">IF((L1731+M1731+J1732-K1732)&gt;0,(L1731+M1731+J1732-K1732),0)</f>
        <v>30000</v>
      </c>
    </row>
    <row r="1733" spans="1:12" x14ac:dyDescent="0.25">
      <c r="A1733" s="54">
        <v>45611</v>
      </c>
      <c r="B1733" s="25">
        <f t="shared" si="97"/>
        <v>11</v>
      </c>
      <c r="C1733" s="25">
        <v>2024</v>
      </c>
      <c r="D1733" s="104" t="s">
        <v>352</v>
      </c>
      <c r="E1733" s="104" t="s">
        <v>93</v>
      </c>
      <c r="F1733" s="104" t="s">
        <v>1099</v>
      </c>
      <c r="J1733" s="61">
        <v>195000</v>
      </c>
      <c r="L1733" s="49">
        <f t="shared" si="98"/>
        <v>225000</v>
      </c>
    </row>
    <row r="1734" spans="1:12" x14ac:dyDescent="0.25">
      <c r="A1734" s="54">
        <v>45611</v>
      </c>
      <c r="B1734" s="25">
        <f t="shared" si="97"/>
        <v>11</v>
      </c>
      <c r="C1734" s="25">
        <v>2024</v>
      </c>
      <c r="D1734" s="104" t="s">
        <v>352</v>
      </c>
      <c r="E1734" s="104" t="s">
        <v>93</v>
      </c>
      <c r="F1734" s="104" t="s">
        <v>1099</v>
      </c>
      <c r="J1734" s="61">
        <v>57000</v>
      </c>
      <c r="L1734" s="49">
        <f t="shared" si="98"/>
        <v>282000</v>
      </c>
    </row>
    <row r="1735" spans="1:12" x14ac:dyDescent="0.25">
      <c r="A1735" s="80">
        <v>45611</v>
      </c>
      <c r="B1735" s="155">
        <f t="shared" si="97"/>
        <v>11</v>
      </c>
      <c r="C1735" s="155">
        <v>2024</v>
      </c>
      <c r="D1735" s="107" t="s">
        <v>122</v>
      </c>
      <c r="E1735" s="107" t="s">
        <v>93</v>
      </c>
      <c r="F1735" s="107"/>
      <c r="G1735" s="107"/>
      <c r="H1735" s="81"/>
      <c r="I1735" s="81"/>
      <c r="J1735" s="52"/>
      <c r="K1735" s="52">
        <v>252000</v>
      </c>
      <c r="L1735" s="49">
        <f t="shared" si="98"/>
        <v>30000</v>
      </c>
    </row>
    <row r="1736" spans="1:12" x14ac:dyDescent="0.25">
      <c r="A1736" s="54">
        <v>45612</v>
      </c>
      <c r="B1736" s="25">
        <f t="shared" si="97"/>
        <v>11</v>
      </c>
      <c r="C1736" s="25">
        <v>2024</v>
      </c>
      <c r="D1736" s="104" t="s">
        <v>384</v>
      </c>
      <c r="E1736" s="104" t="s">
        <v>93</v>
      </c>
      <c r="J1736" s="61">
        <v>830000</v>
      </c>
      <c r="L1736" s="49">
        <f t="shared" si="98"/>
        <v>860000</v>
      </c>
    </row>
    <row r="1737" spans="1:12" x14ac:dyDescent="0.25">
      <c r="A1737" s="54">
        <v>45612</v>
      </c>
      <c r="B1737" s="25">
        <f t="shared" si="97"/>
        <v>11</v>
      </c>
      <c r="C1737" s="25">
        <v>2024</v>
      </c>
      <c r="D1737" s="104" t="s">
        <v>501</v>
      </c>
      <c r="E1737" s="104" t="s">
        <v>93</v>
      </c>
      <c r="F1737" s="104" t="s">
        <v>655</v>
      </c>
      <c r="K1737" s="61">
        <v>250000</v>
      </c>
      <c r="L1737" s="49">
        <f t="shared" si="98"/>
        <v>610000</v>
      </c>
    </row>
    <row r="1738" spans="1:12" x14ac:dyDescent="0.25">
      <c r="A1738" s="54">
        <v>45612</v>
      </c>
      <c r="B1738" s="25">
        <f t="shared" si="97"/>
        <v>11</v>
      </c>
      <c r="C1738" s="25">
        <v>2024</v>
      </c>
      <c r="D1738" s="104" t="s">
        <v>501</v>
      </c>
      <c r="E1738" s="104" t="s">
        <v>93</v>
      </c>
      <c r="F1738" s="104" t="s">
        <v>1133</v>
      </c>
      <c r="K1738" s="61">
        <v>230000</v>
      </c>
      <c r="L1738" s="49">
        <f t="shared" si="98"/>
        <v>380000</v>
      </c>
    </row>
    <row r="1739" spans="1:12" x14ac:dyDescent="0.25">
      <c r="A1739" s="54">
        <v>45612</v>
      </c>
      <c r="B1739" s="25">
        <f t="shared" si="97"/>
        <v>11</v>
      </c>
      <c r="C1739" s="25">
        <v>2024</v>
      </c>
      <c r="D1739" s="104" t="s">
        <v>501</v>
      </c>
      <c r="E1739" s="104" t="s">
        <v>93</v>
      </c>
      <c r="F1739" s="104" t="s">
        <v>1064</v>
      </c>
      <c r="K1739" s="61">
        <v>150000</v>
      </c>
      <c r="L1739" s="49">
        <f t="shared" si="98"/>
        <v>230000</v>
      </c>
    </row>
    <row r="1740" spans="1:12" x14ac:dyDescent="0.25">
      <c r="A1740" s="54">
        <v>45612</v>
      </c>
      <c r="B1740" s="25">
        <f t="shared" si="97"/>
        <v>11</v>
      </c>
      <c r="C1740" s="25">
        <v>2024</v>
      </c>
      <c r="D1740" s="104" t="s">
        <v>500</v>
      </c>
      <c r="E1740" s="104" t="s">
        <v>93</v>
      </c>
      <c r="K1740" s="61">
        <v>200000</v>
      </c>
      <c r="L1740" s="49">
        <f t="shared" si="98"/>
        <v>30000</v>
      </c>
    </row>
    <row r="1741" spans="1:12" x14ac:dyDescent="0.25">
      <c r="A1741" s="54">
        <v>45616</v>
      </c>
      <c r="B1741" s="25">
        <f t="shared" si="97"/>
        <v>11</v>
      </c>
      <c r="C1741" s="25">
        <v>2024</v>
      </c>
      <c r="D1741" s="104" t="s">
        <v>352</v>
      </c>
      <c r="E1741" s="104" t="s">
        <v>93</v>
      </c>
      <c r="F1741" s="104" t="s">
        <v>456</v>
      </c>
      <c r="J1741" s="61">
        <v>15000</v>
      </c>
      <c r="L1741" s="49">
        <f t="shared" si="98"/>
        <v>45000</v>
      </c>
    </row>
    <row r="1742" spans="1:12" x14ac:dyDescent="0.25">
      <c r="A1742" s="80">
        <v>45616</v>
      </c>
      <c r="B1742" s="155">
        <f t="shared" si="97"/>
        <v>11</v>
      </c>
      <c r="C1742" s="155">
        <v>2024</v>
      </c>
      <c r="D1742" s="107" t="s">
        <v>122</v>
      </c>
      <c r="E1742" s="107" t="s">
        <v>93</v>
      </c>
      <c r="F1742" s="107"/>
      <c r="G1742" s="107"/>
      <c r="H1742" s="81"/>
      <c r="I1742" s="81"/>
      <c r="J1742" s="52"/>
      <c r="K1742" s="52">
        <v>15000</v>
      </c>
      <c r="L1742" s="49">
        <f t="shared" si="98"/>
        <v>30000</v>
      </c>
    </row>
    <row r="1743" spans="1:12" x14ac:dyDescent="0.25">
      <c r="A1743" s="54">
        <v>45618</v>
      </c>
      <c r="B1743" s="25">
        <f t="shared" si="97"/>
        <v>11</v>
      </c>
      <c r="C1743" s="25">
        <v>2024</v>
      </c>
      <c r="D1743" s="104" t="s">
        <v>352</v>
      </c>
      <c r="E1743" s="104" t="s">
        <v>93</v>
      </c>
      <c r="F1743" s="104" t="s">
        <v>1181</v>
      </c>
      <c r="J1743" s="61">
        <v>130000</v>
      </c>
      <c r="L1743" s="49">
        <f t="shared" si="98"/>
        <v>160000</v>
      </c>
    </row>
    <row r="1744" spans="1:12" x14ac:dyDescent="0.25">
      <c r="A1744" s="54">
        <v>45618</v>
      </c>
      <c r="B1744" s="25">
        <f t="shared" si="97"/>
        <v>11</v>
      </c>
      <c r="C1744" s="25">
        <v>2024</v>
      </c>
      <c r="D1744" s="104" t="s">
        <v>124</v>
      </c>
      <c r="E1744" s="104" t="s">
        <v>93</v>
      </c>
      <c r="F1744" s="104" t="s">
        <v>1182</v>
      </c>
      <c r="K1744" s="61">
        <v>9000</v>
      </c>
      <c r="L1744" s="49">
        <f t="shared" si="98"/>
        <v>151000</v>
      </c>
    </row>
    <row r="1745" spans="1:12" x14ac:dyDescent="0.25">
      <c r="A1745" s="54">
        <v>45618</v>
      </c>
      <c r="B1745" s="25">
        <f t="shared" si="97"/>
        <v>11</v>
      </c>
      <c r="C1745" s="25">
        <v>2024</v>
      </c>
      <c r="D1745" s="104" t="s">
        <v>352</v>
      </c>
      <c r="E1745" s="104" t="s">
        <v>93</v>
      </c>
      <c r="F1745" s="104" t="s">
        <v>1183</v>
      </c>
      <c r="J1745" s="61">
        <v>85000</v>
      </c>
      <c r="L1745" s="49">
        <f t="shared" si="98"/>
        <v>236000</v>
      </c>
    </row>
    <row r="1746" spans="1:12" x14ac:dyDescent="0.25">
      <c r="A1746" s="54">
        <v>45618</v>
      </c>
      <c r="B1746" s="25">
        <f t="shared" si="97"/>
        <v>11</v>
      </c>
      <c r="C1746" s="25">
        <v>2024</v>
      </c>
      <c r="D1746" s="104" t="s">
        <v>352</v>
      </c>
      <c r="E1746" s="104" t="s">
        <v>93</v>
      </c>
      <c r="F1746" s="104" t="s">
        <v>769</v>
      </c>
      <c r="J1746" s="61">
        <v>270000</v>
      </c>
      <c r="L1746" s="49">
        <f t="shared" si="98"/>
        <v>506000</v>
      </c>
    </row>
    <row r="1747" spans="1:12" x14ac:dyDescent="0.25">
      <c r="A1747" s="54">
        <v>45618</v>
      </c>
      <c r="B1747" s="25">
        <f t="shared" si="97"/>
        <v>11</v>
      </c>
      <c r="C1747" s="25">
        <v>2024</v>
      </c>
      <c r="D1747" s="104" t="s">
        <v>352</v>
      </c>
      <c r="E1747" s="104" t="s">
        <v>93</v>
      </c>
      <c r="F1747" s="104" t="s">
        <v>659</v>
      </c>
      <c r="J1747" s="61">
        <v>452000</v>
      </c>
      <c r="L1747" s="49">
        <f t="shared" si="98"/>
        <v>958000</v>
      </c>
    </row>
    <row r="1748" spans="1:12" x14ac:dyDescent="0.25">
      <c r="A1748" s="54">
        <v>45618</v>
      </c>
      <c r="B1748" s="25">
        <f t="shared" si="97"/>
        <v>11</v>
      </c>
      <c r="C1748" s="25">
        <v>2024</v>
      </c>
      <c r="D1748" s="104" t="s">
        <v>501</v>
      </c>
      <c r="E1748" s="104" t="s">
        <v>93</v>
      </c>
      <c r="F1748" s="104" t="s">
        <v>655</v>
      </c>
      <c r="K1748" s="61">
        <v>250000</v>
      </c>
      <c r="L1748" s="49">
        <f t="shared" si="98"/>
        <v>708000</v>
      </c>
    </row>
    <row r="1749" spans="1:12" x14ac:dyDescent="0.25">
      <c r="A1749" s="54">
        <v>45618</v>
      </c>
      <c r="B1749" s="25">
        <f t="shared" si="97"/>
        <v>11</v>
      </c>
      <c r="C1749" s="25">
        <v>2024</v>
      </c>
      <c r="D1749" s="104" t="s">
        <v>501</v>
      </c>
      <c r="E1749" s="104" t="s">
        <v>93</v>
      </c>
      <c r="F1749" s="104" t="s">
        <v>1064</v>
      </c>
      <c r="K1749" s="61">
        <v>150000</v>
      </c>
      <c r="L1749" s="49">
        <f t="shared" si="98"/>
        <v>558000</v>
      </c>
    </row>
    <row r="1750" spans="1:12" x14ac:dyDescent="0.25">
      <c r="A1750" s="80">
        <v>45618</v>
      </c>
      <c r="B1750" s="155">
        <f t="shared" si="97"/>
        <v>11</v>
      </c>
      <c r="C1750" s="155">
        <v>2024</v>
      </c>
      <c r="D1750" s="107" t="s">
        <v>122</v>
      </c>
      <c r="E1750" s="107" t="s">
        <v>93</v>
      </c>
      <c r="F1750" s="107"/>
      <c r="G1750" s="107"/>
      <c r="H1750" s="81"/>
      <c r="I1750" s="81"/>
      <c r="J1750" s="52"/>
      <c r="K1750" s="52">
        <v>528000</v>
      </c>
      <c r="L1750" s="49">
        <f t="shared" si="98"/>
        <v>30000</v>
      </c>
    </row>
    <row r="1751" spans="1:12" x14ac:dyDescent="0.25">
      <c r="A1751" s="54">
        <v>45619</v>
      </c>
      <c r="B1751" s="25">
        <f t="shared" si="97"/>
        <v>11</v>
      </c>
      <c r="C1751" s="25">
        <v>2024</v>
      </c>
      <c r="D1751" s="104" t="s">
        <v>384</v>
      </c>
      <c r="E1751" s="104" t="s">
        <v>93</v>
      </c>
      <c r="J1751" s="61">
        <v>430000</v>
      </c>
      <c r="L1751" s="49">
        <f t="shared" si="98"/>
        <v>460000</v>
      </c>
    </row>
    <row r="1752" spans="1:12" x14ac:dyDescent="0.25">
      <c r="A1752" s="54">
        <v>45619</v>
      </c>
      <c r="B1752" s="25">
        <f t="shared" si="97"/>
        <v>11</v>
      </c>
      <c r="C1752" s="25">
        <v>2024</v>
      </c>
      <c r="D1752" s="104" t="s">
        <v>501</v>
      </c>
      <c r="E1752" s="104" t="s">
        <v>93</v>
      </c>
      <c r="F1752" s="104" t="s">
        <v>1133</v>
      </c>
      <c r="K1752" s="61">
        <v>230000</v>
      </c>
      <c r="L1752" s="49">
        <f t="shared" si="98"/>
        <v>230000</v>
      </c>
    </row>
    <row r="1753" spans="1:12" x14ac:dyDescent="0.25">
      <c r="A1753" s="54">
        <v>45619</v>
      </c>
      <c r="B1753" s="25">
        <f t="shared" si="97"/>
        <v>11</v>
      </c>
      <c r="C1753" s="25">
        <v>2024</v>
      </c>
      <c r="D1753" s="104" t="s">
        <v>500</v>
      </c>
      <c r="E1753" s="104" t="s">
        <v>93</v>
      </c>
      <c r="K1753" s="61">
        <v>200000</v>
      </c>
      <c r="L1753" s="49">
        <f t="shared" si="98"/>
        <v>30000</v>
      </c>
    </row>
    <row r="1754" spans="1:12" x14ac:dyDescent="0.25">
      <c r="A1754" s="54">
        <v>45621</v>
      </c>
      <c r="B1754" s="25">
        <f t="shared" si="97"/>
        <v>11</v>
      </c>
      <c r="C1754" s="25">
        <v>2024</v>
      </c>
      <c r="D1754" s="104" t="s">
        <v>352</v>
      </c>
      <c r="E1754" s="104" t="s">
        <v>93</v>
      </c>
      <c r="F1754" s="104" t="s">
        <v>1185</v>
      </c>
      <c r="J1754" s="61">
        <v>799000</v>
      </c>
      <c r="L1754" s="49">
        <f t="shared" si="98"/>
        <v>829000</v>
      </c>
    </row>
    <row r="1755" spans="1:12" x14ac:dyDescent="0.25">
      <c r="A1755" s="54">
        <v>45621</v>
      </c>
      <c r="B1755" s="25">
        <v>7</v>
      </c>
      <c r="C1755" s="25">
        <v>2024</v>
      </c>
      <c r="D1755" s="104" t="s">
        <v>352</v>
      </c>
      <c r="E1755" s="104" t="s">
        <v>93</v>
      </c>
      <c r="F1755" s="104" t="s">
        <v>981</v>
      </c>
      <c r="J1755" s="61">
        <v>200000</v>
      </c>
      <c r="L1755" s="49">
        <f t="shared" si="98"/>
        <v>1029000</v>
      </c>
    </row>
    <row r="1756" spans="1:12" x14ac:dyDescent="0.25">
      <c r="A1756" s="54">
        <v>45621</v>
      </c>
      <c r="B1756" s="25">
        <v>7</v>
      </c>
      <c r="C1756" s="25">
        <v>2024</v>
      </c>
      <c r="D1756" s="104" t="s">
        <v>352</v>
      </c>
      <c r="E1756" s="104" t="s">
        <v>93</v>
      </c>
      <c r="F1756" s="104" t="s">
        <v>1186</v>
      </c>
      <c r="J1756" s="61">
        <v>978000</v>
      </c>
      <c r="L1756" s="49">
        <f t="shared" si="98"/>
        <v>2007000</v>
      </c>
    </row>
    <row r="1757" spans="1:12" x14ac:dyDescent="0.25">
      <c r="A1757" s="54">
        <v>45621</v>
      </c>
      <c r="B1757" s="25">
        <v>7</v>
      </c>
      <c r="C1757" s="25">
        <v>2024</v>
      </c>
      <c r="D1757" s="104" t="s">
        <v>360</v>
      </c>
      <c r="E1757" s="104" t="s">
        <v>93</v>
      </c>
      <c r="K1757" s="61">
        <v>20000</v>
      </c>
      <c r="L1757" s="49">
        <f t="shared" si="98"/>
        <v>1987000</v>
      </c>
    </row>
    <row r="1758" spans="1:12" x14ac:dyDescent="0.25">
      <c r="A1758" s="54">
        <v>45621</v>
      </c>
      <c r="B1758" s="25">
        <v>7</v>
      </c>
      <c r="C1758" s="25">
        <v>2024</v>
      </c>
      <c r="D1758" s="104" t="s">
        <v>360</v>
      </c>
      <c r="E1758" s="104" t="s">
        <v>93</v>
      </c>
      <c r="K1758" s="61">
        <v>32000</v>
      </c>
      <c r="L1758" s="49">
        <f t="shared" si="98"/>
        <v>1955000</v>
      </c>
    </row>
    <row r="1759" spans="1:12" x14ac:dyDescent="0.25">
      <c r="A1759" s="54">
        <v>45621</v>
      </c>
      <c r="B1759" s="25">
        <v>7</v>
      </c>
      <c r="C1759" s="25">
        <v>2024</v>
      </c>
      <c r="D1759" s="104" t="s">
        <v>124</v>
      </c>
      <c r="E1759" s="104" t="s">
        <v>93</v>
      </c>
      <c r="F1759" s="104" t="s">
        <v>1137</v>
      </c>
      <c r="K1759" s="61">
        <v>15000</v>
      </c>
      <c r="L1759" s="49">
        <f t="shared" si="98"/>
        <v>1940000</v>
      </c>
    </row>
    <row r="1760" spans="1:12" x14ac:dyDescent="0.25">
      <c r="A1760" s="66">
        <v>45621</v>
      </c>
      <c r="B1760" s="77">
        <v>7</v>
      </c>
      <c r="C1760" s="77">
        <v>2024</v>
      </c>
      <c r="D1760" s="109" t="s">
        <v>352</v>
      </c>
      <c r="E1760" s="109" t="s">
        <v>93</v>
      </c>
      <c r="F1760" s="109" t="s">
        <v>1189</v>
      </c>
      <c r="G1760" s="109"/>
      <c r="H1760" s="14"/>
      <c r="I1760" s="14"/>
      <c r="J1760" s="118">
        <v>349000</v>
      </c>
      <c r="K1760" s="118"/>
      <c r="L1760" s="49">
        <f t="shared" si="98"/>
        <v>2289000</v>
      </c>
    </row>
    <row r="1761" spans="1:12" x14ac:dyDescent="0.25">
      <c r="A1761" s="80">
        <v>45621</v>
      </c>
      <c r="B1761" s="155">
        <v>7</v>
      </c>
      <c r="C1761" s="155">
        <v>2024</v>
      </c>
      <c r="D1761" s="107" t="s">
        <v>361</v>
      </c>
      <c r="E1761" s="107" t="s">
        <v>93</v>
      </c>
      <c r="F1761" s="107"/>
      <c r="G1761" s="107"/>
      <c r="H1761" s="81"/>
      <c r="I1761" s="81"/>
      <c r="J1761" s="52"/>
      <c r="K1761" s="52">
        <v>2259000</v>
      </c>
      <c r="L1761" s="49">
        <f t="shared" si="98"/>
        <v>30000</v>
      </c>
    </row>
    <row r="1762" spans="1:12" x14ac:dyDescent="0.25">
      <c r="A1762" s="54">
        <v>45622</v>
      </c>
      <c r="B1762" s="25">
        <v>7</v>
      </c>
      <c r="C1762" s="25">
        <v>2024</v>
      </c>
      <c r="D1762" s="104" t="s">
        <v>360</v>
      </c>
      <c r="E1762" s="104" t="s">
        <v>93</v>
      </c>
      <c r="K1762" s="61">
        <v>9000</v>
      </c>
      <c r="L1762" s="49">
        <f t="shared" si="98"/>
        <v>21000</v>
      </c>
    </row>
    <row r="1763" spans="1:12" x14ac:dyDescent="0.25">
      <c r="A1763" s="54">
        <v>45622</v>
      </c>
      <c r="B1763" s="25">
        <v>7</v>
      </c>
      <c r="C1763" s="25">
        <v>2024</v>
      </c>
      <c r="D1763" s="104" t="s">
        <v>483</v>
      </c>
      <c r="E1763" s="104" t="s">
        <v>93</v>
      </c>
      <c r="J1763" s="61">
        <v>43840</v>
      </c>
      <c r="L1763" s="49">
        <f t="shared" si="98"/>
        <v>64840</v>
      </c>
    </row>
    <row r="1764" spans="1:12" x14ac:dyDescent="0.25">
      <c r="A1764" s="54">
        <v>45622</v>
      </c>
      <c r="B1764" s="25">
        <v>7</v>
      </c>
      <c r="C1764" s="25">
        <v>2024</v>
      </c>
      <c r="D1764" s="104" t="s">
        <v>124</v>
      </c>
      <c r="E1764" s="104" t="s">
        <v>93</v>
      </c>
      <c r="G1764" s="104" t="s">
        <v>98</v>
      </c>
      <c r="K1764" s="61">
        <v>43840</v>
      </c>
      <c r="L1764" s="49">
        <f t="shared" si="98"/>
        <v>21000</v>
      </c>
    </row>
    <row r="1765" spans="1:12" x14ac:dyDescent="0.25">
      <c r="A1765" s="134">
        <v>45622</v>
      </c>
      <c r="B1765" s="158">
        <v>7</v>
      </c>
      <c r="C1765" s="158">
        <v>2024</v>
      </c>
      <c r="D1765" s="135" t="s">
        <v>123</v>
      </c>
      <c r="E1765" s="135" t="s">
        <v>93</v>
      </c>
      <c r="F1765" s="135"/>
      <c r="G1765" s="135"/>
      <c r="H1765" s="136"/>
      <c r="I1765" s="136"/>
      <c r="J1765" s="137">
        <v>9000</v>
      </c>
      <c r="L1765" s="49">
        <f t="shared" si="98"/>
        <v>30000</v>
      </c>
    </row>
    <row r="1766" spans="1:12" x14ac:dyDescent="0.25">
      <c r="A1766" s="54">
        <v>45623</v>
      </c>
      <c r="B1766" s="25">
        <v>7</v>
      </c>
      <c r="C1766" s="25">
        <v>2024</v>
      </c>
      <c r="D1766" s="104" t="s">
        <v>109</v>
      </c>
      <c r="E1766" s="104" t="s">
        <v>93</v>
      </c>
      <c r="F1766" s="104" t="s">
        <v>204</v>
      </c>
      <c r="K1766" s="61">
        <v>9500</v>
      </c>
      <c r="L1766" s="49">
        <f t="shared" si="98"/>
        <v>20500</v>
      </c>
    </row>
    <row r="1767" spans="1:12" x14ac:dyDescent="0.25">
      <c r="A1767" s="134">
        <v>45623</v>
      </c>
      <c r="B1767" s="158">
        <v>7</v>
      </c>
      <c r="C1767" s="158">
        <v>2024</v>
      </c>
      <c r="D1767" s="135" t="s">
        <v>123</v>
      </c>
      <c r="E1767" s="135" t="s">
        <v>343</v>
      </c>
      <c r="F1767" s="135"/>
      <c r="G1767" s="135"/>
      <c r="H1767" s="136"/>
      <c r="I1767" s="136"/>
      <c r="J1767" s="137">
        <v>9500</v>
      </c>
      <c r="L1767" s="49">
        <f t="shared" si="98"/>
        <v>30000</v>
      </c>
    </row>
    <row r="1768" spans="1:12" x14ac:dyDescent="0.25">
      <c r="A1768" s="54">
        <v>45624</v>
      </c>
      <c r="B1768" s="25">
        <v>7</v>
      </c>
      <c r="C1768" s="25">
        <v>2024</v>
      </c>
      <c r="D1768" s="104" t="s">
        <v>109</v>
      </c>
      <c r="E1768" s="104" t="s">
        <v>343</v>
      </c>
      <c r="F1768" s="104" t="s">
        <v>354</v>
      </c>
      <c r="K1768" s="61">
        <v>4800</v>
      </c>
      <c r="L1768" s="49">
        <f t="shared" si="98"/>
        <v>25200</v>
      </c>
    </row>
    <row r="1769" spans="1:12" x14ac:dyDescent="0.25">
      <c r="A1769" s="134">
        <v>45624</v>
      </c>
      <c r="B1769" s="158">
        <v>7</v>
      </c>
      <c r="C1769" s="158">
        <v>2024</v>
      </c>
      <c r="D1769" s="135" t="s">
        <v>123</v>
      </c>
      <c r="E1769" s="135" t="s">
        <v>343</v>
      </c>
      <c r="F1769" s="135"/>
      <c r="G1769" s="135"/>
      <c r="H1769" s="136"/>
      <c r="I1769" s="136"/>
      <c r="J1769" s="137">
        <v>4800</v>
      </c>
      <c r="L1769" s="49">
        <f t="shared" si="98"/>
        <v>30000</v>
      </c>
    </row>
    <row r="1770" spans="1:12" x14ac:dyDescent="0.25">
      <c r="A1770" s="54">
        <v>45625</v>
      </c>
      <c r="B1770" s="25">
        <v>7</v>
      </c>
      <c r="C1770" s="25">
        <v>2024</v>
      </c>
      <c r="D1770" s="104" t="s">
        <v>352</v>
      </c>
      <c r="E1770" s="104" t="s">
        <v>343</v>
      </c>
      <c r="F1770" s="104" t="s">
        <v>654</v>
      </c>
      <c r="J1770" s="61">
        <v>49600</v>
      </c>
      <c r="L1770" s="49">
        <f t="shared" si="98"/>
        <v>79600</v>
      </c>
    </row>
    <row r="1771" spans="1:12" x14ac:dyDescent="0.25">
      <c r="A1771" s="80">
        <v>45625</v>
      </c>
      <c r="B1771" s="155">
        <v>7</v>
      </c>
      <c r="C1771" s="155">
        <v>2024</v>
      </c>
      <c r="D1771" s="107" t="s">
        <v>122</v>
      </c>
      <c r="E1771" s="107" t="s">
        <v>93</v>
      </c>
      <c r="F1771" s="107"/>
      <c r="G1771" s="107"/>
      <c r="H1771" s="81"/>
      <c r="I1771" s="81"/>
      <c r="J1771" s="52"/>
      <c r="K1771" s="52">
        <v>49600</v>
      </c>
      <c r="L1771" s="49">
        <f t="shared" si="98"/>
        <v>30000</v>
      </c>
    </row>
    <row r="1772" spans="1:12" x14ac:dyDescent="0.25">
      <c r="A1772" s="54">
        <v>45626</v>
      </c>
      <c r="B1772" s="25">
        <v>7</v>
      </c>
      <c r="C1772" s="25">
        <v>2024</v>
      </c>
      <c r="D1772" s="104" t="s">
        <v>384</v>
      </c>
      <c r="E1772" s="104" t="s">
        <v>93</v>
      </c>
      <c r="J1772" s="61">
        <v>830000</v>
      </c>
      <c r="L1772" s="49">
        <f t="shared" si="98"/>
        <v>860000</v>
      </c>
    </row>
    <row r="1773" spans="1:12" x14ac:dyDescent="0.25">
      <c r="A1773" s="54">
        <v>45626</v>
      </c>
      <c r="B1773" s="25">
        <v>7</v>
      </c>
      <c r="C1773" s="25">
        <v>2024</v>
      </c>
      <c r="D1773" s="104" t="s">
        <v>501</v>
      </c>
      <c r="E1773" s="104" t="s">
        <v>93</v>
      </c>
      <c r="F1773" s="104" t="s">
        <v>655</v>
      </c>
      <c r="K1773" s="61">
        <v>250000</v>
      </c>
      <c r="L1773" s="49">
        <f t="shared" si="98"/>
        <v>610000</v>
      </c>
    </row>
    <row r="1774" spans="1:12" x14ac:dyDescent="0.25">
      <c r="A1774" s="54">
        <v>45626</v>
      </c>
      <c r="B1774" s="25">
        <v>7</v>
      </c>
      <c r="C1774" s="25">
        <v>2024</v>
      </c>
      <c r="D1774" s="104" t="s">
        <v>501</v>
      </c>
      <c r="E1774" s="104" t="s">
        <v>93</v>
      </c>
      <c r="F1774" s="104" t="s">
        <v>1133</v>
      </c>
      <c r="K1774" s="61">
        <v>230000</v>
      </c>
      <c r="L1774" s="49">
        <f t="shared" si="98"/>
        <v>380000</v>
      </c>
    </row>
    <row r="1775" spans="1:12" x14ac:dyDescent="0.25">
      <c r="A1775" s="54">
        <v>45626</v>
      </c>
      <c r="B1775" s="25">
        <v>7</v>
      </c>
      <c r="C1775" s="25">
        <v>2024</v>
      </c>
      <c r="D1775" s="104" t="s">
        <v>501</v>
      </c>
      <c r="E1775" s="104" t="s">
        <v>93</v>
      </c>
      <c r="F1775" s="104" t="s">
        <v>1064</v>
      </c>
      <c r="K1775" s="61">
        <v>150000</v>
      </c>
      <c r="L1775" s="49">
        <f t="shared" si="98"/>
        <v>230000</v>
      </c>
    </row>
    <row r="1776" spans="1:12" x14ac:dyDescent="0.25">
      <c r="A1776" s="54">
        <v>45626</v>
      </c>
      <c r="B1776" s="25">
        <v>7</v>
      </c>
      <c r="C1776" s="25">
        <v>2024</v>
      </c>
      <c r="D1776" s="104" t="s">
        <v>500</v>
      </c>
      <c r="E1776" s="104" t="s">
        <v>93</v>
      </c>
      <c r="K1776" s="61">
        <v>200000</v>
      </c>
      <c r="L1776" s="49">
        <f t="shared" si="98"/>
        <v>30000</v>
      </c>
    </row>
    <row r="1777" spans="1:12" x14ac:dyDescent="0.25">
      <c r="A1777" s="54">
        <v>45626</v>
      </c>
      <c r="B1777" s="25">
        <v>7</v>
      </c>
      <c r="C1777" s="25">
        <v>2024</v>
      </c>
      <c r="D1777" s="104" t="s">
        <v>352</v>
      </c>
      <c r="E1777" s="104" t="s">
        <v>93</v>
      </c>
      <c r="F1777" s="104" t="s">
        <v>1014</v>
      </c>
      <c r="J1777" s="61">
        <v>147000</v>
      </c>
      <c r="L1777" s="49">
        <f t="shared" si="98"/>
        <v>177000</v>
      </c>
    </row>
    <row r="1778" spans="1:12" x14ac:dyDescent="0.25">
      <c r="A1778" s="80">
        <v>45626</v>
      </c>
      <c r="B1778" s="155">
        <v>7</v>
      </c>
      <c r="C1778" s="155">
        <v>2024</v>
      </c>
      <c r="D1778" s="107" t="s">
        <v>122</v>
      </c>
      <c r="E1778" s="107" t="s">
        <v>93</v>
      </c>
      <c r="F1778" s="107"/>
      <c r="G1778" s="107"/>
      <c r="H1778" s="81"/>
      <c r="I1778" s="81"/>
      <c r="J1778" s="52"/>
      <c r="K1778" s="52">
        <v>147000</v>
      </c>
      <c r="L1778" s="49">
        <f t="shared" si="98"/>
        <v>30000</v>
      </c>
    </row>
    <row r="1779" spans="1:12" x14ac:dyDescent="0.25">
      <c r="A1779" s="54">
        <v>45629</v>
      </c>
      <c r="B1779" s="25">
        <v>7</v>
      </c>
      <c r="C1779" s="25">
        <v>2024</v>
      </c>
      <c r="D1779" s="104" t="s">
        <v>122</v>
      </c>
      <c r="E1779" s="104" t="s">
        <v>93</v>
      </c>
      <c r="J1779" s="61">
        <v>188760</v>
      </c>
      <c r="L1779" s="49">
        <f t="shared" si="98"/>
        <v>218760</v>
      </c>
    </row>
    <row r="1780" spans="1:12" x14ac:dyDescent="0.25">
      <c r="A1780" s="54">
        <v>45629</v>
      </c>
      <c r="B1780" s="25">
        <v>7</v>
      </c>
      <c r="C1780" s="25">
        <v>2024</v>
      </c>
      <c r="D1780" s="104" t="s">
        <v>51</v>
      </c>
      <c r="E1780" s="104" t="s">
        <v>93</v>
      </c>
      <c r="F1780" s="104" t="s">
        <v>259</v>
      </c>
      <c r="K1780" s="61">
        <v>188760</v>
      </c>
      <c r="L1780" s="49">
        <f t="shared" si="98"/>
        <v>30000</v>
      </c>
    </row>
    <row r="1781" spans="1:12" x14ac:dyDescent="0.25">
      <c r="A1781" s="54">
        <v>45630</v>
      </c>
      <c r="B1781" s="25">
        <v>7</v>
      </c>
      <c r="C1781" s="25">
        <v>2024</v>
      </c>
      <c r="D1781" s="104" t="s">
        <v>352</v>
      </c>
      <c r="E1781" s="104" t="s">
        <v>93</v>
      </c>
      <c r="F1781" s="104" t="s">
        <v>1198</v>
      </c>
      <c r="J1781" s="61">
        <v>249000</v>
      </c>
      <c r="L1781" s="49">
        <f t="shared" si="98"/>
        <v>279000</v>
      </c>
    </row>
    <row r="1782" spans="1:12" x14ac:dyDescent="0.25">
      <c r="B1782" s="25">
        <v>7</v>
      </c>
      <c r="C1782" s="25">
        <v>2024</v>
      </c>
      <c r="L1782" s="49">
        <f t="shared" si="98"/>
        <v>279000</v>
      </c>
    </row>
    <row r="1783" spans="1:12" x14ac:dyDescent="0.25">
      <c r="B1783" s="25">
        <v>7</v>
      </c>
      <c r="C1783" s="25">
        <v>2024</v>
      </c>
      <c r="L1783" s="49">
        <f t="shared" si="98"/>
        <v>279000</v>
      </c>
    </row>
    <row r="1784" spans="1:12" x14ac:dyDescent="0.25">
      <c r="B1784" s="25">
        <v>7</v>
      </c>
      <c r="C1784" s="25">
        <v>2024</v>
      </c>
      <c r="L1784" s="49">
        <f t="shared" si="98"/>
        <v>279000</v>
      </c>
    </row>
    <row r="1785" spans="1:12" x14ac:dyDescent="0.25">
      <c r="B1785" s="25">
        <v>7</v>
      </c>
      <c r="C1785" s="25">
        <v>2024</v>
      </c>
      <c r="L1785" s="49">
        <f t="shared" si="98"/>
        <v>279000</v>
      </c>
    </row>
    <row r="1786" spans="1:12" x14ac:dyDescent="0.25">
      <c r="B1786" s="25">
        <v>7</v>
      </c>
      <c r="C1786" s="25">
        <v>2024</v>
      </c>
      <c r="L1786" s="49">
        <f t="shared" si="98"/>
        <v>279000</v>
      </c>
    </row>
    <row r="1787" spans="1:12" x14ac:dyDescent="0.25">
      <c r="B1787" s="25">
        <v>7</v>
      </c>
      <c r="C1787" s="25">
        <v>2024</v>
      </c>
      <c r="L1787" s="49">
        <f t="shared" si="98"/>
        <v>279000</v>
      </c>
    </row>
    <row r="1788" spans="1:12" x14ac:dyDescent="0.25">
      <c r="B1788" s="25">
        <v>7</v>
      </c>
      <c r="C1788" s="25">
        <v>2024</v>
      </c>
      <c r="L1788" s="49">
        <f t="shared" si="98"/>
        <v>279000</v>
      </c>
    </row>
    <row r="1789" spans="1:12" x14ac:dyDescent="0.25">
      <c r="B1789" s="25">
        <v>7</v>
      </c>
      <c r="C1789" s="25">
        <v>2024</v>
      </c>
      <c r="L1789" s="49">
        <f t="shared" si="98"/>
        <v>279000</v>
      </c>
    </row>
    <row r="1790" spans="1:12" x14ac:dyDescent="0.25">
      <c r="B1790" s="25">
        <v>7</v>
      </c>
      <c r="C1790" s="25">
        <v>2024</v>
      </c>
      <c r="L1790" s="49">
        <f t="shared" si="98"/>
        <v>279000</v>
      </c>
    </row>
    <row r="1791" spans="1:12" x14ac:dyDescent="0.25">
      <c r="B1791" s="25">
        <v>7</v>
      </c>
      <c r="C1791" s="25">
        <v>2024</v>
      </c>
      <c r="L1791" s="49">
        <f t="shared" si="98"/>
        <v>279000</v>
      </c>
    </row>
    <row r="1792" spans="1:12" x14ac:dyDescent="0.25">
      <c r="B1792" s="25">
        <v>7</v>
      </c>
      <c r="C1792" s="25">
        <v>2024</v>
      </c>
      <c r="L1792" s="49">
        <f t="shared" si="98"/>
        <v>279000</v>
      </c>
    </row>
    <row r="1793" spans="2:12" x14ac:dyDescent="0.25">
      <c r="B1793" s="25">
        <v>7</v>
      </c>
      <c r="C1793" s="25">
        <v>2024</v>
      </c>
      <c r="L1793" s="49">
        <f t="shared" si="98"/>
        <v>279000</v>
      </c>
    </row>
    <row r="1794" spans="2:12" x14ac:dyDescent="0.25">
      <c r="B1794" s="25">
        <v>7</v>
      </c>
      <c r="C1794" s="25">
        <v>2024</v>
      </c>
      <c r="L1794" s="49">
        <f t="shared" si="98"/>
        <v>279000</v>
      </c>
    </row>
    <row r="1795" spans="2:12" x14ac:dyDescent="0.25">
      <c r="B1795" s="25">
        <v>7</v>
      </c>
      <c r="C1795" s="25">
        <v>2024</v>
      </c>
      <c r="L1795" s="49">
        <f t="shared" si="98"/>
        <v>279000</v>
      </c>
    </row>
    <row r="1796" spans="2:12" x14ac:dyDescent="0.25">
      <c r="B1796" s="25">
        <v>7</v>
      </c>
      <c r="C1796" s="25">
        <v>2024</v>
      </c>
      <c r="L1796" s="49">
        <f t="shared" ref="L1796:L1859" si="99">IF((L1795+M1795+J1796-K1796)&gt;0,(L1795+M1795+J1796-K1796),0)</f>
        <v>279000</v>
      </c>
    </row>
    <row r="1797" spans="2:12" x14ac:dyDescent="0.25">
      <c r="B1797" s="25">
        <v>7</v>
      </c>
      <c r="C1797" s="25">
        <v>2024</v>
      </c>
      <c r="L1797" s="49">
        <f t="shared" si="99"/>
        <v>279000</v>
      </c>
    </row>
    <row r="1798" spans="2:12" x14ac:dyDescent="0.25">
      <c r="B1798" s="25">
        <v>7</v>
      </c>
      <c r="C1798" s="25">
        <v>2024</v>
      </c>
      <c r="L1798" s="49">
        <f t="shared" si="99"/>
        <v>279000</v>
      </c>
    </row>
    <row r="1799" spans="2:12" x14ac:dyDescent="0.25">
      <c r="B1799" s="25">
        <v>7</v>
      </c>
      <c r="C1799" s="25">
        <v>2024</v>
      </c>
      <c r="L1799" s="49">
        <f t="shared" si="99"/>
        <v>279000</v>
      </c>
    </row>
    <row r="1800" spans="2:12" x14ac:dyDescent="0.25">
      <c r="B1800" s="25">
        <v>7</v>
      </c>
      <c r="C1800" s="25">
        <v>2024</v>
      </c>
      <c r="L1800" s="49">
        <f t="shared" si="99"/>
        <v>279000</v>
      </c>
    </row>
    <row r="1801" spans="2:12" x14ac:dyDescent="0.25">
      <c r="B1801" s="25">
        <v>7</v>
      </c>
      <c r="C1801" s="25">
        <v>2024</v>
      </c>
      <c r="L1801" s="49">
        <f t="shared" si="99"/>
        <v>279000</v>
      </c>
    </row>
    <row r="1802" spans="2:12" x14ac:dyDescent="0.25">
      <c r="B1802" s="25">
        <v>7</v>
      </c>
      <c r="C1802" s="25">
        <v>2024</v>
      </c>
      <c r="L1802" s="49">
        <f t="shared" si="99"/>
        <v>279000</v>
      </c>
    </row>
    <row r="1803" spans="2:12" x14ac:dyDescent="0.25">
      <c r="B1803" s="25">
        <v>7</v>
      </c>
      <c r="C1803" s="25">
        <v>2024</v>
      </c>
      <c r="L1803" s="49">
        <f t="shared" si="99"/>
        <v>279000</v>
      </c>
    </row>
    <row r="1804" spans="2:12" x14ac:dyDescent="0.25">
      <c r="B1804" s="25">
        <v>7</v>
      </c>
      <c r="C1804" s="25">
        <v>2024</v>
      </c>
      <c r="L1804" s="49">
        <f t="shared" si="99"/>
        <v>279000</v>
      </c>
    </row>
    <row r="1805" spans="2:12" x14ac:dyDescent="0.25">
      <c r="B1805" s="25">
        <v>7</v>
      </c>
      <c r="C1805" s="25">
        <v>2024</v>
      </c>
      <c r="L1805" s="49">
        <f t="shared" si="99"/>
        <v>279000</v>
      </c>
    </row>
    <row r="1806" spans="2:12" x14ac:dyDescent="0.25">
      <c r="B1806" s="25">
        <v>7</v>
      </c>
      <c r="C1806" s="25">
        <v>2024</v>
      </c>
      <c r="L1806" s="49">
        <f t="shared" si="99"/>
        <v>279000</v>
      </c>
    </row>
    <row r="1807" spans="2:12" x14ac:dyDescent="0.25">
      <c r="B1807" s="25">
        <v>7</v>
      </c>
      <c r="C1807" s="25">
        <v>2024</v>
      </c>
      <c r="L1807" s="49">
        <f t="shared" si="99"/>
        <v>279000</v>
      </c>
    </row>
    <row r="1808" spans="2:12" x14ac:dyDescent="0.25">
      <c r="B1808" s="25">
        <v>7</v>
      </c>
      <c r="C1808" s="25">
        <v>2024</v>
      </c>
      <c r="L1808" s="49">
        <f t="shared" si="99"/>
        <v>279000</v>
      </c>
    </row>
    <row r="1809" spans="2:12" x14ac:dyDescent="0.25">
      <c r="B1809" s="25">
        <v>7</v>
      </c>
      <c r="C1809" s="25">
        <v>2024</v>
      </c>
      <c r="L1809" s="49">
        <f t="shared" si="99"/>
        <v>279000</v>
      </c>
    </row>
    <row r="1810" spans="2:12" x14ac:dyDescent="0.25">
      <c r="B1810" s="25">
        <v>7</v>
      </c>
      <c r="C1810" s="25">
        <v>2024</v>
      </c>
      <c r="L1810" s="49">
        <f t="shared" si="99"/>
        <v>279000</v>
      </c>
    </row>
    <row r="1811" spans="2:12" x14ac:dyDescent="0.25">
      <c r="B1811" s="25">
        <v>7</v>
      </c>
      <c r="C1811" s="25">
        <v>2024</v>
      </c>
      <c r="L1811" s="49">
        <f t="shared" si="99"/>
        <v>279000</v>
      </c>
    </row>
    <row r="1812" spans="2:12" x14ac:dyDescent="0.25">
      <c r="B1812" s="25">
        <v>7</v>
      </c>
      <c r="C1812" s="25">
        <v>2024</v>
      </c>
      <c r="L1812" s="49">
        <f t="shared" si="99"/>
        <v>279000</v>
      </c>
    </row>
    <row r="1813" spans="2:12" x14ac:dyDescent="0.25">
      <c r="B1813" s="25">
        <v>7</v>
      </c>
      <c r="C1813" s="25">
        <v>2024</v>
      </c>
      <c r="L1813" s="49">
        <f t="shared" si="99"/>
        <v>279000</v>
      </c>
    </row>
    <row r="1814" spans="2:12" x14ac:dyDescent="0.25">
      <c r="B1814" s="25">
        <v>7</v>
      </c>
      <c r="C1814" s="25">
        <v>2024</v>
      </c>
      <c r="L1814" s="49">
        <f t="shared" si="99"/>
        <v>279000</v>
      </c>
    </row>
    <row r="1815" spans="2:12" x14ac:dyDescent="0.25">
      <c r="B1815" s="25">
        <v>7</v>
      </c>
      <c r="C1815" s="25">
        <v>2024</v>
      </c>
      <c r="L1815" s="49">
        <f t="shared" si="99"/>
        <v>279000</v>
      </c>
    </row>
    <row r="1816" spans="2:12" x14ac:dyDescent="0.25">
      <c r="B1816" s="25">
        <v>7</v>
      </c>
      <c r="C1816" s="25">
        <v>2024</v>
      </c>
      <c r="L1816" s="49">
        <f t="shared" si="99"/>
        <v>279000</v>
      </c>
    </row>
    <row r="1817" spans="2:12" x14ac:dyDescent="0.25">
      <c r="B1817" s="25">
        <v>7</v>
      </c>
      <c r="C1817" s="25">
        <v>2024</v>
      </c>
      <c r="L1817" s="49">
        <f t="shared" si="99"/>
        <v>279000</v>
      </c>
    </row>
    <row r="1818" spans="2:12" x14ac:dyDescent="0.25">
      <c r="B1818" s="25">
        <v>7</v>
      </c>
      <c r="C1818" s="25">
        <v>2024</v>
      </c>
      <c r="L1818" s="49">
        <f t="shared" si="99"/>
        <v>279000</v>
      </c>
    </row>
    <row r="1819" spans="2:12" x14ac:dyDescent="0.25">
      <c r="B1819" s="25">
        <v>7</v>
      </c>
      <c r="C1819" s="25">
        <v>2024</v>
      </c>
      <c r="L1819" s="49">
        <f t="shared" si="99"/>
        <v>279000</v>
      </c>
    </row>
    <row r="1820" spans="2:12" x14ac:dyDescent="0.25">
      <c r="B1820" s="25">
        <v>7</v>
      </c>
      <c r="C1820" s="25">
        <v>2024</v>
      </c>
      <c r="L1820" s="49">
        <f t="shared" si="99"/>
        <v>279000</v>
      </c>
    </row>
    <row r="1821" spans="2:12" x14ac:dyDescent="0.25">
      <c r="B1821" s="25">
        <v>7</v>
      </c>
      <c r="C1821" s="25">
        <v>2024</v>
      </c>
      <c r="L1821" s="49">
        <f t="shared" si="99"/>
        <v>279000</v>
      </c>
    </row>
    <row r="1822" spans="2:12" x14ac:dyDescent="0.25">
      <c r="B1822" s="25">
        <v>7</v>
      </c>
      <c r="C1822" s="25">
        <v>2024</v>
      </c>
      <c r="L1822" s="49">
        <f t="shared" si="99"/>
        <v>279000</v>
      </c>
    </row>
    <row r="1823" spans="2:12" x14ac:dyDescent="0.25">
      <c r="B1823" s="25">
        <v>7</v>
      </c>
      <c r="C1823" s="25">
        <v>2024</v>
      </c>
      <c r="L1823" s="49">
        <f t="shared" si="99"/>
        <v>279000</v>
      </c>
    </row>
    <row r="1824" spans="2:12" x14ac:dyDescent="0.25">
      <c r="B1824" s="25">
        <v>7</v>
      </c>
      <c r="C1824" s="25">
        <v>2024</v>
      </c>
      <c r="L1824" s="49">
        <f t="shared" si="99"/>
        <v>279000</v>
      </c>
    </row>
    <row r="1825" spans="2:12" x14ac:dyDescent="0.25">
      <c r="B1825" s="25">
        <v>7</v>
      </c>
      <c r="C1825" s="25">
        <v>2024</v>
      </c>
      <c r="L1825" s="49">
        <f t="shared" si="99"/>
        <v>279000</v>
      </c>
    </row>
    <row r="1826" spans="2:12" x14ac:dyDescent="0.25">
      <c r="B1826" s="25">
        <v>7</v>
      </c>
      <c r="C1826" s="25">
        <v>2024</v>
      </c>
      <c r="L1826" s="49">
        <f t="shared" si="99"/>
        <v>279000</v>
      </c>
    </row>
    <row r="1827" spans="2:12" x14ac:dyDescent="0.25">
      <c r="B1827" s="25">
        <v>7</v>
      </c>
      <c r="C1827" s="25">
        <v>2024</v>
      </c>
      <c r="L1827" s="49">
        <f t="shared" si="99"/>
        <v>279000</v>
      </c>
    </row>
    <row r="1828" spans="2:12" x14ac:dyDescent="0.25">
      <c r="B1828" s="25">
        <v>7</v>
      </c>
      <c r="C1828" s="25">
        <v>2024</v>
      </c>
      <c r="L1828" s="49">
        <f t="shared" si="99"/>
        <v>279000</v>
      </c>
    </row>
    <row r="1829" spans="2:12" x14ac:dyDescent="0.25">
      <c r="B1829" s="25">
        <v>7</v>
      </c>
      <c r="C1829" s="25">
        <v>2024</v>
      </c>
      <c r="L1829" s="49">
        <f t="shared" si="99"/>
        <v>279000</v>
      </c>
    </row>
    <row r="1830" spans="2:12" x14ac:dyDescent="0.25">
      <c r="B1830" s="25">
        <v>7</v>
      </c>
      <c r="C1830" s="25">
        <v>2024</v>
      </c>
      <c r="L1830" s="49">
        <f t="shared" si="99"/>
        <v>279000</v>
      </c>
    </row>
    <row r="1831" spans="2:12" x14ac:dyDescent="0.25">
      <c r="B1831" s="25">
        <v>7</v>
      </c>
      <c r="C1831" s="25">
        <v>2024</v>
      </c>
      <c r="L1831" s="49">
        <f t="shared" si="99"/>
        <v>279000</v>
      </c>
    </row>
    <row r="1832" spans="2:12" x14ac:dyDescent="0.25">
      <c r="B1832" s="25">
        <v>7</v>
      </c>
      <c r="C1832" s="25">
        <v>2024</v>
      </c>
      <c r="L1832" s="49">
        <f t="shared" si="99"/>
        <v>279000</v>
      </c>
    </row>
    <row r="1833" spans="2:12" x14ac:dyDescent="0.25">
      <c r="B1833" s="25">
        <v>7</v>
      </c>
      <c r="C1833" s="25">
        <v>2024</v>
      </c>
      <c r="L1833" s="49">
        <f t="shared" si="99"/>
        <v>279000</v>
      </c>
    </row>
    <row r="1834" spans="2:12" x14ac:dyDescent="0.25">
      <c r="B1834" s="25">
        <v>7</v>
      </c>
      <c r="C1834" s="25">
        <v>2024</v>
      </c>
      <c r="L1834" s="49">
        <f t="shared" si="99"/>
        <v>279000</v>
      </c>
    </row>
    <row r="1835" spans="2:12" x14ac:dyDescent="0.25">
      <c r="B1835" s="25">
        <v>7</v>
      </c>
      <c r="C1835" s="25">
        <v>2024</v>
      </c>
      <c r="L1835" s="49">
        <f t="shared" si="99"/>
        <v>279000</v>
      </c>
    </row>
    <row r="1836" spans="2:12" x14ac:dyDescent="0.25">
      <c r="B1836" s="25">
        <v>7</v>
      </c>
      <c r="C1836" s="25">
        <v>2024</v>
      </c>
      <c r="L1836" s="49">
        <f t="shared" si="99"/>
        <v>279000</v>
      </c>
    </row>
    <row r="1837" spans="2:12" x14ac:dyDescent="0.25">
      <c r="B1837" s="25">
        <v>7</v>
      </c>
      <c r="C1837" s="25">
        <v>2024</v>
      </c>
      <c r="L1837" s="49">
        <f t="shared" si="99"/>
        <v>279000</v>
      </c>
    </row>
    <row r="1838" spans="2:12" x14ac:dyDescent="0.25">
      <c r="B1838" s="25">
        <v>7</v>
      </c>
      <c r="C1838" s="25">
        <v>2024</v>
      </c>
      <c r="L1838" s="49">
        <f t="shared" si="99"/>
        <v>279000</v>
      </c>
    </row>
    <row r="1839" spans="2:12" x14ac:dyDescent="0.25">
      <c r="B1839" s="25">
        <v>7</v>
      </c>
      <c r="C1839" s="25">
        <v>2024</v>
      </c>
      <c r="L1839" s="49">
        <f t="shared" si="99"/>
        <v>279000</v>
      </c>
    </row>
    <row r="1840" spans="2:12" x14ac:dyDescent="0.25">
      <c r="B1840" s="25">
        <v>7</v>
      </c>
      <c r="C1840" s="25">
        <v>2024</v>
      </c>
      <c r="L1840" s="49">
        <f t="shared" si="99"/>
        <v>279000</v>
      </c>
    </row>
    <row r="1841" spans="2:12" x14ac:dyDescent="0.25">
      <c r="B1841" s="25">
        <v>7</v>
      </c>
      <c r="C1841" s="25">
        <v>2024</v>
      </c>
      <c r="L1841" s="49">
        <f t="shared" si="99"/>
        <v>279000</v>
      </c>
    </row>
    <row r="1842" spans="2:12" x14ac:dyDescent="0.25">
      <c r="B1842" s="25">
        <v>7</v>
      </c>
      <c r="C1842" s="25">
        <v>2024</v>
      </c>
      <c r="L1842" s="49">
        <f t="shared" si="99"/>
        <v>279000</v>
      </c>
    </row>
    <row r="1843" spans="2:12" x14ac:dyDescent="0.25">
      <c r="B1843" s="25">
        <v>7</v>
      </c>
      <c r="C1843" s="25">
        <v>2024</v>
      </c>
      <c r="L1843" s="49">
        <f t="shared" si="99"/>
        <v>279000</v>
      </c>
    </row>
    <row r="1844" spans="2:12" x14ac:dyDescent="0.25">
      <c r="B1844" s="25">
        <v>7</v>
      </c>
      <c r="C1844" s="25">
        <v>2024</v>
      </c>
      <c r="L1844" s="49">
        <f t="shared" si="99"/>
        <v>279000</v>
      </c>
    </row>
    <row r="1845" spans="2:12" x14ac:dyDescent="0.25">
      <c r="B1845" s="25">
        <v>7</v>
      </c>
      <c r="C1845" s="25">
        <v>2024</v>
      </c>
      <c r="L1845" s="49">
        <f t="shared" si="99"/>
        <v>279000</v>
      </c>
    </row>
    <row r="1846" spans="2:12" x14ac:dyDescent="0.25">
      <c r="B1846" s="25">
        <v>7</v>
      </c>
      <c r="C1846" s="25">
        <v>2024</v>
      </c>
      <c r="L1846" s="49">
        <f t="shared" si="99"/>
        <v>279000</v>
      </c>
    </row>
    <row r="1847" spans="2:12" x14ac:dyDescent="0.25">
      <c r="B1847" s="25">
        <v>7</v>
      </c>
      <c r="C1847" s="25">
        <v>2024</v>
      </c>
      <c r="L1847" s="49">
        <f t="shared" si="99"/>
        <v>279000</v>
      </c>
    </row>
    <row r="1848" spans="2:12" x14ac:dyDescent="0.25">
      <c r="B1848" s="25">
        <v>7</v>
      </c>
      <c r="C1848" s="25">
        <v>2024</v>
      </c>
      <c r="L1848" s="49">
        <f t="shared" si="99"/>
        <v>279000</v>
      </c>
    </row>
    <row r="1849" spans="2:12" x14ac:dyDescent="0.25">
      <c r="B1849" s="25">
        <v>7</v>
      </c>
      <c r="C1849" s="25">
        <v>2024</v>
      </c>
      <c r="L1849" s="49">
        <f t="shared" si="99"/>
        <v>279000</v>
      </c>
    </row>
    <row r="1850" spans="2:12" x14ac:dyDescent="0.25">
      <c r="B1850" s="25">
        <v>7</v>
      </c>
      <c r="C1850" s="25">
        <v>2024</v>
      </c>
      <c r="L1850" s="49">
        <f t="shared" si="99"/>
        <v>279000</v>
      </c>
    </row>
    <row r="1851" spans="2:12" x14ac:dyDescent="0.25">
      <c r="B1851" s="25">
        <v>7</v>
      </c>
      <c r="C1851" s="25">
        <v>2024</v>
      </c>
      <c r="L1851" s="49">
        <f t="shared" si="99"/>
        <v>279000</v>
      </c>
    </row>
    <row r="1852" spans="2:12" x14ac:dyDescent="0.25">
      <c r="B1852" s="25">
        <v>7</v>
      </c>
      <c r="C1852" s="25">
        <v>2024</v>
      </c>
      <c r="L1852" s="49">
        <f t="shared" si="99"/>
        <v>279000</v>
      </c>
    </row>
    <row r="1853" spans="2:12" x14ac:dyDescent="0.25">
      <c r="B1853" s="25">
        <v>7</v>
      </c>
      <c r="C1853" s="25">
        <v>2024</v>
      </c>
      <c r="L1853" s="49">
        <f t="shared" si="99"/>
        <v>279000</v>
      </c>
    </row>
    <row r="1854" spans="2:12" x14ac:dyDescent="0.25">
      <c r="B1854" s="25">
        <v>7</v>
      </c>
      <c r="C1854" s="25">
        <v>2024</v>
      </c>
      <c r="L1854" s="49">
        <f t="shared" si="99"/>
        <v>279000</v>
      </c>
    </row>
    <row r="1855" spans="2:12" x14ac:dyDescent="0.25">
      <c r="B1855" s="25">
        <v>7</v>
      </c>
      <c r="C1855" s="25">
        <v>2024</v>
      </c>
      <c r="L1855" s="49">
        <f t="shared" si="99"/>
        <v>279000</v>
      </c>
    </row>
    <row r="1856" spans="2:12" x14ac:dyDescent="0.25">
      <c r="B1856" s="25">
        <v>7</v>
      </c>
      <c r="C1856" s="25">
        <v>2024</v>
      </c>
      <c r="L1856" s="49">
        <f t="shared" si="99"/>
        <v>279000</v>
      </c>
    </row>
    <row r="1857" spans="2:12" x14ac:dyDescent="0.25">
      <c r="B1857" s="25">
        <v>7</v>
      </c>
      <c r="C1857" s="25">
        <v>2024</v>
      </c>
      <c r="L1857" s="49">
        <f t="shared" si="99"/>
        <v>279000</v>
      </c>
    </row>
    <row r="1858" spans="2:12" x14ac:dyDescent="0.25">
      <c r="B1858" s="25">
        <v>7</v>
      </c>
      <c r="C1858" s="25">
        <v>2024</v>
      </c>
      <c r="L1858" s="49">
        <f t="shared" si="99"/>
        <v>279000</v>
      </c>
    </row>
    <row r="1859" spans="2:12" x14ac:dyDescent="0.25">
      <c r="B1859" s="25">
        <v>7</v>
      </c>
      <c r="C1859" s="25">
        <v>2024</v>
      </c>
      <c r="L1859" s="49">
        <f t="shared" si="99"/>
        <v>279000</v>
      </c>
    </row>
    <row r="1860" spans="2:12" x14ac:dyDescent="0.25">
      <c r="B1860" s="25">
        <v>7</v>
      </c>
      <c r="C1860" s="25">
        <v>2024</v>
      </c>
      <c r="L1860" s="49">
        <f t="shared" ref="L1860:L1923" si="100">IF((L1859+M1859+J1860-K1860)&gt;0,(L1859+M1859+J1860-K1860),0)</f>
        <v>279000</v>
      </c>
    </row>
    <row r="1861" spans="2:12" x14ac:dyDescent="0.25">
      <c r="B1861" s="25">
        <v>7</v>
      </c>
      <c r="C1861" s="25">
        <v>2024</v>
      </c>
      <c r="L1861" s="49">
        <f t="shared" si="100"/>
        <v>279000</v>
      </c>
    </row>
    <row r="1862" spans="2:12" x14ac:dyDescent="0.25">
      <c r="B1862" s="25">
        <v>7</v>
      </c>
      <c r="C1862" s="25">
        <v>2024</v>
      </c>
      <c r="L1862" s="49">
        <f t="shared" si="100"/>
        <v>279000</v>
      </c>
    </row>
    <row r="1863" spans="2:12" x14ac:dyDescent="0.25">
      <c r="B1863" s="25">
        <v>7</v>
      </c>
      <c r="C1863" s="25">
        <v>2024</v>
      </c>
      <c r="L1863" s="49">
        <f t="shared" si="100"/>
        <v>279000</v>
      </c>
    </row>
    <row r="1864" spans="2:12" x14ac:dyDescent="0.25">
      <c r="B1864" s="25">
        <v>7</v>
      </c>
      <c r="C1864" s="25">
        <v>2024</v>
      </c>
      <c r="L1864" s="49">
        <f t="shared" si="100"/>
        <v>279000</v>
      </c>
    </row>
    <row r="1865" spans="2:12" x14ac:dyDescent="0.25">
      <c r="B1865" s="25">
        <v>7</v>
      </c>
      <c r="C1865" s="25">
        <v>2024</v>
      </c>
      <c r="L1865" s="49">
        <f t="shared" si="100"/>
        <v>279000</v>
      </c>
    </row>
    <row r="1866" spans="2:12" x14ac:dyDescent="0.25">
      <c r="B1866" s="25">
        <v>7</v>
      </c>
      <c r="C1866" s="25">
        <v>2024</v>
      </c>
      <c r="L1866" s="49">
        <f t="shared" si="100"/>
        <v>279000</v>
      </c>
    </row>
    <row r="1867" spans="2:12" x14ac:dyDescent="0.25">
      <c r="B1867" s="25">
        <v>7</v>
      </c>
      <c r="C1867" s="25">
        <v>2024</v>
      </c>
      <c r="L1867" s="49">
        <f t="shared" si="100"/>
        <v>279000</v>
      </c>
    </row>
    <row r="1868" spans="2:12" x14ac:dyDescent="0.25">
      <c r="B1868" s="25">
        <v>7</v>
      </c>
      <c r="C1868" s="25">
        <v>2024</v>
      </c>
      <c r="L1868" s="49">
        <f t="shared" si="100"/>
        <v>279000</v>
      </c>
    </row>
    <row r="1869" spans="2:12" x14ac:dyDescent="0.25">
      <c r="B1869" s="25">
        <v>7</v>
      </c>
      <c r="C1869" s="25">
        <v>2024</v>
      </c>
      <c r="L1869" s="49">
        <f t="shared" si="100"/>
        <v>279000</v>
      </c>
    </row>
    <row r="1870" spans="2:12" x14ac:dyDescent="0.25">
      <c r="B1870" s="25">
        <v>7</v>
      </c>
      <c r="C1870" s="25">
        <v>2024</v>
      </c>
      <c r="L1870" s="49">
        <f t="shared" si="100"/>
        <v>279000</v>
      </c>
    </row>
    <row r="1871" spans="2:12" x14ac:dyDescent="0.25">
      <c r="B1871" s="25">
        <v>7</v>
      </c>
      <c r="C1871" s="25">
        <v>2024</v>
      </c>
      <c r="L1871" s="49">
        <f t="shared" si="100"/>
        <v>279000</v>
      </c>
    </row>
    <row r="1872" spans="2:12" x14ac:dyDescent="0.25">
      <c r="B1872" s="25">
        <v>7</v>
      </c>
      <c r="C1872" s="25">
        <v>2024</v>
      </c>
      <c r="L1872" s="49">
        <f t="shared" si="100"/>
        <v>279000</v>
      </c>
    </row>
    <row r="1873" spans="2:12" x14ac:dyDescent="0.25">
      <c r="B1873" s="25">
        <v>7</v>
      </c>
      <c r="C1873" s="25">
        <v>2024</v>
      </c>
      <c r="L1873" s="49">
        <f t="shared" si="100"/>
        <v>279000</v>
      </c>
    </row>
    <row r="1874" spans="2:12" x14ac:dyDescent="0.25">
      <c r="B1874" s="25">
        <v>7</v>
      </c>
      <c r="C1874" s="25">
        <v>2024</v>
      </c>
      <c r="L1874" s="49">
        <f t="shared" si="100"/>
        <v>279000</v>
      </c>
    </row>
    <row r="1875" spans="2:12" x14ac:dyDescent="0.25">
      <c r="B1875" s="25">
        <v>7</v>
      </c>
      <c r="C1875" s="25">
        <v>2024</v>
      </c>
      <c r="L1875" s="49">
        <f t="shared" si="100"/>
        <v>279000</v>
      </c>
    </row>
    <row r="1876" spans="2:12" x14ac:dyDescent="0.25">
      <c r="B1876" s="25">
        <v>7</v>
      </c>
      <c r="C1876" s="25">
        <v>2024</v>
      </c>
      <c r="L1876" s="49">
        <f t="shared" si="100"/>
        <v>279000</v>
      </c>
    </row>
    <row r="1877" spans="2:12" x14ac:dyDescent="0.25">
      <c r="B1877" s="25">
        <v>7</v>
      </c>
      <c r="C1877" s="25">
        <v>2024</v>
      </c>
      <c r="L1877" s="49">
        <f t="shared" si="100"/>
        <v>279000</v>
      </c>
    </row>
    <row r="1878" spans="2:12" x14ac:dyDescent="0.25">
      <c r="B1878" s="25">
        <v>7</v>
      </c>
      <c r="C1878" s="25">
        <v>2024</v>
      </c>
      <c r="L1878" s="49">
        <f t="shared" si="100"/>
        <v>279000</v>
      </c>
    </row>
    <row r="1879" spans="2:12" x14ac:dyDescent="0.25">
      <c r="B1879" s="25">
        <v>7</v>
      </c>
      <c r="C1879" s="25">
        <v>2024</v>
      </c>
      <c r="L1879" s="49">
        <f t="shared" si="100"/>
        <v>279000</v>
      </c>
    </row>
    <row r="1880" spans="2:12" x14ac:dyDescent="0.25">
      <c r="B1880" s="25">
        <v>7</v>
      </c>
      <c r="C1880" s="25">
        <v>2024</v>
      </c>
      <c r="L1880" s="49">
        <f t="shared" si="100"/>
        <v>279000</v>
      </c>
    </row>
    <row r="1881" spans="2:12" x14ac:dyDescent="0.25">
      <c r="B1881" s="25">
        <v>7</v>
      </c>
      <c r="C1881" s="25">
        <v>2024</v>
      </c>
      <c r="L1881" s="49">
        <f t="shared" si="100"/>
        <v>279000</v>
      </c>
    </row>
    <row r="1882" spans="2:12" x14ac:dyDescent="0.25">
      <c r="B1882" s="25">
        <v>7</v>
      </c>
      <c r="C1882" s="25">
        <v>2024</v>
      </c>
      <c r="L1882" s="49">
        <f t="shared" si="100"/>
        <v>279000</v>
      </c>
    </row>
    <row r="1883" spans="2:12" x14ac:dyDescent="0.25">
      <c r="B1883" s="25">
        <v>7</v>
      </c>
      <c r="C1883" s="25">
        <v>2024</v>
      </c>
      <c r="L1883" s="49">
        <f t="shared" si="100"/>
        <v>279000</v>
      </c>
    </row>
    <row r="1884" spans="2:12" x14ac:dyDescent="0.25">
      <c r="B1884" s="25">
        <v>7</v>
      </c>
      <c r="C1884" s="25">
        <v>2024</v>
      </c>
      <c r="L1884" s="49">
        <f t="shared" si="100"/>
        <v>279000</v>
      </c>
    </row>
    <row r="1885" spans="2:12" x14ac:dyDescent="0.25">
      <c r="B1885" s="25">
        <v>7</v>
      </c>
      <c r="C1885" s="25">
        <v>2024</v>
      </c>
      <c r="L1885" s="49">
        <f t="shared" si="100"/>
        <v>279000</v>
      </c>
    </row>
    <row r="1886" spans="2:12" x14ac:dyDescent="0.25">
      <c r="B1886" s="25">
        <v>7</v>
      </c>
      <c r="C1886" s="25">
        <v>2024</v>
      </c>
      <c r="L1886" s="49">
        <f t="shared" si="100"/>
        <v>279000</v>
      </c>
    </row>
    <row r="1887" spans="2:12" x14ac:dyDescent="0.25">
      <c r="B1887" s="25">
        <v>7</v>
      </c>
      <c r="C1887" s="25">
        <v>2024</v>
      </c>
      <c r="L1887" s="49">
        <f t="shared" si="100"/>
        <v>279000</v>
      </c>
    </row>
    <row r="1888" spans="2:12" x14ac:dyDescent="0.25">
      <c r="B1888" s="25">
        <v>7</v>
      </c>
      <c r="C1888" s="25">
        <v>2024</v>
      </c>
      <c r="L1888" s="49">
        <f t="shared" si="100"/>
        <v>279000</v>
      </c>
    </row>
    <row r="1889" spans="2:12" x14ac:dyDescent="0.25">
      <c r="B1889" s="25">
        <v>7</v>
      </c>
      <c r="C1889" s="25">
        <v>2024</v>
      </c>
      <c r="L1889" s="49">
        <f t="shared" si="100"/>
        <v>279000</v>
      </c>
    </row>
    <row r="1890" spans="2:12" x14ac:dyDescent="0.25">
      <c r="B1890" s="25">
        <v>7</v>
      </c>
      <c r="C1890" s="25">
        <v>2024</v>
      </c>
      <c r="L1890" s="49">
        <f t="shared" si="100"/>
        <v>279000</v>
      </c>
    </row>
    <row r="1891" spans="2:12" x14ac:dyDescent="0.25">
      <c r="B1891" s="25">
        <v>7</v>
      </c>
      <c r="C1891" s="25">
        <v>2024</v>
      </c>
      <c r="L1891" s="49">
        <f t="shared" si="100"/>
        <v>279000</v>
      </c>
    </row>
    <row r="1892" spans="2:12" x14ac:dyDescent="0.25">
      <c r="B1892" s="25">
        <v>7</v>
      </c>
      <c r="C1892" s="25">
        <v>2024</v>
      </c>
      <c r="L1892" s="49">
        <f t="shared" si="100"/>
        <v>279000</v>
      </c>
    </row>
    <row r="1893" spans="2:12" x14ac:dyDescent="0.25">
      <c r="B1893" s="25">
        <v>7</v>
      </c>
      <c r="C1893" s="25">
        <v>2024</v>
      </c>
      <c r="L1893" s="49">
        <f t="shared" si="100"/>
        <v>279000</v>
      </c>
    </row>
    <row r="1894" spans="2:12" x14ac:dyDescent="0.25">
      <c r="B1894" s="25">
        <v>7</v>
      </c>
      <c r="C1894" s="25">
        <v>2024</v>
      </c>
      <c r="L1894" s="49">
        <f t="shared" si="100"/>
        <v>279000</v>
      </c>
    </row>
    <row r="1895" spans="2:12" x14ac:dyDescent="0.25">
      <c r="B1895" s="25">
        <v>7</v>
      </c>
      <c r="C1895" s="25">
        <v>2024</v>
      </c>
      <c r="L1895" s="49">
        <f t="shared" si="100"/>
        <v>279000</v>
      </c>
    </row>
    <row r="1896" spans="2:12" x14ac:dyDescent="0.25">
      <c r="B1896" s="25">
        <v>7</v>
      </c>
      <c r="C1896" s="25">
        <v>2024</v>
      </c>
      <c r="L1896" s="49">
        <f t="shared" si="100"/>
        <v>279000</v>
      </c>
    </row>
    <row r="1897" spans="2:12" x14ac:dyDescent="0.25">
      <c r="B1897" s="25">
        <v>7</v>
      </c>
      <c r="C1897" s="25">
        <v>2024</v>
      </c>
      <c r="L1897" s="49">
        <f t="shared" si="100"/>
        <v>279000</v>
      </c>
    </row>
    <row r="1898" spans="2:12" x14ac:dyDescent="0.25">
      <c r="B1898" s="25">
        <v>7</v>
      </c>
      <c r="C1898" s="25">
        <v>2024</v>
      </c>
      <c r="L1898" s="49">
        <f t="shared" si="100"/>
        <v>279000</v>
      </c>
    </row>
    <row r="1899" spans="2:12" x14ac:dyDescent="0.25">
      <c r="B1899" s="25">
        <v>7</v>
      </c>
      <c r="C1899" s="25">
        <v>2024</v>
      </c>
      <c r="L1899" s="49">
        <f t="shared" si="100"/>
        <v>279000</v>
      </c>
    </row>
    <row r="1900" spans="2:12" x14ac:dyDescent="0.25">
      <c r="B1900" s="25">
        <v>7</v>
      </c>
      <c r="C1900" s="25">
        <v>2024</v>
      </c>
      <c r="L1900" s="49">
        <f t="shared" si="100"/>
        <v>279000</v>
      </c>
    </row>
    <row r="1901" spans="2:12" x14ac:dyDescent="0.25">
      <c r="B1901" s="25">
        <v>7</v>
      </c>
      <c r="C1901" s="25">
        <v>2024</v>
      </c>
      <c r="L1901" s="49">
        <f t="shared" si="100"/>
        <v>279000</v>
      </c>
    </row>
    <row r="1902" spans="2:12" x14ac:dyDescent="0.25">
      <c r="B1902" s="25">
        <v>7</v>
      </c>
      <c r="C1902" s="25">
        <v>2024</v>
      </c>
      <c r="L1902" s="49">
        <f t="shared" si="100"/>
        <v>279000</v>
      </c>
    </row>
    <row r="1903" spans="2:12" x14ac:dyDescent="0.25">
      <c r="B1903" s="25">
        <v>7</v>
      </c>
      <c r="C1903" s="25">
        <v>2024</v>
      </c>
      <c r="L1903" s="49">
        <f t="shared" si="100"/>
        <v>279000</v>
      </c>
    </row>
    <row r="1904" spans="2:12" x14ac:dyDescent="0.25">
      <c r="B1904" s="25">
        <v>7</v>
      </c>
      <c r="C1904" s="25">
        <v>2024</v>
      </c>
      <c r="L1904" s="49">
        <f t="shared" si="100"/>
        <v>279000</v>
      </c>
    </row>
    <row r="1905" spans="2:12" x14ac:dyDescent="0.25">
      <c r="B1905" s="25">
        <v>7</v>
      </c>
      <c r="C1905" s="25">
        <v>2024</v>
      </c>
      <c r="L1905" s="49">
        <f t="shared" si="100"/>
        <v>279000</v>
      </c>
    </row>
    <row r="1906" spans="2:12" x14ac:dyDescent="0.25">
      <c r="B1906" s="25">
        <v>7</v>
      </c>
      <c r="C1906" s="25">
        <v>2024</v>
      </c>
      <c r="L1906" s="49">
        <f t="shared" si="100"/>
        <v>279000</v>
      </c>
    </row>
    <row r="1907" spans="2:12" x14ac:dyDescent="0.25">
      <c r="B1907" s="25">
        <v>7</v>
      </c>
      <c r="C1907" s="25">
        <v>2024</v>
      </c>
      <c r="L1907" s="49">
        <f t="shared" si="100"/>
        <v>279000</v>
      </c>
    </row>
    <row r="1908" spans="2:12" x14ac:dyDescent="0.25">
      <c r="B1908" s="25">
        <v>7</v>
      </c>
      <c r="C1908" s="25">
        <v>2024</v>
      </c>
      <c r="L1908" s="49">
        <f t="shared" si="100"/>
        <v>279000</v>
      </c>
    </row>
    <row r="1909" spans="2:12" x14ac:dyDescent="0.25">
      <c r="B1909" s="25">
        <v>7</v>
      </c>
      <c r="C1909" s="25">
        <v>2024</v>
      </c>
      <c r="L1909" s="49">
        <f t="shared" si="100"/>
        <v>279000</v>
      </c>
    </row>
    <row r="1910" spans="2:12" x14ac:dyDescent="0.25">
      <c r="B1910" s="25">
        <v>7</v>
      </c>
      <c r="C1910" s="25">
        <v>2024</v>
      </c>
      <c r="L1910" s="49">
        <f t="shared" si="100"/>
        <v>279000</v>
      </c>
    </row>
    <row r="1911" spans="2:12" x14ac:dyDescent="0.25">
      <c r="B1911" s="25">
        <v>7</v>
      </c>
      <c r="C1911" s="25">
        <v>2024</v>
      </c>
      <c r="L1911" s="49">
        <f t="shared" si="100"/>
        <v>279000</v>
      </c>
    </row>
    <row r="1912" spans="2:12" x14ac:dyDescent="0.25">
      <c r="B1912" s="25">
        <v>7</v>
      </c>
      <c r="C1912" s="25">
        <v>2024</v>
      </c>
      <c r="L1912" s="49">
        <f t="shared" si="100"/>
        <v>279000</v>
      </c>
    </row>
    <row r="1913" spans="2:12" x14ac:dyDescent="0.25">
      <c r="B1913" s="25">
        <v>7</v>
      </c>
      <c r="C1913" s="25">
        <v>2024</v>
      </c>
      <c r="L1913" s="49">
        <f t="shared" si="100"/>
        <v>279000</v>
      </c>
    </row>
    <row r="1914" spans="2:12" x14ac:dyDescent="0.25">
      <c r="B1914" s="25">
        <v>7</v>
      </c>
      <c r="C1914" s="25">
        <v>2024</v>
      </c>
      <c r="L1914" s="49">
        <f t="shared" si="100"/>
        <v>279000</v>
      </c>
    </row>
    <row r="1915" spans="2:12" x14ac:dyDescent="0.25">
      <c r="B1915" s="25">
        <v>7</v>
      </c>
      <c r="C1915" s="25">
        <v>2024</v>
      </c>
      <c r="L1915" s="49">
        <f t="shared" si="100"/>
        <v>279000</v>
      </c>
    </row>
    <row r="1916" spans="2:12" x14ac:dyDescent="0.25">
      <c r="B1916" s="25">
        <v>7</v>
      </c>
      <c r="C1916" s="25">
        <v>2024</v>
      </c>
      <c r="L1916" s="49">
        <f t="shared" si="100"/>
        <v>279000</v>
      </c>
    </row>
    <row r="1917" spans="2:12" x14ac:dyDescent="0.25">
      <c r="B1917" s="25">
        <v>7</v>
      </c>
      <c r="C1917" s="25">
        <v>2024</v>
      </c>
      <c r="L1917" s="49">
        <f t="shared" si="100"/>
        <v>279000</v>
      </c>
    </row>
    <row r="1918" spans="2:12" x14ac:dyDescent="0.25">
      <c r="B1918" s="25">
        <v>7</v>
      </c>
      <c r="C1918" s="25">
        <v>2024</v>
      </c>
      <c r="L1918" s="49">
        <f t="shared" si="100"/>
        <v>279000</v>
      </c>
    </row>
    <row r="1919" spans="2:12" x14ac:dyDescent="0.25">
      <c r="B1919" s="25">
        <v>7</v>
      </c>
      <c r="C1919" s="25">
        <v>2024</v>
      </c>
      <c r="L1919" s="49">
        <f t="shared" si="100"/>
        <v>279000</v>
      </c>
    </row>
    <row r="1920" spans="2:12" x14ac:dyDescent="0.25">
      <c r="B1920" s="25">
        <v>7</v>
      </c>
      <c r="C1920" s="25">
        <v>2024</v>
      </c>
      <c r="L1920" s="49">
        <f t="shared" si="100"/>
        <v>279000</v>
      </c>
    </row>
    <row r="1921" spans="2:12" x14ac:dyDescent="0.25">
      <c r="B1921" s="25">
        <v>7</v>
      </c>
      <c r="C1921" s="25">
        <v>2024</v>
      </c>
      <c r="L1921" s="49">
        <f t="shared" si="100"/>
        <v>279000</v>
      </c>
    </row>
    <row r="1922" spans="2:12" x14ac:dyDescent="0.25">
      <c r="B1922" s="25">
        <v>7</v>
      </c>
      <c r="C1922" s="25">
        <v>2024</v>
      </c>
      <c r="L1922" s="49">
        <f t="shared" si="100"/>
        <v>279000</v>
      </c>
    </row>
    <row r="1923" spans="2:12" x14ac:dyDescent="0.25">
      <c r="B1923" s="25">
        <v>7</v>
      </c>
      <c r="C1923" s="25">
        <v>2024</v>
      </c>
      <c r="L1923" s="49">
        <f t="shared" si="100"/>
        <v>279000</v>
      </c>
    </row>
    <row r="1924" spans="2:12" x14ac:dyDescent="0.25">
      <c r="B1924" s="25">
        <v>7</v>
      </c>
      <c r="C1924" s="25">
        <v>2024</v>
      </c>
      <c r="L1924" s="49">
        <f t="shared" ref="L1924:L1987" si="101">IF((L1923+M1923+J1924-K1924)&gt;0,(L1923+M1923+J1924-K1924),0)</f>
        <v>279000</v>
      </c>
    </row>
    <row r="1925" spans="2:12" x14ac:dyDescent="0.25">
      <c r="B1925" s="25">
        <v>7</v>
      </c>
      <c r="C1925" s="25">
        <v>2024</v>
      </c>
      <c r="L1925" s="49">
        <f t="shared" si="101"/>
        <v>279000</v>
      </c>
    </row>
    <row r="1926" spans="2:12" x14ac:dyDescent="0.25">
      <c r="B1926" s="25">
        <v>7</v>
      </c>
      <c r="C1926" s="25">
        <v>2024</v>
      </c>
      <c r="L1926" s="49">
        <f t="shared" si="101"/>
        <v>279000</v>
      </c>
    </row>
    <row r="1927" spans="2:12" x14ac:dyDescent="0.25">
      <c r="B1927" s="25">
        <v>7</v>
      </c>
      <c r="C1927" s="25">
        <v>2024</v>
      </c>
      <c r="L1927" s="49">
        <f t="shared" si="101"/>
        <v>279000</v>
      </c>
    </row>
    <row r="1928" spans="2:12" x14ac:dyDescent="0.25">
      <c r="B1928" s="25">
        <v>7</v>
      </c>
      <c r="C1928" s="25">
        <v>2024</v>
      </c>
      <c r="L1928" s="49">
        <f t="shared" si="101"/>
        <v>279000</v>
      </c>
    </row>
    <row r="1929" spans="2:12" x14ac:dyDescent="0.25">
      <c r="B1929" s="25">
        <v>7</v>
      </c>
      <c r="C1929" s="25">
        <v>2024</v>
      </c>
      <c r="L1929" s="49">
        <f t="shared" si="101"/>
        <v>279000</v>
      </c>
    </row>
    <row r="1930" spans="2:12" x14ac:dyDescent="0.25">
      <c r="B1930" s="25">
        <v>7</v>
      </c>
      <c r="C1930" s="25">
        <v>2024</v>
      </c>
      <c r="L1930" s="49">
        <f t="shared" si="101"/>
        <v>279000</v>
      </c>
    </row>
    <row r="1931" spans="2:12" x14ac:dyDescent="0.25">
      <c r="B1931" s="25">
        <v>7</v>
      </c>
      <c r="C1931" s="25">
        <v>2024</v>
      </c>
      <c r="L1931" s="49">
        <f t="shared" si="101"/>
        <v>279000</v>
      </c>
    </row>
    <row r="1932" spans="2:12" x14ac:dyDescent="0.25">
      <c r="B1932" s="25">
        <v>7</v>
      </c>
      <c r="C1932" s="25">
        <v>2024</v>
      </c>
      <c r="L1932" s="49">
        <f t="shared" si="101"/>
        <v>279000</v>
      </c>
    </row>
    <row r="1933" spans="2:12" x14ac:dyDescent="0.25">
      <c r="B1933" s="25">
        <v>7</v>
      </c>
      <c r="C1933" s="25">
        <v>2024</v>
      </c>
      <c r="L1933" s="49">
        <f t="shared" si="101"/>
        <v>279000</v>
      </c>
    </row>
    <row r="1934" spans="2:12" x14ac:dyDescent="0.25">
      <c r="B1934" s="25">
        <v>7</v>
      </c>
      <c r="C1934" s="25">
        <v>2024</v>
      </c>
      <c r="L1934" s="49">
        <f t="shared" si="101"/>
        <v>279000</v>
      </c>
    </row>
    <row r="1935" spans="2:12" x14ac:dyDescent="0.25">
      <c r="B1935" s="25">
        <v>7</v>
      </c>
      <c r="C1935" s="25">
        <v>2024</v>
      </c>
      <c r="L1935" s="49">
        <f t="shared" si="101"/>
        <v>279000</v>
      </c>
    </row>
    <row r="1936" spans="2:12" x14ac:dyDescent="0.25">
      <c r="B1936" s="25">
        <v>7</v>
      </c>
      <c r="C1936" s="25">
        <v>2024</v>
      </c>
      <c r="L1936" s="49">
        <f t="shared" si="101"/>
        <v>279000</v>
      </c>
    </row>
    <row r="1937" spans="2:12" x14ac:dyDescent="0.25">
      <c r="B1937" s="25">
        <v>7</v>
      </c>
      <c r="C1937" s="25">
        <v>2024</v>
      </c>
      <c r="L1937" s="49">
        <f t="shared" si="101"/>
        <v>279000</v>
      </c>
    </row>
    <row r="1938" spans="2:12" x14ac:dyDescent="0.25">
      <c r="B1938" s="25">
        <v>7</v>
      </c>
      <c r="C1938" s="25">
        <v>2024</v>
      </c>
      <c r="L1938" s="49">
        <f t="shared" si="101"/>
        <v>279000</v>
      </c>
    </row>
    <row r="1939" spans="2:12" x14ac:dyDescent="0.25">
      <c r="B1939" s="25">
        <v>7</v>
      </c>
      <c r="C1939" s="25">
        <v>2024</v>
      </c>
      <c r="L1939" s="49">
        <f t="shared" si="101"/>
        <v>279000</v>
      </c>
    </row>
    <row r="1940" spans="2:12" x14ac:dyDescent="0.25">
      <c r="B1940" s="25">
        <v>7</v>
      </c>
      <c r="C1940" s="25">
        <v>2024</v>
      </c>
      <c r="L1940" s="49">
        <f t="shared" si="101"/>
        <v>279000</v>
      </c>
    </row>
    <row r="1941" spans="2:12" x14ac:dyDescent="0.25">
      <c r="B1941" s="25">
        <v>7</v>
      </c>
      <c r="C1941" s="25">
        <v>2024</v>
      </c>
      <c r="L1941" s="49">
        <f t="shared" si="101"/>
        <v>279000</v>
      </c>
    </row>
    <row r="1942" spans="2:12" x14ac:dyDescent="0.25">
      <c r="B1942" s="25">
        <v>7</v>
      </c>
      <c r="C1942" s="25">
        <v>2024</v>
      </c>
      <c r="L1942" s="49">
        <f t="shared" si="101"/>
        <v>279000</v>
      </c>
    </row>
    <row r="1943" spans="2:12" x14ac:dyDescent="0.25">
      <c r="B1943" s="25">
        <v>7</v>
      </c>
      <c r="C1943" s="25">
        <v>2024</v>
      </c>
      <c r="L1943" s="49">
        <f t="shared" si="101"/>
        <v>279000</v>
      </c>
    </row>
    <row r="1944" spans="2:12" x14ac:dyDescent="0.25">
      <c r="B1944" s="25">
        <v>7</v>
      </c>
      <c r="C1944" s="25">
        <v>2024</v>
      </c>
      <c r="L1944" s="49">
        <f t="shared" si="101"/>
        <v>279000</v>
      </c>
    </row>
    <row r="1945" spans="2:12" x14ac:dyDescent="0.25">
      <c r="B1945" s="25">
        <v>7</v>
      </c>
      <c r="C1945" s="25">
        <v>2024</v>
      </c>
      <c r="L1945" s="49">
        <f t="shared" si="101"/>
        <v>279000</v>
      </c>
    </row>
    <row r="1946" spans="2:12" x14ac:dyDescent="0.25">
      <c r="B1946" s="25">
        <v>7</v>
      </c>
      <c r="C1946" s="25">
        <v>2024</v>
      </c>
      <c r="L1946" s="49">
        <f t="shared" si="101"/>
        <v>279000</v>
      </c>
    </row>
    <row r="1947" spans="2:12" x14ac:dyDescent="0.25">
      <c r="B1947" s="25">
        <v>7</v>
      </c>
      <c r="C1947" s="25">
        <v>2024</v>
      </c>
      <c r="L1947" s="49">
        <f t="shared" si="101"/>
        <v>279000</v>
      </c>
    </row>
    <row r="1948" spans="2:12" x14ac:dyDescent="0.25">
      <c r="B1948" s="25">
        <v>7</v>
      </c>
      <c r="C1948" s="25">
        <v>2024</v>
      </c>
      <c r="L1948" s="49">
        <f t="shared" si="101"/>
        <v>279000</v>
      </c>
    </row>
    <row r="1949" spans="2:12" x14ac:dyDescent="0.25">
      <c r="B1949" s="25">
        <v>7</v>
      </c>
      <c r="C1949" s="25">
        <v>2024</v>
      </c>
      <c r="L1949" s="49">
        <f t="shared" si="101"/>
        <v>279000</v>
      </c>
    </row>
    <row r="1950" spans="2:12" x14ac:dyDescent="0.25">
      <c r="B1950" s="25">
        <v>7</v>
      </c>
      <c r="C1950" s="25">
        <v>2024</v>
      </c>
      <c r="L1950" s="49">
        <f t="shared" si="101"/>
        <v>279000</v>
      </c>
    </row>
    <row r="1951" spans="2:12" x14ac:dyDescent="0.25">
      <c r="B1951" s="25">
        <v>7</v>
      </c>
      <c r="C1951" s="25">
        <v>2024</v>
      </c>
      <c r="L1951" s="49">
        <f t="shared" si="101"/>
        <v>279000</v>
      </c>
    </row>
    <row r="1952" spans="2:12" x14ac:dyDescent="0.25">
      <c r="B1952" s="25">
        <v>7</v>
      </c>
      <c r="C1952" s="25">
        <v>2024</v>
      </c>
      <c r="L1952" s="49">
        <f t="shared" si="101"/>
        <v>279000</v>
      </c>
    </row>
    <row r="1953" spans="2:12" x14ac:dyDescent="0.25">
      <c r="B1953" s="25">
        <v>7</v>
      </c>
      <c r="C1953" s="25">
        <v>2024</v>
      </c>
      <c r="L1953" s="49">
        <f t="shared" si="101"/>
        <v>279000</v>
      </c>
    </row>
    <row r="1954" spans="2:12" x14ac:dyDescent="0.25">
      <c r="B1954" s="25">
        <v>7</v>
      </c>
      <c r="C1954" s="25">
        <v>2024</v>
      </c>
      <c r="L1954" s="49">
        <f t="shared" si="101"/>
        <v>279000</v>
      </c>
    </row>
    <row r="1955" spans="2:12" x14ac:dyDescent="0.25">
      <c r="B1955" s="25">
        <v>7</v>
      </c>
      <c r="C1955" s="25">
        <v>2024</v>
      </c>
      <c r="L1955" s="49">
        <f t="shared" si="101"/>
        <v>279000</v>
      </c>
    </row>
    <row r="1956" spans="2:12" x14ac:dyDescent="0.25">
      <c r="B1956" s="25">
        <v>7</v>
      </c>
      <c r="C1956" s="25">
        <v>2024</v>
      </c>
      <c r="L1956" s="49">
        <f t="shared" si="101"/>
        <v>279000</v>
      </c>
    </row>
    <row r="1957" spans="2:12" x14ac:dyDescent="0.25">
      <c r="B1957" s="25">
        <v>7</v>
      </c>
      <c r="C1957" s="25">
        <v>2024</v>
      </c>
      <c r="L1957" s="49">
        <f t="shared" si="101"/>
        <v>279000</v>
      </c>
    </row>
    <row r="1958" spans="2:12" x14ac:dyDescent="0.25">
      <c r="B1958" s="25">
        <v>7</v>
      </c>
      <c r="C1958" s="25">
        <v>2024</v>
      </c>
      <c r="L1958" s="49">
        <f t="shared" si="101"/>
        <v>279000</v>
      </c>
    </row>
    <row r="1959" spans="2:12" x14ac:dyDescent="0.25">
      <c r="B1959" s="25">
        <v>7</v>
      </c>
      <c r="C1959" s="25">
        <v>2024</v>
      </c>
      <c r="L1959" s="49">
        <f t="shared" si="101"/>
        <v>279000</v>
      </c>
    </row>
    <row r="1960" spans="2:12" x14ac:dyDescent="0.25">
      <c r="B1960" s="25">
        <v>7</v>
      </c>
      <c r="C1960" s="25">
        <v>2024</v>
      </c>
      <c r="L1960" s="49">
        <f t="shared" si="101"/>
        <v>279000</v>
      </c>
    </row>
    <row r="1961" spans="2:12" x14ac:dyDescent="0.25">
      <c r="B1961" s="25">
        <v>7</v>
      </c>
      <c r="C1961" s="25">
        <v>2024</v>
      </c>
      <c r="L1961" s="49">
        <f t="shared" si="101"/>
        <v>279000</v>
      </c>
    </row>
    <row r="1962" spans="2:12" x14ac:dyDescent="0.25">
      <c r="B1962" s="25">
        <v>7</v>
      </c>
      <c r="C1962" s="25">
        <v>2024</v>
      </c>
      <c r="L1962" s="49">
        <f t="shared" si="101"/>
        <v>279000</v>
      </c>
    </row>
    <row r="1963" spans="2:12" x14ac:dyDescent="0.25">
      <c r="B1963" s="25">
        <v>7</v>
      </c>
      <c r="C1963" s="25">
        <v>2024</v>
      </c>
      <c r="L1963" s="49">
        <f t="shared" si="101"/>
        <v>279000</v>
      </c>
    </row>
    <row r="1964" spans="2:12" x14ac:dyDescent="0.25">
      <c r="B1964" s="25">
        <v>7</v>
      </c>
      <c r="C1964" s="25">
        <v>2024</v>
      </c>
      <c r="L1964" s="49">
        <f t="shared" si="101"/>
        <v>279000</v>
      </c>
    </row>
    <row r="1965" spans="2:12" x14ac:dyDescent="0.25">
      <c r="B1965" s="25">
        <v>7</v>
      </c>
      <c r="C1965" s="25">
        <v>2024</v>
      </c>
      <c r="L1965" s="49">
        <f t="shared" si="101"/>
        <v>279000</v>
      </c>
    </row>
    <row r="1966" spans="2:12" x14ac:dyDescent="0.25">
      <c r="B1966" s="25">
        <v>7</v>
      </c>
      <c r="C1966" s="25">
        <v>2024</v>
      </c>
      <c r="L1966" s="49">
        <f t="shared" si="101"/>
        <v>279000</v>
      </c>
    </row>
    <row r="1967" spans="2:12" x14ac:dyDescent="0.25">
      <c r="B1967" s="25">
        <v>7</v>
      </c>
      <c r="C1967" s="25">
        <v>2024</v>
      </c>
      <c r="L1967" s="49">
        <f t="shared" si="101"/>
        <v>279000</v>
      </c>
    </row>
    <row r="1968" spans="2:12" x14ac:dyDescent="0.25">
      <c r="B1968" s="25">
        <v>7</v>
      </c>
      <c r="C1968" s="25">
        <v>2024</v>
      </c>
      <c r="L1968" s="49">
        <f t="shared" si="101"/>
        <v>279000</v>
      </c>
    </row>
    <row r="1969" spans="2:12" x14ac:dyDescent="0.25">
      <c r="B1969" s="25">
        <v>7</v>
      </c>
      <c r="C1969" s="25">
        <v>2024</v>
      </c>
      <c r="L1969" s="49">
        <f t="shared" si="101"/>
        <v>279000</v>
      </c>
    </row>
    <row r="1970" spans="2:12" x14ac:dyDescent="0.25">
      <c r="B1970" s="25">
        <v>7</v>
      </c>
      <c r="C1970" s="25">
        <v>2024</v>
      </c>
      <c r="L1970" s="49">
        <f t="shared" si="101"/>
        <v>279000</v>
      </c>
    </row>
    <row r="1971" spans="2:12" x14ac:dyDescent="0.25">
      <c r="B1971" s="25">
        <v>7</v>
      </c>
      <c r="C1971" s="25">
        <v>2024</v>
      </c>
      <c r="L1971" s="49">
        <f t="shared" si="101"/>
        <v>279000</v>
      </c>
    </row>
    <row r="1972" spans="2:12" x14ac:dyDescent="0.25">
      <c r="B1972" s="25">
        <v>7</v>
      </c>
      <c r="C1972" s="25">
        <v>2024</v>
      </c>
      <c r="L1972" s="49">
        <f t="shared" si="101"/>
        <v>279000</v>
      </c>
    </row>
    <row r="1973" spans="2:12" x14ac:dyDescent="0.25">
      <c r="B1973" s="25">
        <v>7</v>
      </c>
      <c r="C1973" s="25">
        <v>2024</v>
      </c>
      <c r="L1973" s="49">
        <f t="shared" si="101"/>
        <v>279000</v>
      </c>
    </row>
    <row r="1974" spans="2:12" x14ac:dyDescent="0.25">
      <c r="B1974" s="25">
        <v>7</v>
      </c>
      <c r="C1974" s="25">
        <v>2024</v>
      </c>
      <c r="L1974" s="49">
        <f t="shared" si="101"/>
        <v>279000</v>
      </c>
    </row>
    <row r="1975" spans="2:12" x14ac:dyDescent="0.25">
      <c r="B1975" s="25">
        <v>7</v>
      </c>
      <c r="C1975" s="25">
        <v>2024</v>
      </c>
      <c r="L1975" s="49">
        <f t="shared" si="101"/>
        <v>279000</v>
      </c>
    </row>
    <row r="1976" spans="2:12" x14ac:dyDescent="0.25">
      <c r="B1976" s="25">
        <v>7</v>
      </c>
      <c r="C1976" s="25">
        <v>2024</v>
      </c>
      <c r="L1976" s="49">
        <f t="shared" si="101"/>
        <v>279000</v>
      </c>
    </row>
    <row r="1977" spans="2:12" x14ac:dyDescent="0.25">
      <c r="B1977" s="25">
        <v>7</v>
      </c>
      <c r="C1977" s="25">
        <v>2024</v>
      </c>
      <c r="L1977" s="49">
        <f t="shared" si="101"/>
        <v>279000</v>
      </c>
    </row>
    <row r="1978" spans="2:12" x14ac:dyDescent="0.25">
      <c r="B1978" s="25">
        <v>7</v>
      </c>
      <c r="C1978" s="25">
        <v>2024</v>
      </c>
      <c r="L1978" s="49">
        <f t="shared" si="101"/>
        <v>279000</v>
      </c>
    </row>
    <row r="1979" spans="2:12" x14ac:dyDescent="0.25">
      <c r="B1979" s="25">
        <v>7</v>
      </c>
      <c r="C1979" s="25">
        <v>2024</v>
      </c>
      <c r="L1979" s="49">
        <f t="shared" si="101"/>
        <v>279000</v>
      </c>
    </row>
    <row r="1980" spans="2:12" x14ac:dyDescent="0.25">
      <c r="B1980" s="25">
        <v>7</v>
      </c>
      <c r="C1980" s="25">
        <v>2024</v>
      </c>
      <c r="L1980" s="49">
        <f t="shared" si="101"/>
        <v>279000</v>
      </c>
    </row>
    <row r="1981" spans="2:12" x14ac:dyDescent="0.25">
      <c r="B1981" s="25">
        <v>7</v>
      </c>
      <c r="C1981" s="25">
        <v>2024</v>
      </c>
      <c r="L1981" s="49">
        <f t="shared" si="101"/>
        <v>279000</v>
      </c>
    </row>
    <row r="1982" spans="2:12" x14ac:dyDescent="0.25">
      <c r="B1982" s="25">
        <v>7</v>
      </c>
      <c r="C1982" s="25">
        <v>2024</v>
      </c>
      <c r="L1982" s="49">
        <f t="shared" si="101"/>
        <v>279000</v>
      </c>
    </row>
    <row r="1983" spans="2:12" x14ac:dyDescent="0.25">
      <c r="B1983" s="25">
        <v>7</v>
      </c>
      <c r="C1983" s="25">
        <v>2024</v>
      </c>
      <c r="L1983" s="49">
        <f t="shared" si="101"/>
        <v>279000</v>
      </c>
    </row>
    <row r="1984" spans="2:12" x14ac:dyDescent="0.25">
      <c r="B1984" s="25">
        <v>7</v>
      </c>
      <c r="C1984" s="25">
        <v>2024</v>
      </c>
      <c r="L1984" s="49">
        <f t="shared" si="101"/>
        <v>279000</v>
      </c>
    </row>
    <row r="1985" spans="2:12" x14ac:dyDescent="0.25">
      <c r="B1985" s="25">
        <v>7</v>
      </c>
      <c r="C1985" s="25">
        <v>2024</v>
      </c>
      <c r="L1985" s="49">
        <f t="shared" si="101"/>
        <v>279000</v>
      </c>
    </row>
    <row r="1986" spans="2:12" x14ac:dyDescent="0.25">
      <c r="B1986" s="25">
        <v>7</v>
      </c>
      <c r="C1986" s="25">
        <v>2024</v>
      </c>
      <c r="L1986" s="49">
        <f t="shared" si="101"/>
        <v>279000</v>
      </c>
    </row>
    <row r="1987" spans="2:12" x14ac:dyDescent="0.25">
      <c r="B1987" s="25">
        <v>7</v>
      </c>
      <c r="C1987" s="25">
        <v>2024</v>
      </c>
      <c r="L1987" s="49">
        <f t="shared" si="101"/>
        <v>279000</v>
      </c>
    </row>
    <row r="1988" spans="2:12" x14ac:dyDescent="0.25">
      <c r="B1988" s="25">
        <v>7</v>
      </c>
      <c r="C1988" s="25">
        <v>2024</v>
      </c>
      <c r="L1988" s="49">
        <f t="shared" ref="L1988:L2051" si="102">IF((L1987+M1987+J1988-K1988)&gt;0,(L1987+M1987+J1988-K1988),0)</f>
        <v>279000</v>
      </c>
    </row>
    <row r="1989" spans="2:12" x14ac:dyDescent="0.25">
      <c r="B1989" s="25">
        <v>7</v>
      </c>
      <c r="C1989" s="25">
        <v>2024</v>
      </c>
      <c r="L1989" s="49">
        <f t="shared" si="102"/>
        <v>279000</v>
      </c>
    </row>
    <row r="1990" spans="2:12" x14ac:dyDescent="0.25">
      <c r="B1990" s="25">
        <v>7</v>
      </c>
      <c r="C1990" s="25">
        <v>2024</v>
      </c>
      <c r="L1990" s="49">
        <f t="shared" si="102"/>
        <v>279000</v>
      </c>
    </row>
    <row r="1991" spans="2:12" x14ac:dyDescent="0.25">
      <c r="B1991" s="25">
        <v>7</v>
      </c>
      <c r="C1991" s="25">
        <v>2024</v>
      </c>
      <c r="L1991" s="49">
        <f t="shared" si="102"/>
        <v>279000</v>
      </c>
    </row>
    <row r="1992" spans="2:12" x14ac:dyDescent="0.25">
      <c r="B1992" s="25">
        <v>7</v>
      </c>
      <c r="C1992" s="25">
        <v>2024</v>
      </c>
      <c r="L1992" s="49">
        <f t="shared" si="102"/>
        <v>279000</v>
      </c>
    </row>
    <row r="1993" spans="2:12" x14ac:dyDescent="0.25">
      <c r="B1993" s="25">
        <v>7</v>
      </c>
      <c r="C1993" s="25">
        <v>2024</v>
      </c>
      <c r="L1993" s="49">
        <f t="shared" si="102"/>
        <v>279000</v>
      </c>
    </row>
    <row r="1994" spans="2:12" x14ac:dyDescent="0.25">
      <c r="B1994" s="25">
        <v>7</v>
      </c>
      <c r="C1994" s="25">
        <v>2024</v>
      </c>
      <c r="L1994" s="49">
        <f t="shared" si="102"/>
        <v>279000</v>
      </c>
    </row>
    <row r="1995" spans="2:12" x14ac:dyDescent="0.25">
      <c r="B1995" s="25">
        <v>7</v>
      </c>
      <c r="C1995" s="25">
        <v>2024</v>
      </c>
      <c r="L1995" s="49">
        <f t="shared" si="102"/>
        <v>279000</v>
      </c>
    </row>
    <row r="1996" spans="2:12" x14ac:dyDescent="0.25">
      <c r="B1996" s="25">
        <v>7</v>
      </c>
      <c r="C1996" s="25">
        <v>2024</v>
      </c>
      <c r="L1996" s="49">
        <f t="shared" si="102"/>
        <v>279000</v>
      </c>
    </row>
    <row r="1997" spans="2:12" x14ac:dyDescent="0.25">
      <c r="B1997" s="25">
        <v>7</v>
      </c>
      <c r="C1997" s="25">
        <v>2024</v>
      </c>
      <c r="L1997" s="49">
        <f t="shared" si="102"/>
        <v>279000</v>
      </c>
    </row>
    <row r="1998" spans="2:12" x14ac:dyDescent="0.25">
      <c r="B1998" s="25">
        <v>7</v>
      </c>
      <c r="C1998" s="25">
        <v>2024</v>
      </c>
      <c r="L1998" s="49">
        <f t="shared" si="102"/>
        <v>279000</v>
      </c>
    </row>
    <row r="1999" spans="2:12" x14ac:dyDescent="0.25">
      <c r="B1999" s="25">
        <v>7</v>
      </c>
      <c r="C1999" s="25">
        <v>2024</v>
      </c>
      <c r="L1999" s="49">
        <f t="shared" si="102"/>
        <v>279000</v>
      </c>
    </row>
    <row r="2000" spans="2:12" x14ac:dyDescent="0.25">
      <c r="B2000" s="25">
        <v>7</v>
      </c>
      <c r="C2000" s="25">
        <v>2024</v>
      </c>
      <c r="L2000" s="49">
        <f t="shared" si="102"/>
        <v>279000</v>
      </c>
    </row>
    <row r="2001" spans="2:12" x14ac:dyDescent="0.25">
      <c r="B2001" s="25">
        <v>7</v>
      </c>
      <c r="C2001" s="25">
        <v>2024</v>
      </c>
      <c r="L2001" s="49">
        <f t="shared" si="102"/>
        <v>279000</v>
      </c>
    </row>
    <row r="2002" spans="2:12" x14ac:dyDescent="0.25">
      <c r="B2002" s="25">
        <v>7</v>
      </c>
      <c r="C2002" s="25">
        <v>2024</v>
      </c>
      <c r="L2002" s="49">
        <f t="shared" si="102"/>
        <v>279000</v>
      </c>
    </row>
    <row r="2003" spans="2:12" x14ac:dyDescent="0.25">
      <c r="B2003" s="25">
        <v>7</v>
      </c>
      <c r="C2003" s="25">
        <v>2024</v>
      </c>
      <c r="L2003" s="49">
        <f t="shared" si="102"/>
        <v>279000</v>
      </c>
    </row>
    <row r="2004" spans="2:12" x14ac:dyDescent="0.25">
      <c r="B2004" s="25">
        <v>7</v>
      </c>
      <c r="C2004" s="25">
        <v>2024</v>
      </c>
      <c r="L2004" s="49">
        <f t="shared" si="102"/>
        <v>279000</v>
      </c>
    </row>
    <row r="2005" spans="2:12" x14ac:dyDescent="0.25">
      <c r="B2005" s="25">
        <v>7</v>
      </c>
      <c r="C2005" s="25">
        <v>2024</v>
      </c>
      <c r="L2005" s="49">
        <f t="shared" si="102"/>
        <v>279000</v>
      </c>
    </row>
    <row r="2006" spans="2:12" x14ac:dyDescent="0.25">
      <c r="B2006" s="25">
        <v>7</v>
      </c>
      <c r="C2006" s="25">
        <v>2024</v>
      </c>
      <c r="L2006" s="49">
        <f t="shared" si="102"/>
        <v>279000</v>
      </c>
    </row>
    <row r="2007" spans="2:12" x14ac:dyDescent="0.25">
      <c r="B2007" s="25">
        <v>7</v>
      </c>
      <c r="C2007" s="25">
        <v>2024</v>
      </c>
      <c r="L2007" s="49">
        <f t="shared" si="102"/>
        <v>279000</v>
      </c>
    </row>
    <row r="2008" spans="2:12" x14ac:dyDescent="0.25">
      <c r="B2008" s="25">
        <v>7</v>
      </c>
      <c r="C2008" s="25">
        <v>2024</v>
      </c>
      <c r="L2008" s="49">
        <f t="shared" si="102"/>
        <v>279000</v>
      </c>
    </row>
    <row r="2009" spans="2:12" x14ac:dyDescent="0.25">
      <c r="B2009" s="25">
        <v>7</v>
      </c>
      <c r="C2009" s="25">
        <v>2024</v>
      </c>
      <c r="L2009" s="49">
        <f t="shared" si="102"/>
        <v>279000</v>
      </c>
    </row>
    <row r="2010" spans="2:12" x14ac:dyDescent="0.25">
      <c r="B2010" s="25">
        <v>7</v>
      </c>
      <c r="C2010" s="25">
        <v>2024</v>
      </c>
      <c r="L2010" s="49">
        <f t="shared" si="102"/>
        <v>279000</v>
      </c>
    </row>
    <row r="2011" spans="2:12" x14ac:dyDescent="0.25">
      <c r="B2011" s="25">
        <v>7</v>
      </c>
      <c r="C2011" s="25">
        <v>2024</v>
      </c>
      <c r="L2011" s="49">
        <f t="shared" si="102"/>
        <v>279000</v>
      </c>
    </row>
    <row r="2012" spans="2:12" x14ac:dyDescent="0.25">
      <c r="B2012" s="25">
        <v>7</v>
      </c>
      <c r="C2012" s="25">
        <v>2024</v>
      </c>
      <c r="L2012" s="49">
        <f t="shared" si="102"/>
        <v>279000</v>
      </c>
    </row>
    <row r="2013" spans="2:12" x14ac:dyDescent="0.25">
      <c r="B2013" s="25">
        <v>7</v>
      </c>
      <c r="C2013" s="25">
        <v>2024</v>
      </c>
      <c r="L2013" s="49">
        <f t="shared" si="102"/>
        <v>279000</v>
      </c>
    </row>
    <row r="2014" spans="2:12" x14ac:dyDescent="0.25">
      <c r="B2014" s="25">
        <v>7</v>
      </c>
      <c r="C2014" s="25">
        <v>2024</v>
      </c>
      <c r="L2014" s="49">
        <f t="shared" si="102"/>
        <v>279000</v>
      </c>
    </row>
    <row r="2015" spans="2:12" x14ac:dyDescent="0.25">
      <c r="B2015" s="25">
        <v>7</v>
      </c>
      <c r="C2015" s="25">
        <v>2024</v>
      </c>
      <c r="L2015" s="49">
        <f t="shared" si="102"/>
        <v>279000</v>
      </c>
    </row>
    <row r="2016" spans="2:12" x14ac:dyDescent="0.25">
      <c r="B2016" s="25">
        <v>7</v>
      </c>
      <c r="C2016" s="25">
        <v>2024</v>
      </c>
      <c r="L2016" s="49">
        <f t="shared" si="102"/>
        <v>279000</v>
      </c>
    </row>
    <row r="2017" spans="2:12" x14ac:dyDescent="0.25">
      <c r="B2017" s="25">
        <v>7</v>
      </c>
      <c r="C2017" s="25">
        <v>2024</v>
      </c>
      <c r="L2017" s="49">
        <f t="shared" si="102"/>
        <v>279000</v>
      </c>
    </row>
    <row r="2018" spans="2:12" x14ac:dyDescent="0.25">
      <c r="B2018" s="25">
        <v>7</v>
      </c>
      <c r="C2018" s="25">
        <v>2024</v>
      </c>
      <c r="L2018" s="49">
        <f t="shared" si="102"/>
        <v>279000</v>
      </c>
    </row>
    <row r="2019" spans="2:12" x14ac:dyDescent="0.25">
      <c r="B2019" s="25">
        <v>7</v>
      </c>
      <c r="C2019" s="25">
        <v>2024</v>
      </c>
      <c r="L2019" s="49">
        <f t="shared" si="102"/>
        <v>279000</v>
      </c>
    </row>
    <row r="2020" spans="2:12" x14ac:dyDescent="0.25">
      <c r="B2020" s="25">
        <v>7</v>
      </c>
      <c r="C2020" s="25">
        <v>2024</v>
      </c>
      <c r="L2020" s="49">
        <f t="shared" si="102"/>
        <v>279000</v>
      </c>
    </row>
    <row r="2021" spans="2:12" x14ac:dyDescent="0.25">
      <c r="B2021" s="25">
        <v>7</v>
      </c>
      <c r="C2021" s="25">
        <v>2024</v>
      </c>
      <c r="L2021" s="49">
        <f t="shared" si="102"/>
        <v>279000</v>
      </c>
    </row>
    <row r="2022" spans="2:12" x14ac:dyDescent="0.25">
      <c r="B2022" s="25">
        <v>7</v>
      </c>
      <c r="C2022" s="25">
        <v>2024</v>
      </c>
      <c r="L2022" s="49">
        <f t="shared" si="102"/>
        <v>279000</v>
      </c>
    </row>
    <row r="2023" spans="2:12" x14ac:dyDescent="0.25">
      <c r="B2023" s="25">
        <v>7</v>
      </c>
      <c r="C2023" s="25">
        <v>2024</v>
      </c>
      <c r="L2023" s="49">
        <f t="shared" si="102"/>
        <v>279000</v>
      </c>
    </row>
    <row r="2024" spans="2:12" x14ac:dyDescent="0.25">
      <c r="B2024" s="25">
        <v>7</v>
      </c>
      <c r="C2024" s="25">
        <v>2024</v>
      </c>
      <c r="L2024" s="49">
        <f t="shared" si="102"/>
        <v>279000</v>
      </c>
    </row>
    <row r="2025" spans="2:12" x14ac:dyDescent="0.25">
      <c r="B2025" s="25">
        <v>7</v>
      </c>
      <c r="C2025" s="25">
        <v>2024</v>
      </c>
      <c r="L2025" s="49">
        <f t="shared" si="102"/>
        <v>279000</v>
      </c>
    </row>
    <row r="2026" spans="2:12" x14ac:dyDescent="0.25">
      <c r="B2026" s="25">
        <v>7</v>
      </c>
      <c r="C2026" s="25">
        <v>2024</v>
      </c>
      <c r="L2026" s="49">
        <f t="shared" si="102"/>
        <v>279000</v>
      </c>
    </row>
    <row r="2027" spans="2:12" x14ac:dyDescent="0.25">
      <c r="B2027" s="25">
        <v>7</v>
      </c>
      <c r="C2027" s="25">
        <v>2024</v>
      </c>
      <c r="L2027" s="49">
        <f t="shared" si="102"/>
        <v>279000</v>
      </c>
    </row>
    <row r="2028" spans="2:12" x14ac:dyDescent="0.25">
      <c r="B2028" s="25">
        <v>7</v>
      </c>
      <c r="C2028" s="25">
        <v>2024</v>
      </c>
      <c r="L2028" s="49">
        <f t="shared" si="102"/>
        <v>279000</v>
      </c>
    </row>
    <row r="2029" spans="2:12" x14ac:dyDescent="0.25">
      <c r="B2029" s="25">
        <v>7</v>
      </c>
      <c r="C2029" s="25">
        <v>2024</v>
      </c>
      <c r="L2029" s="49">
        <f t="shared" si="102"/>
        <v>279000</v>
      </c>
    </row>
    <row r="2030" spans="2:12" x14ac:dyDescent="0.25">
      <c r="B2030" s="25">
        <v>7</v>
      </c>
      <c r="C2030" s="25">
        <v>2024</v>
      </c>
      <c r="L2030" s="49">
        <f t="shared" si="102"/>
        <v>279000</v>
      </c>
    </row>
    <row r="2031" spans="2:12" x14ac:dyDescent="0.25">
      <c r="B2031" s="25">
        <v>7</v>
      </c>
      <c r="C2031" s="25">
        <v>2024</v>
      </c>
      <c r="L2031" s="49">
        <f t="shared" si="102"/>
        <v>279000</v>
      </c>
    </row>
    <row r="2032" spans="2:12" x14ac:dyDescent="0.25">
      <c r="B2032" s="25">
        <v>7</v>
      </c>
      <c r="C2032" s="25">
        <v>2024</v>
      </c>
      <c r="L2032" s="49">
        <f t="shared" si="102"/>
        <v>279000</v>
      </c>
    </row>
    <row r="2033" spans="2:12" x14ac:dyDescent="0.25">
      <c r="B2033" s="25">
        <v>7</v>
      </c>
      <c r="C2033" s="25">
        <v>2024</v>
      </c>
      <c r="L2033" s="49">
        <f t="shared" si="102"/>
        <v>279000</v>
      </c>
    </row>
    <row r="2034" spans="2:12" x14ac:dyDescent="0.25">
      <c r="B2034" s="25">
        <v>7</v>
      </c>
      <c r="C2034" s="25">
        <v>2024</v>
      </c>
      <c r="L2034" s="49">
        <f t="shared" si="102"/>
        <v>279000</v>
      </c>
    </row>
    <row r="2035" spans="2:12" x14ac:dyDescent="0.25">
      <c r="B2035" s="25">
        <v>7</v>
      </c>
      <c r="C2035" s="25">
        <v>2024</v>
      </c>
      <c r="L2035" s="49">
        <f t="shared" si="102"/>
        <v>279000</v>
      </c>
    </row>
    <row r="2036" spans="2:12" x14ac:dyDescent="0.25">
      <c r="B2036" s="25">
        <v>7</v>
      </c>
      <c r="C2036" s="25">
        <v>2024</v>
      </c>
      <c r="L2036" s="49">
        <f t="shared" si="102"/>
        <v>279000</v>
      </c>
    </row>
    <row r="2037" spans="2:12" x14ac:dyDescent="0.25">
      <c r="B2037" s="25">
        <v>7</v>
      </c>
      <c r="C2037" s="25">
        <v>2024</v>
      </c>
      <c r="L2037" s="49">
        <f t="shared" si="102"/>
        <v>279000</v>
      </c>
    </row>
    <row r="2038" spans="2:12" x14ac:dyDescent="0.25">
      <c r="B2038" s="25">
        <v>7</v>
      </c>
      <c r="C2038" s="25">
        <v>2024</v>
      </c>
      <c r="L2038" s="49">
        <f t="shared" si="102"/>
        <v>279000</v>
      </c>
    </row>
    <row r="2039" spans="2:12" x14ac:dyDescent="0.25">
      <c r="B2039" s="25">
        <v>7</v>
      </c>
      <c r="C2039" s="25">
        <v>2024</v>
      </c>
      <c r="L2039" s="49">
        <f t="shared" si="102"/>
        <v>279000</v>
      </c>
    </row>
    <row r="2040" spans="2:12" x14ac:dyDescent="0.25">
      <c r="B2040" s="25">
        <v>7</v>
      </c>
      <c r="C2040" s="25">
        <v>2024</v>
      </c>
      <c r="L2040" s="49">
        <f t="shared" si="102"/>
        <v>279000</v>
      </c>
    </row>
    <row r="2041" spans="2:12" x14ac:dyDescent="0.25">
      <c r="B2041" s="25">
        <v>7</v>
      </c>
      <c r="C2041" s="25">
        <v>2024</v>
      </c>
      <c r="L2041" s="49">
        <f t="shared" si="102"/>
        <v>279000</v>
      </c>
    </row>
    <row r="2042" spans="2:12" x14ac:dyDescent="0.25">
      <c r="B2042" s="25">
        <v>7</v>
      </c>
      <c r="C2042" s="25">
        <v>2024</v>
      </c>
      <c r="L2042" s="49">
        <f t="shared" si="102"/>
        <v>279000</v>
      </c>
    </row>
    <row r="2043" spans="2:12" x14ac:dyDescent="0.25">
      <c r="B2043" s="25">
        <v>7</v>
      </c>
      <c r="C2043" s="25">
        <v>2024</v>
      </c>
      <c r="L2043" s="49">
        <f t="shared" si="102"/>
        <v>279000</v>
      </c>
    </row>
    <row r="2044" spans="2:12" x14ac:dyDescent="0.25">
      <c r="B2044" s="25">
        <v>7</v>
      </c>
      <c r="C2044" s="25">
        <v>2024</v>
      </c>
      <c r="L2044" s="49">
        <f t="shared" si="102"/>
        <v>279000</v>
      </c>
    </row>
    <row r="2045" spans="2:12" x14ac:dyDescent="0.25">
      <c r="B2045" s="25">
        <v>7</v>
      </c>
      <c r="C2045" s="25">
        <v>2024</v>
      </c>
      <c r="L2045" s="49">
        <f t="shared" si="102"/>
        <v>279000</v>
      </c>
    </row>
    <row r="2046" spans="2:12" x14ac:dyDescent="0.25">
      <c r="B2046" s="25">
        <v>7</v>
      </c>
      <c r="C2046" s="25">
        <v>2024</v>
      </c>
      <c r="L2046" s="49">
        <f t="shared" si="102"/>
        <v>279000</v>
      </c>
    </row>
    <row r="2047" spans="2:12" x14ac:dyDescent="0.25">
      <c r="B2047" s="25">
        <v>7</v>
      </c>
      <c r="C2047" s="25">
        <v>2024</v>
      </c>
      <c r="L2047" s="49">
        <f t="shared" si="102"/>
        <v>279000</v>
      </c>
    </row>
    <row r="2048" spans="2:12" x14ac:dyDescent="0.25">
      <c r="B2048" s="25">
        <v>7</v>
      </c>
      <c r="C2048" s="25">
        <v>2024</v>
      </c>
      <c r="L2048" s="49">
        <f t="shared" si="102"/>
        <v>279000</v>
      </c>
    </row>
    <row r="2049" spans="2:12" x14ac:dyDescent="0.25">
      <c r="B2049" s="25">
        <v>7</v>
      </c>
      <c r="C2049" s="25">
        <v>2024</v>
      </c>
      <c r="L2049" s="49">
        <f t="shared" si="102"/>
        <v>279000</v>
      </c>
    </row>
    <row r="2050" spans="2:12" x14ac:dyDescent="0.25">
      <c r="B2050" s="25">
        <v>7</v>
      </c>
      <c r="C2050" s="25">
        <v>2024</v>
      </c>
      <c r="L2050" s="49">
        <f t="shared" si="102"/>
        <v>279000</v>
      </c>
    </row>
    <row r="2051" spans="2:12" x14ac:dyDescent="0.25">
      <c r="B2051" s="25">
        <v>7</v>
      </c>
      <c r="C2051" s="25">
        <v>2024</v>
      </c>
      <c r="L2051" s="49">
        <f t="shared" si="102"/>
        <v>279000</v>
      </c>
    </row>
    <row r="2052" spans="2:12" x14ac:dyDescent="0.25">
      <c r="B2052" s="25">
        <v>7</v>
      </c>
      <c r="C2052" s="25">
        <v>2024</v>
      </c>
      <c r="L2052" s="49">
        <f t="shared" ref="L2052:L2060" si="103">IF((L2051+M2051+J2052-K2052)&gt;0,(L2051+M2051+J2052-K2052),0)</f>
        <v>279000</v>
      </c>
    </row>
    <row r="2053" spans="2:12" x14ac:dyDescent="0.25">
      <c r="B2053" s="25">
        <v>7</v>
      </c>
      <c r="C2053" s="25">
        <v>2024</v>
      </c>
      <c r="L2053" s="49">
        <f t="shared" si="103"/>
        <v>279000</v>
      </c>
    </row>
    <row r="2054" spans="2:12" x14ac:dyDescent="0.25">
      <c r="B2054" s="25">
        <v>7</v>
      </c>
      <c r="C2054" s="25">
        <v>2024</v>
      </c>
      <c r="L2054" s="49">
        <f t="shared" si="103"/>
        <v>279000</v>
      </c>
    </row>
    <row r="2055" spans="2:12" x14ac:dyDescent="0.25">
      <c r="B2055" s="25">
        <v>7</v>
      </c>
      <c r="C2055" s="25">
        <v>2024</v>
      </c>
      <c r="L2055" s="49">
        <f t="shared" si="103"/>
        <v>279000</v>
      </c>
    </row>
    <row r="2056" spans="2:12" x14ac:dyDescent="0.25">
      <c r="B2056" s="25">
        <v>7</v>
      </c>
      <c r="C2056" s="25">
        <v>2024</v>
      </c>
      <c r="L2056" s="49">
        <f t="shared" si="103"/>
        <v>279000</v>
      </c>
    </row>
    <row r="2057" spans="2:12" x14ac:dyDescent="0.25">
      <c r="B2057" s="25">
        <v>7</v>
      </c>
      <c r="C2057" s="25">
        <v>2024</v>
      </c>
      <c r="L2057" s="49">
        <f t="shared" si="103"/>
        <v>279000</v>
      </c>
    </row>
    <row r="2058" spans="2:12" x14ac:dyDescent="0.25">
      <c r="B2058" s="25">
        <v>7</v>
      </c>
      <c r="C2058" s="25">
        <v>2024</v>
      </c>
      <c r="L2058" s="49">
        <f t="shared" si="103"/>
        <v>279000</v>
      </c>
    </row>
    <row r="2059" spans="2:12" x14ac:dyDescent="0.25">
      <c r="B2059" s="25">
        <v>7</v>
      </c>
      <c r="C2059" s="25">
        <v>2024</v>
      </c>
      <c r="L2059" s="49">
        <f t="shared" si="103"/>
        <v>279000</v>
      </c>
    </row>
    <row r="2060" spans="2:12" x14ac:dyDescent="0.25">
      <c r="B2060" s="25">
        <v>7</v>
      </c>
      <c r="C2060" s="25">
        <v>2024</v>
      </c>
      <c r="L2060" s="49">
        <f t="shared" si="103"/>
        <v>279000</v>
      </c>
    </row>
    <row r="2061" spans="2:12" x14ac:dyDescent="0.25">
      <c r="B2061" s="25">
        <v>7</v>
      </c>
      <c r="C2061" s="25">
        <v>2024</v>
      </c>
    </row>
    <row r="2062" spans="2:12" x14ac:dyDescent="0.25">
      <c r="B2062" s="25">
        <v>7</v>
      </c>
      <c r="C2062" s="25">
        <v>2024</v>
      </c>
    </row>
  </sheetData>
  <autoFilter ref="A2:S2062"/>
  <sortState ref="A4:P2396">
    <sortCondition ref="A1338"/>
  </sortState>
  <dataValidations count="5">
    <dataValidation type="list" allowBlank="1" showInputMessage="1" showErrorMessage="1" sqref="E1:E1048576">
      <formula1>$R$3:$R$6</formula1>
    </dataValidation>
    <dataValidation type="list" allowBlank="1" showInputMessage="1" showErrorMessage="1" sqref="F883 F759 F684 F560 F407 F246">
      <formula1>$S$3:$S$20</formula1>
    </dataValidation>
    <dataValidation type="list" allowBlank="1" showInputMessage="1" showErrorMessage="1" sqref="D1:D1048576">
      <formula1>$Q$3:$Q$28</formula1>
    </dataValidation>
    <dataValidation type="list" allowBlank="1" showInputMessage="1" showErrorMessage="1" sqref="G1:G1048576">
      <formula1>$S$3:$S$22</formula1>
    </dataValidation>
    <dataValidation type="list" allowBlank="1" showInputMessage="1" showErrorMessage="1" sqref="H1:I1048576">
      <formula1>$S$3:$S$52</formula1>
    </dataValidation>
  </dataValidations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zoomScaleNormal="100" workbookViewId="0">
      <selection activeCell="B30" sqref="B30"/>
    </sheetView>
  </sheetViews>
  <sheetFormatPr baseColWidth="10" defaultRowHeight="15" x14ac:dyDescent="0.25"/>
  <cols>
    <col min="1" max="1" width="20" customWidth="1"/>
    <col min="2" max="2" width="24" bestFit="1" customWidth="1"/>
    <col min="3" max="4" width="11.42578125" customWidth="1"/>
  </cols>
  <sheetData>
    <row r="1" spans="1:2" ht="18.75" customHeight="1" x14ac:dyDescent="0.25"/>
    <row r="2" spans="1:2" x14ac:dyDescent="0.25">
      <c r="A2" s="133" t="s">
        <v>91</v>
      </c>
      <c r="B2" s="18" t="s">
        <v>92</v>
      </c>
    </row>
    <row r="3" spans="1:2" x14ac:dyDescent="0.25">
      <c r="A3" s="5" t="s">
        <v>14</v>
      </c>
      <c r="B3" t="s">
        <v>1031</v>
      </c>
    </row>
    <row r="5" spans="1:2" x14ac:dyDescent="0.25">
      <c r="A5" s="132" t="s">
        <v>647</v>
      </c>
      <c r="B5" s="67" t="s">
        <v>648</v>
      </c>
    </row>
    <row r="6" spans="1:2" x14ac:dyDescent="0.25">
      <c r="A6" s="123">
        <v>9</v>
      </c>
      <c r="B6" s="157">
        <v>4034579.97</v>
      </c>
    </row>
    <row r="7" spans="1:2" x14ac:dyDescent="0.25">
      <c r="A7" s="123">
        <v>8</v>
      </c>
      <c r="B7" s="157">
        <v>5330103.3999999994</v>
      </c>
    </row>
    <row r="8" spans="1:2" x14ac:dyDescent="0.25">
      <c r="A8" s="123">
        <v>10</v>
      </c>
      <c r="B8" s="157">
        <v>5431354.7000000002</v>
      </c>
    </row>
    <row r="9" spans="1:2" x14ac:dyDescent="0.25">
      <c r="A9" s="123">
        <v>11</v>
      </c>
      <c r="B9" s="157">
        <v>4648613.7</v>
      </c>
    </row>
    <row r="10" spans="1:2" x14ac:dyDescent="0.25">
      <c r="A10" s="123">
        <v>1</v>
      </c>
      <c r="B10" s="157">
        <v>2703737.33</v>
      </c>
    </row>
    <row r="11" spans="1:2" x14ac:dyDescent="0.25">
      <c r="A11" s="123">
        <v>2</v>
      </c>
      <c r="B11" s="157">
        <v>1363366.4300000002</v>
      </c>
    </row>
    <row r="12" spans="1:2" x14ac:dyDescent="0.25">
      <c r="A12" s="123">
        <v>3</v>
      </c>
      <c r="B12" s="157">
        <v>2019494.6900000004</v>
      </c>
    </row>
    <row r="13" spans="1:2" x14ac:dyDescent="0.25">
      <c r="A13" s="123">
        <v>4</v>
      </c>
      <c r="B13" s="157">
        <v>2283356.5499999998</v>
      </c>
    </row>
    <row r="14" spans="1:2" x14ac:dyDescent="0.25">
      <c r="A14" s="123">
        <v>5</v>
      </c>
      <c r="B14" s="157">
        <v>1623467.78</v>
      </c>
    </row>
    <row r="15" spans="1:2" x14ac:dyDescent="0.25">
      <c r="A15" s="123">
        <v>6</v>
      </c>
      <c r="B15" s="157">
        <v>2329229.5999999992</v>
      </c>
    </row>
    <row r="16" spans="1:2" x14ac:dyDescent="0.25">
      <c r="A16" s="123">
        <v>7</v>
      </c>
      <c r="B16" s="157">
        <v>3337950.79</v>
      </c>
    </row>
    <row r="17" spans="1:2" x14ac:dyDescent="0.25">
      <c r="A17" s="1" t="s">
        <v>15</v>
      </c>
      <c r="B17" s="157">
        <v>35105254.940000005</v>
      </c>
    </row>
    <row r="18" spans="1:2" ht="15.75" customHeight="1" x14ac:dyDescent="0.25"/>
    <row r="19" spans="1:2" ht="16.5" customHeight="1" x14ac:dyDescent="0.25"/>
  </sheetData>
  <pageMargins left="0.7" right="0.7" top="0.75" bottom="0.75" header="0.3" footer="0.3"/>
  <pageSetup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4"/>
  <sheetViews>
    <sheetView workbookViewId="0">
      <selection activeCell="G15" sqref="G15:J22"/>
    </sheetView>
  </sheetViews>
  <sheetFormatPr baseColWidth="10" defaultRowHeight="15" x14ac:dyDescent="0.25"/>
  <cols>
    <col min="1" max="1" width="20" customWidth="1"/>
    <col min="2" max="2" width="10" customWidth="1"/>
    <col min="3" max="3" width="8" customWidth="1"/>
    <col min="4" max="6" width="7.42578125" customWidth="1"/>
    <col min="7" max="7" width="12.28515625" customWidth="1"/>
    <col min="8" max="8" width="8" customWidth="1"/>
    <col min="9" max="9" width="23.42578125" customWidth="1"/>
    <col min="10" max="10" width="12.28515625" customWidth="1"/>
    <col min="11" max="11" width="24.140625" customWidth="1"/>
    <col min="12" max="12" width="23.28515625" customWidth="1"/>
    <col min="13" max="13" width="18.7109375" customWidth="1"/>
    <col min="14" max="14" width="18.140625" customWidth="1"/>
    <col min="15" max="15" width="20.140625" customWidth="1"/>
    <col min="16" max="16" width="24.42578125" customWidth="1"/>
    <col min="17" max="17" width="18.7109375" customWidth="1"/>
    <col min="18" max="18" width="18.140625" customWidth="1"/>
    <col min="19" max="19" width="20.140625" customWidth="1"/>
    <col min="20" max="20" width="24.42578125" customWidth="1"/>
    <col min="21" max="21" width="18.7109375" customWidth="1"/>
    <col min="22" max="22" width="18.140625" customWidth="1"/>
    <col min="23" max="23" width="20.140625" customWidth="1"/>
    <col min="24" max="24" width="24.42578125" customWidth="1"/>
    <col min="25" max="25" width="18.7109375" customWidth="1"/>
    <col min="26" max="26" width="18.140625" customWidth="1"/>
    <col min="27" max="27" width="20.140625" customWidth="1"/>
    <col min="28" max="28" width="24.42578125" customWidth="1"/>
    <col min="29" max="29" width="18.7109375" customWidth="1"/>
    <col min="30" max="30" width="18.140625" customWidth="1"/>
    <col min="31" max="31" width="20.140625" customWidth="1"/>
    <col min="32" max="32" width="24.42578125" customWidth="1"/>
    <col min="33" max="33" width="18.7109375" customWidth="1"/>
    <col min="34" max="34" width="18.140625" customWidth="1"/>
    <col min="35" max="35" width="20.140625" customWidth="1"/>
    <col min="36" max="36" width="24.42578125" customWidth="1"/>
  </cols>
  <sheetData>
    <row r="3" spans="1:10" x14ac:dyDescent="0.25">
      <c r="A3" s="5" t="s">
        <v>38</v>
      </c>
      <c r="B3" t="s">
        <v>53</v>
      </c>
      <c r="E3" s="19">
        <f>2400000/12</f>
        <v>200000</v>
      </c>
    </row>
    <row r="5" spans="1:10" ht="15.75" thickBot="1" x14ac:dyDescent="0.3">
      <c r="A5" s="5" t="s">
        <v>16</v>
      </c>
      <c r="B5" t="s">
        <v>58</v>
      </c>
    </row>
    <row r="6" spans="1:10" x14ac:dyDescent="0.25">
      <c r="A6" s="1" t="s">
        <v>39</v>
      </c>
      <c r="B6" s="12">
        <v>2387026.77</v>
      </c>
      <c r="C6" s="29" t="s">
        <v>76</v>
      </c>
      <c r="D6" s="29" t="s">
        <v>77</v>
      </c>
      <c r="G6" s="198">
        <v>8.2000000000000003E-2</v>
      </c>
      <c r="H6" s="42">
        <v>1.2</v>
      </c>
      <c r="I6" s="43" t="s">
        <v>78</v>
      </c>
      <c r="J6" s="195">
        <v>0.85</v>
      </c>
    </row>
    <row r="7" spans="1:10" x14ac:dyDescent="0.25">
      <c r="A7" s="6" t="s">
        <v>41</v>
      </c>
      <c r="B7" s="12">
        <v>452108.34999999992</v>
      </c>
      <c r="C7" s="35">
        <f>B7/$B$6</f>
        <v>0.18940229564329517</v>
      </c>
      <c r="D7" s="36">
        <f>B7/$B$16</f>
        <v>0.16003945584687299</v>
      </c>
      <c r="G7" s="199"/>
      <c r="H7" s="40">
        <v>2.2599999999999998</v>
      </c>
      <c r="I7" s="41" t="s">
        <v>80</v>
      </c>
      <c r="J7" s="196"/>
    </row>
    <row r="8" spans="1:10" x14ac:dyDescent="0.25">
      <c r="A8" s="6" t="s">
        <v>51</v>
      </c>
      <c r="B8" s="12">
        <v>92120</v>
      </c>
      <c r="C8" s="35">
        <f t="shared" ref="C8:C15" si="0">B8/$B$6</f>
        <v>3.8591942561247441E-2</v>
      </c>
      <c r="D8" s="36">
        <f t="shared" ref="D8:D15" si="1">B8/$B$16</f>
        <v>3.2609074069554218E-2</v>
      </c>
      <c r="G8" s="199"/>
      <c r="H8" s="40">
        <v>0.34</v>
      </c>
      <c r="I8" s="41" t="s">
        <v>79</v>
      </c>
      <c r="J8" s="196"/>
    </row>
    <row r="9" spans="1:10" x14ac:dyDescent="0.25">
      <c r="A9" s="6" t="s">
        <v>40</v>
      </c>
      <c r="B9" s="12">
        <v>82164.97</v>
      </c>
      <c r="C9" s="35">
        <f t="shared" si="0"/>
        <v>3.442146985222122E-2</v>
      </c>
      <c r="D9" s="36">
        <f t="shared" si="1"/>
        <v>2.9085145382682372E-2</v>
      </c>
      <c r="G9" s="199"/>
      <c r="H9" s="40">
        <v>3.9</v>
      </c>
      <c r="I9" s="41" t="s">
        <v>5</v>
      </c>
      <c r="J9" s="196"/>
    </row>
    <row r="10" spans="1:10" ht="15.75" thickBot="1" x14ac:dyDescent="0.3">
      <c r="A10" s="6" t="s">
        <v>55</v>
      </c>
      <c r="B10" s="12">
        <v>330039.08999999997</v>
      </c>
      <c r="C10" s="35">
        <f t="shared" si="0"/>
        <v>0.13826367351548385</v>
      </c>
      <c r="D10" s="36">
        <f t="shared" si="1"/>
        <v>0.11682880082130123</v>
      </c>
      <c r="G10" s="200"/>
      <c r="H10" s="44">
        <v>0.3</v>
      </c>
      <c r="I10" s="45" t="s">
        <v>52</v>
      </c>
      <c r="J10" s="197"/>
    </row>
    <row r="11" spans="1:10" x14ac:dyDescent="0.25">
      <c r="A11" s="6" t="s">
        <v>34</v>
      </c>
      <c r="B11" s="12">
        <v>122288.53000000001</v>
      </c>
      <c r="C11" s="35">
        <f t="shared" si="0"/>
        <v>5.1230481173028489E-2</v>
      </c>
      <c r="D11" s="36">
        <f t="shared" si="1"/>
        <v>4.3288273259084922E-2</v>
      </c>
      <c r="G11" s="198">
        <v>1.6E-2</v>
      </c>
      <c r="H11" s="43">
        <v>0.9</v>
      </c>
      <c r="I11" s="43" t="s">
        <v>81</v>
      </c>
      <c r="J11" s="195">
        <v>0.15</v>
      </c>
    </row>
    <row r="12" spans="1:10" ht="15.75" thickBot="1" x14ac:dyDescent="0.3">
      <c r="A12" s="6" t="s">
        <v>1</v>
      </c>
      <c r="B12" s="12">
        <v>101008.73999999999</v>
      </c>
      <c r="C12" s="35">
        <f t="shared" si="0"/>
        <v>4.2315713116196009E-2</v>
      </c>
      <c r="D12" s="36">
        <f t="shared" si="1"/>
        <v>3.5755552370086228E-2</v>
      </c>
      <c r="G12" s="200"/>
      <c r="H12" s="45">
        <v>0.6</v>
      </c>
      <c r="I12" s="45" t="s">
        <v>82</v>
      </c>
      <c r="J12" s="197"/>
    </row>
    <row r="13" spans="1:10" x14ac:dyDescent="0.25">
      <c r="A13" s="6" t="s">
        <v>56</v>
      </c>
      <c r="B13" s="12">
        <v>13300</v>
      </c>
      <c r="C13" s="35">
        <f t="shared" si="0"/>
        <v>5.5717850202408915E-3</v>
      </c>
      <c r="D13" s="36">
        <f t="shared" si="1"/>
        <v>4.7079970161210492E-3</v>
      </c>
      <c r="G13" s="39"/>
      <c r="H13" s="39"/>
      <c r="I13" s="39"/>
      <c r="J13" s="39"/>
    </row>
    <row r="14" spans="1:10" x14ac:dyDescent="0.25">
      <c r="A14" s="6" t="s">
        <v>54</v>
      </c>
      <c r="B14" s="12">
        <v>38790.92</v>
      </c>
      <c r="C14" s="35">
        <f t="shared" si="0"/>
        <v>1.6250726840403219E-2</v>
      </c>
      <c r="D14" s="36">
        <f t="shared" si="1"/>
        <v>1.373139365508198E-2</v>
      </c>
      <c r="G14" s="39"/>
      <c r="H14" s="39"/>
      <c r="I14" s="39"/>
      <c r="J14" s="39"/>
    </row>
    <row r="15" spans="1:10" ht="15" customHeight="1" x14ac:dyDescent="0.25">
      <c r="A15" s="6" t="s">
        <v>5</v>
      </c>
      <c r="B15" s="12">
        <v>1155206.17</v>
      </c>
      <c r="C15" s="35">
        <f t="shared" si="0"/>
        <v>0.48395191227788364</v>
      </c>
      <c r="D15" s="36">
        <f t="shared" si="1"/>
        <v>0.40892535348606207</v>
      </c>
      <c r="E15" s="30"/>
      <c r="G15" s="201" t="s">
        <v>83</v>
      </c>
      <c r="H15" s="201"/>
      <c r="I15" s="201"/>
      <c r="J15" s="201"/>
    </row>
    <row r="16" spans="1:10" x14ac:dyDescent="0.25">
      <c r="A16" s="1" t="s">
        <v>44</v>
      </c>
      <c r="B16" s="12">
        <v>2824980.55</v>
      </c>
      <c r="C16" s="2"/>
      <c r="D16" s="2"/>
      <c r="G16" s="201"/>
      <c r="H16" s="201"/>
      <c r="I16" s="201"/>
      <c r="J16" s="201"/>
    </row>
    <row r="17" spans="1:11" x14ac:dyDescent="0.25">
      <c r="A17" s="6" t="s">
        <v>0</v>
      </c>
      <c r="B17" s="12">
        <v>94800</v>
      </c>
      <c r="C17" s="37">
        <f>B17/$B$16</f>
        <v>3.3557753167539513E-2</v>
      </c>
      <c r="D17" s="2"/>
      <c r="G17" s="201"/>
      <c r="H17" s="201"/>
      <c r="I17" s="201"/>
      <c r="J17" s="201"/>
    </row>
    <row r="18" spans="1:11" x14ac:dyDescent="0.25">
      <c r="A18" s="6" t="s">
        <v>42</v>
      </c>
      <c r="B18" s="12">
        <v>441059</v>
      </c>
      <c r="C18" s="37">
        <f>B18/$B$16</f>
        <v>0.15612815458145368</v>
      </c>
      <c r="D18" s="2"/>
      <c r="G18" s="201"/>
      <c r="H18" s="201"/>
      <c r="I18" s="201"/>
      <c r="J18" s="201"/>
    </row>
    <row r="19" spans="1:11" x14ac:dyDescent="0.25">
      <c r="A19" s="6" t="s">
        <v>43</v>
      </c>
      <c r="B19" s="12">
        <v>2289121.5499999998</v>
      </c>
      <c r="C19" s="37">
        <f>B19/$B$16</f>
        <v>0.81031409225100681</v>
      </c>
      <c r="D19" s="38"/>
      <c r="G19" s="201"/>
      <c r="H19" s="201"/>
      <c r="I19" s="201"/>
      <c r="J19" s="201"/>
    </row>
    <row r="20" spans="1:11" x14ac:dyDescent="0.25">
      <c r="A20" s="1" t="s">
        <v>15</v>
      </c>
      <c r="B20" s="12">
        <v>5212007.3199999984</v>
      </c>
      <c r="G20" s="201"/>
      <c r="H20" s="201"/>
      <c r="I20" s="201"/>
      <c r="J20" s="201"/>
    </row>
    <row r="21" spans="1:11" x14ac:dyDescent="0.25">
      <c r="G21" s="201"/>
      <c r="H21" s="201"/>
      <c r="I21" s="201"/>
      <c r="J21" s="201"/>
    </row>
    <row r="22" spans="1:11" x14ac:dyDescent="0.25">
      <c r="E22" s="30"/>
      <c r="G22" s="201"/>
      <c r="H22" s="201"/>
      <c r="I22" s="201"/>
      <c r="J22" s="201"/>
    </row>
    <row r="23" spans="1:11" x14ac:dyDescent="0.25">
      <c r="C23" s="30"/>
      <c r="D23" s="30"/>
      <c r="E23" s="30"/>
      <c r="F23" s="30"/>
      <c r="G23" s="30"/>
      <c r="H23" s="30"/>
      <c r="I23" s="30"/>
      <c r="J23" s="30"/>
      <c r="K23" s="30"/>
    </row>
    <row r="24" spans="1:11" x14ac:dyDescent="0.25">
      <c r="C24" s="30">
        <v>2300000</v>
      </c>
      <c r="D24" s="30">
        <v>8</v>
      </c>
      <c r="E24" s="30"/>
      <c r="F24" s="30"/>
      <c r="G24" s="202" t="s">
        <v>84</v>
      </c>
      <c r="H24" s="202"/>
      <c r="I24" s="202"/>
      <c r="J24" s="202"/>
      <c r="K24" s="30"/>
    </row>
    <row r="25" spans="1:11" x14ac:dyDescent="0.25">
      <c r="C25" s="30">
        <v>95000</v>
      </c>
      <c r="D25" s="30">
        <f>C25*D24/C24</f>
        <v>0.33043478260869563</v>
      </c>
      <c r="E25" s="30">
        <v>1.5</v>
      </c>
      <c r="G25" s="202"/>
      <c r="H25" s="202"/>
      <c r="I25" s="202"/>
      <c r="J25" s="202"/>
    </row>
    <row r="26" spans="1:11" x14ac:dyDescent="0.25">
      <c r="E26" s="30">
        <v>0.33</v>
      </c>
      <c r="G26" s="202"/>
      <c r="H26" s="202"/>
      <c r="I26" s="202"/>
      <c r="J26" s="202"/>
    </row>
    <row r="27" spans="1:11" x14ac:dyDescent="0.25">
      <c r="G27" s="202"/>
      <c r="H27" s="202"/>
      <c r="I27" s="202"/>
      <c r="J27" s="202"/>
    </row>
    <row r="28" spans="1:11" x14ac:dyDescent="0.25">
      <c r="A28" s="194" t="s">
        <v>75</v>
      </c>
      <c r="B28" s="194"/>
      <c r="C28" s="194"/>
      <c r="G28" s="202"/>
      <c r="H28" s="202"/>
      <c r="I28" s="202"/>
      <c r="J28" s="202"/>
    </row>
    <row r="29" spans="1:11" x14ac:dyDescent="0.25">
      <c r="A29" s="194"/>
      <c r="B29" s="194"/>
      <c r="C29" s="194"/>
      <c r="G29" s="202"/>
      <c r="H29" s="202"/>
      <c r="I29" s="202"/>
      <c r="J29" s="202"/>
    </row>
    <row r="30" spans="1:11" x14ac:dyDescent="0.25">
      <c r="A30" s="32" t="s">
        <v>12</v>
      </c>
      <c r="B30" s="32" t="s">
        <v>72</v>
      </c>
      <c r="C30" s="32" t="s">
        <v>73</v>
      </c>
    </row>
    <row r="31" spans="1:11" x14ac:dyDescent="0.25">
      <c r="A31" s="31" t="s">
        <v>59</v>
      </c>
      <c r="B31" s="33">
        <v>87000</v>
      </c>
      <c r="C31" s="33"/>
    </row>
    <row r="32" spans="1:11" x14ac:dyDescent="0.25">
      <c r="A32" s="31" t="s">
        <v>70</v>
      </c>
      <c r="B32" s="33"/>
      <c r="C32" s="33">
        <v>82500</v>
      </c>
    </row>
    <row r="33" spans="1:3" x14ac:dyDescent="0.25">
      <c r="A33" s="31" t="s">
        <v>69</v>
      </c>
      <c r="B33" s="33"/>
      <c r="C33" s="33">
        <v>7000</v>
      </c>
    </row>
    <row r="34" spans="1:3" x14ac:dyDescent="0.25">
      <c r="A34" s="31" t="s">
        <v>68</v>
      </c>
      <c r="B34" s="33"/>
      <c r="C34" s="33">
        <v>6000</v>
      </c>
    </row>
    <row r="35" spans="1:3" x14ac:dyDescent="0.25">
      <c r="A35" s="31" t="s">
        <v>67</v>
      </c>
      <c r="B35" s="33"/>
      <c r="C35" s="33">
        <v>1550</v>
      </c>
    </row>
    <row r="36" spans="1:3" x14ac:dyDescent="0.25">
      <c r="A36" s="31" t="s">
        <v>62</v>
      </c>
      <c r="B36" s="33"/>
      <c r="C36" s="33">
        <v>12599.93</v>
      </c>
    </row>
    <row r="37" spans="1:3" x14ac:dyDescent="0.25">
      <c r="A37" s="31" t="s">
        <v>63</v>
      </c>
      <c r="B37" s="33"/>
      <c r="C37" s="33">
        <v>2204</v>
      </c>
    </row>
    <row r="38" spans="1:3" x14ac:dyDescent="0.25">
      <c r="A38" s="31" t="s">
        <v>64</v>
      </c>
      <c r="B38" s="33"/>
      <c r="C38" s="33">
        <v>6396</v>
      </c>
    </row>
    <row r="39" spans="1:3" x14ac:dyDescent="0.25">
      <c r="A39" s="31" t="s">
        <v>65</v>
      </c>
      <c r="B39" s="33"/>
      <c r="C39" s="33">
        <v>9897.36</v>
      </c>
    </row>
    <row r="40" spans="1:3" x14ac:dyDescent="0.25">
      <c r="A40" s="31" t="s">
        <v>66</v>
      </c>
      <c r="B40" s="33"/>
      <c r="C40" s="33">
        <v>8394</v>
      </c>
    </row>
    <row r="41" spans="1:3" x14ac:dyDescent="0.25">
      <c r="A41" s="31" t="s">
        <v>61</v>
      </c>
      <c r="B41" s="33"/>
      <c r="C41" s="33">
        <v>1023.07</v>
      </c>
    </row>
    <row r="42" spans="1:3" x14ac:dyDescent="0.25">
      <c r="A42" s="31" t="s">
        <v>60</v>
      </c>
      <c r="B42" s="33"/>
      <c r="C42" s="33">
        <v>18053.2</v>
      </c>
    </row>
    <row r="43" spans="1:3" x14ac:dyDescent="0.25">
      <c r="A43" s="32" t="s">
        <v>71</v>
      </c>
      <c r="B43" s="34">
        <f>SUM(B31:B42)</f>
        <v>87000</v>
      </c>
      <c r="C43" s="34">
        <f>SUM(C31:C42)</f>
        <v>155617.56</v>
      </c>
    </row>
    <row r="44" spans="1:3" x14ac:dyDescent="0.25">
      <c r="A44" s="32" t="s">
        <v>74</v>
      </c>
      <c r="B44" s="192">
        <f>B43-C43</f>
        <v>-68617.56</v>
      </c>
      <c r="C44" s="193"/>
    </row>
    <row r="54" spans="1:6" x14ac:dyDescent="0.25">
      <c r="B54" s="5" t="s">
        <v>26</v>
      </c>
    </row>
    <row r="55" spans="1:6" x14ac:dyDescent="0.25">
      <c r="A55" s="5" t="s">
        <v>87</v>
      </c>
      <c r="B55" t="s">
        <v>45</v>
      </c>
      <c r="C55" t="s">
        <v>46</v>
      </c>
      <c r="D55" t="s">
        <v>47</v>
      </c>
      <c r="E55" t="s">
        <v>48</v>
      </c>
      <c r="F55" t="s">
        <v>49</v>
      </c>
    </row>
    <row r="56" spans="1:6" x14ac:dyDescent="0.25">
      <c r="A56" s="1" t="s">
        <v>41</v>
      </c>
      <c r="B56" s="12">
        <v>55283.44</v>
      </c>
      <c r="C56" s="12">
        <v>48533.96</v>
      </c>
      <c r="D56" s="12">
        <v>40335.89</v>
      </c>
      <c r="E56" s="12">
        <v>43719.990000000005</v>
      </c>
      <c r="F56" s="12">
        <v>48791.159999999996</v>
      </c>
    </row>
    <row r="57" spans="1:6" x14ac:dyDescent="0.25">
      <c r="A57" s="1" t="s">
        <v>51</v>
      </c>
      <c r="B57" s="12">
        <v>11600</v>
      </c>
      <c r="C57" s="12">
        <v>5200.0200000000004</v>
      </c>
      <c r="D57" s="12">
        <v>9030.01</v>
      </c>
      <c r="E57" s="12">
        <v>12090.02</v>
      </c>
      <c r="F57" s="12">
        <v>8070.02</v>
      </c>
    </row>
    <row r="58" spans="1:6" x14ac:dyDescent="0.25">
      <c r="A58" s="1" t="s">
        <v>40</v>
      </c>
      <c r="B58" s="12">
        <v>29599.629999999997</v>
      </c>
      <c r="C58" s="12">
        <v>9962.7999999999993</v>
      </c>
      <c r="D58" s="12">
        <v>7493.67</v>
      </c>
      <c r="E58" s="12">
        <v>2829</v>
      </c>
      <c r="F58" s="12">
        <v>3210.65</v>
      </c>
    </row>
    <row r="59" spans="1:6" x14ac:dyDescent="0.25">
      <c r="A59" s="1" t="s">
        <v>55</v>
      </c>
      <c r="B59" s="12">
        <v>35000</v>
      </c>
      <c r="C59" s="12">
        <v>30000</v>
      </c>
      <c r="D59" s="12">
        <v>30000</v>
      </c>
      <c r="E59" s="12">
        <v>30000</v>
      </c>
      <c r="F59" s="12">
        <v>30000</v>
      </c>
    </row>
    <row r="60" spans="1:6" x14ac:dyDescent="0.25">
      <c r="A60" s="1" t="s">
        <v>34</v>
      </c>
      <c r="B60" s="12">
        <v>12921.59</v>
      </c>
      <c r="C60" s="12">
        <v>10591.32</v>
      </c>
      <c r="D60" s="12">
        <v>10673.1</v>
      </c>
      <c r="E60" s="12">
        <v>10941.220000000001</v>
      </c>
      <c r="F60" s="12">
        <v>11585.73</v>
      </c>
    </row>
    <row r="61" spans="1:6" x14ac:dyDescent="0.25">
      <c r="A61" s="1" t="s">
        <v>56</v>
      </c>
      <c r="B61" s="12">
        <v>1200</v>
      </c>
      <c r="C61" s="12">
        <v>1200</v>
      </c>
      <c r="D61" s="12">
        <v>600</v>
      </c>
      <c r="E61" s="12">
        <v>1200</v>
      </c>
      <c r="F61" s="12">
        <v>1750.8</v>
      </c>
    </row>
    <row r="62" spans="1:6" x14ac:dyDescent="0.25">
      <c r="A62" s="1" t="s">
        <v>50</v>
      </c>
      <c r="B62" s="12">
        <v>4339.8600000000006</v>
      </c>
      <c r="C62" s="12"/>
      <c r="D62" s="12">
        <v>3736.23</v>
      </c>
      <c r="E62" s="12"/>
      <c r="F62" s="12">
        <v>644.5</v>
      </c>
    </row>
    <row r="63" spans="1:6" x14ac:dyDescent="0.25">
      <c r="A63" s="1" t="s">
        <v>5</v>
      </c>
      <c r="B63" s="12">
        <v>69368.320000000007</v>
      </c>
      <c r="C63" s="12">
        <v>214404.58000000002</v>
      </c>
      <c r="D63" s="12">
        <v>195918.20999999996</v>
      </c>
      <c r="E63" s="12">
        <v>103356.48999999999</v>
      </c>
      <c r="F63" s="12">
        <v>146023.08000000002</v>
      </c>
    </row>
    <row r="64" spans="1:6" x14ac:dyDescent="0.25">
      <c r="A64" s="1" t="s">
        <v>15</v>
      </c>
      <c r="B64" s="12">
        <v>219312.84000000003</v>
      </c>
      <c r="C64" s="12">
        <v>319892.68000000005</v>
      </c>
      <c r="D64" s="12">
        <v>297787.11</v>
      </c>
      <c r="E64" s="12">
        <v>204136.72</v>
      </c>
      <c r="F64" s="12">
        <v>250075.94</v>
      </c>
    </row>
  </sheetData>
  <mergeCells count="8">
    <mergeCell ref="B44:C44"/>
    <mergeCell ref="A28:C29"/>
    <mergeCell ref="J6:J10"/>
    <mergeCell ref="J11:J12"/>
    <mergeCell ref="G6:G10"/>
    <mergeCell ref="G11:G12"/>
    <mergeCell ref="G15:J22"/>
    <mergeCell ref="G24:J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C16" sqref="C16"/>
    </sheetView>
  </sheetViews>
  <sheetFormatPr baseColWidth="10" defaultRowHeight="15" x14ac:dyDescent="0.25"/>
  <cols>
    <col min="2" max="2" width="41" bestFit="1" customWidth="1"/>
    <col min="3" max="3" width="41" customWidth="1"/>
  </cols>
  <sheetData>
    <row r="1" spans="1:9" x14ac:dyDescent="0.25">
      <c r="A1" t="s">
        <v>57</v>
      </c>
      <c r="B1" s="29" t="s">
        <v>85</v>
      </c>
      <c r="C1" s="29" t="s">
        <v>86</v>
      </c>
      <c r="D1" s="46">
        <v>1</v>
      </c>
      <c r="E1" s="46" t="s">
        <v>36</v>
      </c>
      <c r="F1" s="46" t="s">
        <v>37</v>
      </c>
      <c r="G1" s="46">
        <v>4</v>
      </c>
      <c r="H1" s="46">
        <v>5</v>
      </c>
      <c r="I1" s="47">
        <v>6</v>
      </c>
    </row>
    <row r="2" spans="1:9" x14ac:dyDescent="0.25">
      <c r="A2" t="s">
        <v>5</v>
      </c>
      <c r="B2" s="1" t="s">
        <v>5</v>
      </c>
      <c r="C2" s="1" t="s">
        <v>39</v>
      </c>
      <c r="D2" s="12">
        <v>69368.320000000007</v>
      </c>
      <c r="E2" s="12">
        <v>108847.36</v>
      </c>
      <c r="F2" s="12">
        <v>139394.09999999998</v>
      </c>
      <c r="G2" s="12">
        <v>74097.119999999995</v>
      </c>
      <c r="H2" s="12">
        <v>77205.39</v>
      </c>
    </row>
    <row r="3" spans="1:9" x14ac:dyDescent="0.25">
      <c r="A3" t="s">
        <v>5</v>
      </c>
      <c r="B3" s="1" t="s">
        <v>6</v>
      </c>
      <c r="C3" s="1" t="s">
        <v>39</v>
      </c>
      <c r="D3" s="12"/>
      <c r="E3" s="12">
        <v>105557.22</v>
      </c>
      <c r="F3" s="12">
        <v>56524.11</v>
      </c>
      <c r="G3" s="12">
        <v>29259.37</v>
      </c>
      <c r="H3" s="12">
        <v>68817.69</v>
      </c>
    </row>
    <row r="4" spans="1:9" x14ac:dyDescent="0.25">
      <c r="A4" t="s">
        <v>41</v>
      </c>
      <c r="B4" s="1" t="s">
        <v>9</v>
      </c>
      <c r="C4" s="1" t="s">
        <v>39</v>
      </c>
      <c r="D4" s="12">
        <v>38484.97</v>
      </c>
      <c r="E4" s="12">
        <v>32276.01</v>
      </c>
      <c r="F4" s="12">
        <v>32543.08</v>
      </c>
      <c r="G4" s="12">
        <v>35102.71</v>
      </c>
      <c r="H4" s="12">
        <v>39779.21</v>
      </c>
    </row>
    <row r="5" spans="1:9" x14ac:dyDescent="0.25">
      <c r="A5" s="1" t="s">
        <v>55</v>
      </c>
      <c r="B5" s="1" t="s">
        <v>55</v>
      </c>
      <c r="C5" s="1" t="s">
        <v>39</v>
      </c>
      <c r="D5" s="12">
        <v>35000</v>
      </c>
      <c r="E5" s="12">
        <v>30000</v>
      </c>
      <c r="F5" s="12">
        <v>30000</v>
      </c>
      <c r="G5" s="12">
        <v>30000</v>
      </c>
      <c r="H5" s="12">
        <v>30000</v>
      </c>
    </row>
    <row r="6" spans="1:9" x14ac:dyDescent="0.25">
      <c r="A6" t="s">
        <v>40</v>
      </c>
      <c r="B6" s="1" t="s">
        <v>7</v>
      </c>
      <c r="C6" s="1" t="s">
        <v>39</v>
      </c>
      <c r="D6" s="12">
        <v>10000</v>
      </c>
      <c r="E6" s="12">
        <v>2350</v>
      </c>
      <c r="F6" s="12">
        <v>3200</v>
      </c>
      <c r="G6" s="12"/>
      <c r="H6" s="12"/>
    </row>
    <row r="7" spans="1:9" x14ac:dyDescent="0.25">
      <c r="A7" t="s">
        <v>34</v>
      </c>
      <c r="B7" s="1" t="s">
        <v>35</v>
      </c>
      <c r="C7" s="1" t="s">
        <v>39</v>
      </c>
      <c r="D7" s="12">
        <v>3319.46</v>
      </c>
      <c r="E7" s="12">
        <v>10591.32</v>
      </c>
      <c r="F7" s="12">
        <v>8856.69</v>
      </c>
      <c r="G7" s="12">
        <v>10941.220000000001</v>
      </c>
      <c r="H7" s="12">
        <v>7567.0599999999995</v>
      </c>
    </row>
    <row r="8" spans="1:9" x14ac:dyDescent="0.25">
      <c r="A8" t="s">
        <v>41</v>
      </c>
      <c r="B8" s="1" t="s">
        <v>10</v>
      </c>
      <c r="C8" s="1" t="s">
        <v>39</v>
      </c>
      <c r="D8" s="12">
        <v>11992.99</v>
      </c>
      <c r="E8" s="12">
        <v>11648.26</v>
      </c>
      <c r="F8" s="12">
        <v>4821.8500000000004</v>
      </c>
      <c r="G8" s="12">
        <v>5285.87</v>
      </c>
      <c r="H8" s="12">
        <v>5543.06</v>
      </c>
    </row>
    <row r="9" spans="1:9" x14ac:dyDescent="0.25">
      <c r="A9" t="s">
        <v>51</v>
      </c>
      <c r="B9" s="1" t="s">
        <v>29</v>
      </c>
      <c r="C9" s="1" t="s">
        <v>39</v>
      </c>
      <c r="D9" s="12">
        <v>7550</v>
      </c>
      <c r="E9" s="12">
        <v>300</v>
      </c>
      <c r="F9" s="12">
        <v>6300</v>
      </c>
      <c r="G9" s="12">
        <v>7600</v>
      </c>
      <c r="H9" s="12">
        <v>4900</v>
      </c>
    </row>
    <row r="10" spans="1:9" x14ac:dyDescent="0.25">
      <c r="A10" t="s">
        <v>40</v>
      </c>
      <c r="B10" s="1" t="s">
        <v>27</v>
      </c>
      <c r="C10" s="1" t="s">
        <v>39</v>
      </c>
      <c r="D10" s="12">
        <v>16335.03</v>
      </c>
      <c r="E10" s="12">
        <v>1500</v>
      </c>
      <c r="F10" s="12"/>
      <c r="G10" s="12"/>
      <c r="H10" s="12"/>
    </row>
    <row r="11" spans="1:9" x14ac:dyDescent="0.25">
      <c r="A11" t="s">
        <v>41</v>
      </c>
      <c r="B11" s="1" t="s">
        <v>8</v>
      </c>
      <c r="C11" s="1" t="s">
        <v>39</v>
      </c>
      <c r="D11" s="12">
        <v>2915.48</v>
      </c>
      <c r="E11" s="12">
        <v>2719.69</v>
      </c>
      <c r="F11" s="12">
        <v>1080.96</v>
      </c>
      <c r="G11" s="12">
        <v>1441.41</v>
      </c>
      <c r="H11" s="12">
        <v>1578.89</v>
      </c>
    </row>
    <row r="12" spans="1:9" x14ac:dyDescent="0.25">
      <c r="A12" t="s">
        <v>41</v>
      </c>
      <c r="B12" s="1" t="s">
        <v>11</v>
      </c>
      <c r="C12" s="1" t="s">
        <v>39</v>
      </c>
      <c r="D12" s="12">
        <v>1890</v>
      </c>
      <c r="E12" s="12">
        <v>1890</v>
      </c>
      <c r="F12" s="12">
        <v>1890</v>
      </c>
      <c r="G12" s="12">
        <v>1890</v>
      </c>
      <c r="H12" s="12">
        <v>1890</v>
      </c>
    </row>
    <row r="13" spans="1:9" x14ac:dyDescent="0.25">
      <c r="A13" t="s">
        <v>50</v>
      </c>
      <c r="B13" s="1" t="s">
        <v>30</v>
      </c>
      <c r="C13" s="1" t="s">
        <v>39</v>
      </c>
      <c r="D13" s="12">
        <v>3999.86</v>
      </c>
      <c r="E13" s="12"/>
      <c r="F13" s="12">
        <v>3736.23</v>
      </c>
      <c r="G13" s="12"/>
      <c r="H13" s="12"/>
    </row>
    <row r="14" spans="1:9" x14ac:dyDescent="0.25">
      <c r="A14" t="s">
        <v>40</v>
      </c>
      <c r="B14" s="1" t="s">
        <v>28</v>
      </c>
      <c r="C14" s="1" t="s">
        <v>39</v>
      </c>
      <c r="D14" s="12"/>
      <c r="E14" s="12">
        <v>800</v>
      </c>
      <c r="F14" s="12"/>
      <c r="G14" s="12"/>
      <c r="H14" s="12"/>
    </row>
    <row r="15" spans="1:9" x14ac:dyDescent="0.25">
      <c r="A15" t="s">
        <v>41</v>
      </c>
      <c r="B15" s="1" t="s">
        <v>24</v>
      </c>
      <c r="C15" s="1" t="s">
        <v>39</v>
      </c>
      <c r="D15" s="12"/>
      <c r="E15" s="12"/>
      <c r="F15" s="12">
        <v>0</v>
      </c>
      <c r="G15" s="12"/>
      <c r="H15" s="12"/>
    </row>
    <row r="16" spans="1:9" x14ac:dyDescent="0.25">
      <c r="A16" t="s">
        <v>51</v>
      </c>
      <c r="B16" s="1" t="s">
        <v>21</v>
      </c>
      <c r="C16" s="1" t="s">
        <v>39</v>
      </c>
      <c r="D16" s="3">
        <v>4050</v>
      </c>
      <c r="E16" s="3">
        <v>4900.0200000000004</v>
      </c>
      <c r="F16" s="3">
        <v>1940.01</v>
      </c>
      <c r="G16" s="3">
        <v>4490.0200000000004</v>
      </c>
      <c r="H16" s="3">
        <v>3170.02</v>
      </c>
      <c r="I16" s="3">
        <v>4240.01</v>
      </c>
    </row>
    <row r="17" spans="1:9" x14ac:dyDescent="0.25">
      <c r="A17" t="s">
        <v>34</v>
      </c>
      <c r="B17" s="1" t="s">
        <v>34</v>
      </c>
      <c r="C17" s="1" t="s">
        <v>39</v>
      </c>
      <c r="D17" s="3">
        <v>9602.130000000001</v>
      </c>
      <c r="E17" s="3"/>
      <c r="F17" s="3">
        <v>1816.41</v>
      </c>
      <c r="G17" s="3"/>
      <c r="H17" s="3">
        <v>4018.67</v>
      </c>
      <c r="I17" s="3">
        <v>1318.28</v>
      </c>
    </row>
    <row r="18" spans="1:9" x14ac:dyDescent="0.25">
      <c r="A18" t="s">
        <v>40</v>
      </c>
      <c r="B18" s="1" t="s">
        <v>25</v>
      </c>
      <c r="C18" s="1" t="s">
        <v>39</v>
      </c>
      <c r="D18" s="3">
        <v>1520</v>
      </c>
      <c r="E18" s="3">
        <v>2802</v>
      </c>
      <c r="F18" s="3">
        <v>2119.4700000000003</v>
      </c>
      <c r="G18" s="3">
        <v>1229</v>
      </c>
      <c r="H18" s="3">
        <v>2410.65</v>
      </c>
      <c r="I18" s="3">
        <v>2593.1999999999998</v>
      </c>
    </row>
    <row r="19" spans="1:9" x14ac:dyDescent="0.25">
      <c r="A19" t="s">
        <v>56</v>
      </c>
      <c r="B19" s="1" t="s">
        <v>20</v>
      </c>
      <c r="C19" s="1" t="s">
        <v>39</v>
      </c>
      <c r="D19" s="3">
        <v>1200</v>
      </c>
      <c r="E19" s="3">
        <v>1200</v>
      </c>
      <c r="F19" s="3">
        <v>600</v>
      </c>
      <c r="G19" s="3">
        <v>1200</v>
      </c>
      <c r="H19" s="3">
        <v>1380</v>
      </c>
      <c r="I19" s="3">
        <v>1200</v>
      </c>
    </row>
    <row r="20" spans="1:9" x14ac:dyDescent="0.25">
      <c r="A20" t="s">
        <v>40</v>
      </c>
      <c r="B20" s="1" t="s">
        <v>19</v>
      </c>
      <c r="C20" s="1" t="s">
        <v>39</v>
      </c>
      <c r="D20" s="3">
        <v>800</v>
      </c>
      <c r="E20" s="3">
        <v>800</v>
      </c>
      <c r="F20" s="3">
        <v>800</v>
      </c>
      <c r="G20" s="3">
        <v>800</v>
      </c>
      <c r="H20" s="3">
        <v>800</v>
      </c>
      <c r="I20" s="3">
        <v>800</v>
      </c>
    </row>
    <row r="21" spans="1:9" x14ac:dyDescent="0.25">
      <c r="A21" t="s">
        <v>40</v>
      </c>
      <c r="B21" s="1" t="s">
        <v>18</v>
      </c>
      <c r="C21" s="1" t="s">
        <v>39</v>
      </c>
      <c r="D21" s="3">
        <v>944.6</v>
      </c>
      <c r="E21" s="3">
        <v>546.79999999999995</v>
      </c>
      <c r="F21" s="3">
        <v>1374.2</v>
      </c>
      <c r="G21" s="3"/>
      <c r="H21" s="3"/>
      <c r="I21" s="3"/>
    </row>
    <row r="22" spans="1:9" x14ac:dyDescent="0.25">
      <c r="A22" t="s">
        <v>40</v>
      </c>
      <c r="B22" s="1" t="s">
        <v>22</v>
      </c>
      <c r="C22" s="1" t="s">
        <v>39</v>
      </c>
      <c r="D22" s="3"/>
      <c r="E22" s="3">
        <v>1164</v>
      </c>
      <c r="F22" s="3"/>
      <c r="G22" s="3"/>
      <c r="H22" s="3"/>
      <c r="I22" s="3">
        <v>500</v>
      </c>
    </row>
    <row r="23" spans="1:9" x14ac:dyDescent="0.25">
      <c r="A23" t="s">
        <v>40</v>
      </c>
      <c r="B23" s="1" t="s">
        <v>33</v>
      </c>
      <c r="C23" s="1" t="s">
        <v>39</v>
      </c>
      <c r="D23" s="3"/>
      <c r="E23" s="3"/>
      <c r="F23" s="3"/>
      <c r="G23" s="3">
        <v>800</v>
      </c>
      <c r="H23" s="3"/>
      <c r="I23" s="3"/>
    </row>
    <row r="24" spans="1:9" x14ac:dyDescent="0.25">
      <c r="A24" t="s">
        <v>51</v>
      </c>
      <c r="B24" s="1" t="s">
        <v>17</v>
      </c>
      <c r="C24" s="1" t="s">
        <v>39</v>
      </c>
      <c r="D24" s="3"/>
      <c r="E24" s="3"/>
      <c r="F24" s="3">
        <v>790</v>
      </c>
      <c r="G24" s="3"/>
      <c r="H24" s="3"/>
      <c r="I24" s="3"/>
    </row>
    <row r="25" spans="1:9" x14ac:dyDescent="0.25">
      <c r="A25" t="s">
        <v>50</v>
      </c>
      <c r="B25" s="1" t="s">
        <v>30</v>
      </c>
      <c r="C25" s="1" t="s">
        <v>39</v>
      </c>
      <c r="D25" s="3"/>
      <c r="E25" s="3"/>
      <c r="F25" s="3"/>
      <c r="G25" s="3"/>
      <c r="H25" s="3">
        <v>644.5</v>
      </c>
      <c r="I25" s="3"/>
    </row>
    <row r="26" spans="1:9" x14ac:dyDescent="0.25">
      <c r="A26" t="s">
        <v>56</v>
      </c>
      <c r="B26" s="1" t="s">
        <v>32</v>
      </c>
      <c r="C26" s="1" t="s">
        <v>39</v>
      </c>
      <c r="D26" s="3"/>
      <c r="E26" s="3"/>
      <c r="F26" s="3"/>
      <c r="G26" s="3"/>
      <c r="H26" s="3">
        <v>370.8</v>
      </c>
      <c r="I26" s="3"/>
    </row>
    <row r="27" spans="1:9" x14ac:dyDescent="0.25">
      <c r="A27" t="s">
        <v>50</v>
      </c>
      <c r="B27" s="1" t="s">
        <v>31</v>
      </c>
      <c r="C27" s="1" t="s">
        <v>39</v>
      </c>
      <c r="D27" s="3">
        <v>340</v>
      </c>
      <c r="E27" s="3"/>
      <c r="F27" s="3"/>
      <c r="G27" s="3"/>
      <c r="H27" s="3"/>
      <c r="I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Libro Banco  </vt:lpstr>
      <vt:lpstr>Base Libro Caja</vt:lpstr>
      <vt:lpstr>G. personales</vt:lpstr>
      <vt:lpstr>Indic 2019</vt:lpstr>
      <vt:lpstr>Resumen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turilaboulaye</dc:creator>
  <cp:lastModifiedBy>USUARIO</cp:lastModifiedBy>
  <cp:lastPrinted>2024-11-22T13:26:16Z</cp:lastPrinted>
  <dcterms:created xsi:type="dcterms:W3CDTF">2016-04-21T14:12:33Z</dcterms:created>
  <dcterms:modified xsi:type="dcterms:W3CDTF">2024-12-04T13:43:46Z</dcterms:modified>
</cp:coreProperties>
</file>